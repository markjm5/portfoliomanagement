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800" yWindow="-640" windowWidth="68800" windowHeight="283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Big Picture" sheetId="2" state="visible" r:id="rId2"/>
    <sheet xmlns:r="http://schemas.openxmlformats.org/officeDocument/2006/relationships" name="World Production data" sheetId="3" state="visible" r:id="rId3"/>
    <sheet xmlns:r="http://schemas.openxmlformats.org/officeDocument/2006/relationships" name="Database" sheetId="4" state="visible" r:id="rId4"/>
    <sheet xmlns:r="http://schemas.openxmlformats.org/officeDocument/2006/relationships" name="Data World GDP" sheetId="5" state="visible" r:id="rId5"/>
    <sheet xmlns:r="http://schemas.openxmlformats.org/officeDocument/2006/relationships" name="China Production data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  <definedName name="_xlnm._FilterDatabase" localSheetId="2" hidden="1">'World Production data'!$A$1:$E$1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14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66" fontId="0" fillId="3" borderId="0" applyAlignment="1" pivotButton="0" quotePrefix="0" xfId="1">
      <alignment horizontal="center"/>
    </xf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7" pivotButton="0" quotePrefix="0" xfId="2"/>
    <xf numFmtId="0" fontId="0" fillId="9" borderId="8" pivotButton="0" quotePrefix="0" xfId="0"/>
    <xf numFmtId="165" fontId="3" fillId="9" borderId="8" pivotButton="0" quotePrefix="0" xfId="0"/>
    <xf numFmtId="10" fontId="3" fillId="9" borderId="8" pivotButton="0" quotePrefix="0" xfId="0"/>
    <xf numFmtId="0" fontId="0" fillId="9" borderId="9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6" fontId="0" fillId="11" borderId="1" applyAlignment="1" pivotButton="0" quotePrefix="0" xfId="1">
      <alignment horizontal="center"/>
    </xf>
    <xf numFmtId="164" fontId="0" fillId="9" borderId="5" applyAlignment="1" pivotButton="0" quotePrefix="0" xfId="1">
      <alignment horizontal="center" wrapText="1"/>
    </xf>
    <xf numFmtId="14" fontId="0" fillId="9" borderId="4" applyAlignment="1" pivotButton="0" quotePrefix="0" xfId="0">
      <alignment horizontal="center" wrapText="1"/>
    </xf>
    <xf numFmtId="2" fontId="0" fillId="9" borderId="6" applyAlignment="1" pivotButton="0" quotePrefix="0" xfId="0">
      <alignment horizontal="center" wrapText="1"/>
    </xf>
    <xf numFmtId="0" fontId="6" fillId="0" borderId="14" pivotButton="0" quotePrefix="0" xfId="0"/>
    <xf numFmtId="0" fontId="8" fillId="7" borderId="14" applyAlignment="1" pivotButton="0" quotePrefix="0" xfId="0">
      <alignment horizontal="center" vertical="center"/>
    </xf>
    <xf numFmtId="0" fontId="6" fillId="0" borderId="15" pivotButton="0" quotePrefix="0" xfId="0"/>
    <xf numFmtId="0" fontId="7" fillId="4" borderId="16" applyAlignment="1" pivotButton="0" quotePrefix="0" xfId="0">
      <alignment horizontal="center" textRotation="90"/>
    </xf>
    <xf numFmtId="0" fontId="7" fillId="5" borderId="16" applyAlignment="1" pivotButton="0" quotePrefix="0" xfId="0">
      <alignment horizontal="center" textRotation="90"/>
    </xf>
    <xf numFmtId="0" fontId="7" fillId="6" borderId="16" applyAlignment="1" pivotButton="0" quotePrefix="0" xfId="0">
      <alignment horizontal="center" textRotation="90"/>
    </xf>
    <xf numFmtId="0" fontId="7" fillId="7" borderId="16" applyAlignment="1" pivotButton="0" quotePrefix="0" xfId="0">
      <alignment horizontal="center" textRotation="90"/>
    </xf>
    <xf numFmtId="0" fontId="7" fillId="7" borderId="17" applyAlignment="1" pivotButton="0" quotePrefix="0" xfId="0">
      <alignment horizontal="center" textRotation="90"/>
    </xf>
    <xf numFmtId="0" fontId="6" fillId="0" borderId="18" pivotButton="0" quotePrefix="0" xfId="0"/>
    <xf numFmtId="10" fontId="8" fillId="7" borderId="19" applyAlignment="1" pivotButton="0" quotePrefix="0" xfId="0">
      <alignment horizontal="center" vertical="center"/>
    </xf>
    <xf numFmtId="2" fontId="8" fillId="7" borderId="19" applyAlignment="1" pivotButton="0" quotePrefix="0" xfId="0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6" fillId="0" borderId="20" pivotButton="0" quotePrefix="0" xfId="0"/>
    <xf numFmtId="166" fontId="8" fillId="7" borderId="21" applyAlignment="1" pivotButton="0" quotePrefix="0" xfId="1">
      <alignment horizontal="center" vertical="center"/>
    </xf>
    <xf numFmtId="166" fontId="8" fillId="7" borderId="22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2" fontId="0" fillId="3" borderId="0" applyAlignment="1" pivotButton="0" quotePrefix="0" xfId="0">
      <alignment horizont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4" fontId="0" fillId="11" borderId="12" pivotButton="0" quotePrefix="0" xfId="0"/>
    <xf numFmtId="166" fontId="0" fillId="11" borderId="13" applyAlignment="1" pivotButton="0" quotePrefix="0" xfId="1">
      <alignment horizontal="center"/>
    </xf>
    <xf numFmtId="166" fontId="0" fillId="3" borderId="3" applyAlignment="1" pivotButton="0" quotePrefix="0" xfId="1">
      <alignment horizontal="center"/>
    </xf>
    <xf numFmtId="166" fontId="0" fillId="11" borderId="3" applyAlignment="1" pivotButton="0" quotePrefix="0" xfId="1">
      <alignment horizontal="center"/>
    </xf>
    <xf numFmtId="14" fontId="0" fillId="11" borderId="10" pivotButton="0" quotePrefix="0" xfId="0"/>
    <xf numFmtId="166" fontId="0" fillId="11" borderId="11" applyAlignment="1" pivotButton="0" quotePrefix="0" xfId="1">
      <alignment horizontal="center"/>
    </xf>
    <xf numFmtId="2" fontId="0" fillId="0" borderId="0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0" fontId="0" fillId="0" borderId="0" pivotButton="0" quotePrefix="0" xfId="0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3" applyAlignment="1" pivotButton="0" quotePrefix="0" xfId="0">
      <alignment horizontal="center" vertical="center"/>
    </xf>
    <xf numFmtId="0" fontId="0" fillId="0" borderId="23" pivotButton="0" quotePrefix="0" xfId="0"/>
    <xf numFmtId="0" fontId="2" fillId="9" borderId="2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3" fillId="12" borderId="1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3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World'!$H$2:$H$358</f>
              <numCache>
                <formatCode>0.00</formatCode>
                <ptCount val="357"/>
                <pt idx="0">
                  <v>90.62496144827819</v>
                </pt>
                <pt idx="1">
                  <v>91.11842348747717</v>
                </pt>
                <pt idx="2">
                  <v>91.44731593660329</v>
                </pt>
                <pt idx="3">
                  <v>92.18750899540176</v>
                </pt>
                <pt idx="4">
                  <v>91.11842348747717</v>
                </pt>
                <pt idx="5">
                  <v>90.21382532595224</v>
                </pt>
                <pt idx="6">
                  <v>90.46047410187852</v>
                </pt>
                <pt idx="7">
                  <v>91.44731593660329</v>
                </pt>
                <pt idx="8">
                  <v>91.200667160677</v>
                </pt>
                <pt idx="9">
                  <v>90.70720512147803</v>
                </pt>
                <pt idx="10">
                  <v>89.39138859395393</v>
                </pt>
                <pt idx="11">
                  <v>90.87169246787766</v>
                </pt>
                <pt idx="12">
                  <v>91.36507226340345</v>
                </pt>
                <pt idx="13">
                  <v>89.63811961355343</v>
                </pt>
                <pt idx="14">
                  <v>89.14473981802766</v>
                </pt>
                <pt idx="15">
                  <v>88.32238532970254</v>
                </pt>
                <pt idx="16">
                  <v>89.39138859395393</v>
                </pt>
                <pt idx="17">
                  <v>89.72036328675327</v>
                </pt>
                <pt idx="18">
                  <v>89.72036328675327</v>
                </pt>
                <pt idx="19">
                  <v>90.21382532595224</v>
                </pt>
                <pt idx="20">
                  <v>91.200667160677</v>
                </pt>
                <pt idx="21">
                  <v>90.62496144827819</v>
                </pt>
                <pt idx="22">
                  <v>91.11842348747717</v>
                </pt>
                <pt idx="23">
                  <v>89.88485063315291</v>
                </pt>
                <pt idx="24">
                  <v>90.62496144827819</v>
                </pt>
                <pt idx="25">
                  <v>90.62496144827819</v>
                </pt>
                <pt idx="26">
                  <v>90.46047410187852</v>
                </pt>
                <pt idx="27">
                  <v>90.70720512147803</v>
                </pt>
                <pt idx="28">
                  <v>90.46047410187852</v>
                </pt>
                <pt idx="29">
                  <v>90.29598675547888</v>
                </pt>
                <pt idx="30">
                  <v>89.14473981802766</v>
                </pt>
                <pt idx="31">
                  <v>87.58219227090409</v>
                </pt>
                <pt idx="32">
                  <v>86.92432512897864</v>
                </pt>
                <pt idx="33">
                  <v>87.49994859770425</v>
                </pt>
                <pt idx="34">
                  <v>88.07565431010306</v>
                </pt>
                <pt idx="35">
                  <v>86.59535043617933</v>
                </pt>
                <pt idx="36">
                  <v>88.07565431010306</v>
                </pt>
                <pt idx="37">
                  <v>87.82892329050357</v>
                </pt>
                <pt idx="38">
                  <v>87.41770492450442</v>
                </pt>
                <pt idx="39">
                  <v>87.25329982177796</v>
                </pt>
                <pt idx="40">
                  <v>86.75983778257898</v>
                </pt>
                <pt idx="41">
                  <v>86.43086308977966</v>
                </pt>
                <pt idx="42">
                  <v>85.93748329425388</v>
                </pt>
                <pt idx="43">
                  <v>86.01972696745372</v>
                </pt>
                <pt idx="44">
                  <v>86.51310676297949</v>
                </pt>
                <pt idx="45">
                  <v>86.43086308977966</v>
                </pt>
                <pt idx="46">
                  <v>87.0888124753783</v>
                </pt>
                <pt idx="47">
                  <v>87.00656880217848</v>
                </pt>
                <pt idx="48">
                  <v>87.25329982177796</v>
                </pt>
                <pt idx="49">
                  <v>88.65127777882867</v>
                </pt>
                <pt idx="50">
                  <v>89.88485063315291</v>
                </pt>
                <pt idx="51">
                  <v>91.36507226340345</v>
                </pt>
                <pt idx="52">
                  <v>91.69404695620278</v>
                </pt>
                <pt idx="53">
                  <v>92.5986451177277</v>
                </pt>
                <pt idx="54">
                  <v>92.76313246412737</v>
                </pt>
                <pt idx="55">
                  <v>93.09210715692669</v>
                </pt>
                <pt idx="56">
                  <v>93.58548695245246</v>
                </pt>
                <pt idx="57">
                  <v>93.33875593285298</v>
                </pt>
                <pt idx="58">
                  <v>94.90130347997655</v>
                </pt>
                <pt idx="59">
                  <v>97.20387959855218</v>
                </pt>
                <pt idx="60">
                  <v>96.87498714942606</v>
                </pt>
                <pt idx="61">
                  <v>96.29928143702725</v>
                </pt>
                <pt idx="62">
                  <v>96.54601245662674</v>
                </pt>
                <pt idx="63">
                  <v>96.62825612982657</v>
                </pt>
                <pt idx="64">
                  <v>97.20387959855218</v>
                </pt>
                <pt idx="65">
                  <v>97.03947449582573</v>
                </pt>
                <pt idx="66">
                  <v>96.95723082262589</v>
                </pt>
                <pt idx="67">
                  <v>98.68418347247592</v>
                </pt>
                <pt idx="68">
                  <v>98.02631633055049</v>
                </pt>
                <pt idx="69">
                  <v>98.68418347247592</v>
                </pt>
                <pt idx="70">
                  <v>98.68418347247592</v>
                </pt>
                <pt idx="71">
                  <v>100.3288924491261</v>
                </pt>
                <pt idx="72">
                  <v>98.84867081887558</v>
                </pt>
                <pt idx="73">
                  <v>97.77958531095099</v>
                </pt>
                <pt idx="74">
                  <v>96.79274347622624</v>
                </pt>
                <pt idx="75">
                  <v>95.72365796830164</v>
                </pt>
                <pt idx="76">
                  <v>95.64141429510181</v>
                </pt>
                <pt idx="77">
                  <v>95.80590164150148</v>
                </pt>
                <pt idx="78">
                  <v>95.72365796830164</v>
                </pt>
                <pt idx="79">
                  <v>96.21703776382742</v>
                </pt>
                <pt idx="80">
                  <v>94.90130347997655</v>
                </pt>
                <pt idx="81">
                  <v>95.31243960230249</v>
                </pt>
                <pt idx="82">
                  <v>94.90130347997655</v>
                </pt>
                <pt idx="83">
                  <v>94.65457246037705</v>
                </pt>
                <pt idx="84">
                  <v>95.39468327550233</v>
                </pt>
                <pt idx="85">
                  <v>97.03947449582573</v>
                </pt>
                <pt idx="86">
                  <v>97.53285429135151</v>
                </pt>
                <pt idx="87">
                  <v>99.25980694120153</v>
                </pt>
                <pt idx="88">
                  <v>99.01315816527524</v>
                </pt>
                <pt idx="89">
                  <v>99.83551265360033</v>
                </pt>
                <pt idx="90">
                  <v>100.4933797955258</v>
                </pt>
                <pt idx="91">
                  <v>101.0690855079246</v>
                </pt>
                <pt idx="92">
                  <v>100.9868418347248</v>
                </pt>
                <pt idx="93">
                  <v>102.2203324453758</v>
                </pt>
                <pt idx="94">
                  <v>101.6447089766502</v>
                </pt>
                <pt idx="95">
                  <v>102.3848197917755</v>
                </pt>
                <pt idx="96">
                  <v>101.6447089766502</v>
                </pt>
                <pt idx="97">
                  <v>101.5624653034504</v>
                </pt>
                <pt idx="98">
                  <v>101.0690855079246</v>
                </pt>
                <pt idx="99">
                  <v>101.8914399962497</v>
                </pt>
                <pt idx="100">
                  <v>101.72695264985</v>
                </pt>
                <pt idx="101">
                  <v>101.5624653034504</v>
                </pt>
                <pt idx="102">
                  <v>101.3979779570507</v>
                </pt>
                <pt idx="103">
                  <v>100</v>
                </pt>
                <pt idx="104">
                  <v>101.4802216302505</v>
                </pt>
                <pt idx="105">
                  <v>100.8223544883251</v>
                </pt>
                <pt idx="106">
                  <v>100.4933797955258</v>
                </pt>
                <pt idx="107">
                  <v>98.10856000375031</v>
                </pt>
                <pt idx="108">
                  <v>100</v>
                </pt>
                <pt idx="109">
                  <formatCode>0.000</formatCode>
                  <v>99.50653796080103</v>
                </pt>
                <pt idx="110">
                  <v>99.83551265360033</v>
                </pt>
                <pt idx="111">
                  <v>99.09540183847507</v>
                </pt>
                <pt idx="112">
                  <v>98.3552087796766</v>
                </pt>
                <pt idx="113">
                  <v>99.91775632680017</v>
                </pt>
                <pt idx="114">
                  <v>100.6578671419254</v>
                </pt>
                <pt idx="115">
                  <v>101.3157342838509</v>
                </pt>
                <pt idx="116">
                  <v>101.72695264985</v>
                </pt>
                <pt idx="117">
                  <v>102.7137944845748</v>
                </pt>
                <pt idx="118">
                  <v>103.3716616265002</v>
                </pt>
                <pt idx="119">
                  <v>102.2203324453758</v>
                </pt>
                <pt idx="120">
                  <v>102.4670634649753</v>
                </pt>
                <pt idx="121">
                  <v>102.9605255041743</v>
                </pt>
                <pt idx="122">
                  <v>103.8651236656992</v>
                </pt>
                <pt idx="123">
                  <v>104.6874781540243</v>
                </pt>
                <pt idx="124">
                  <v>105.2631016227499</v>
                </pt>
                <pt idx="125">
                  <v>105.0986965200235</v>
                </pt>
                <pt idx="126">
                  <v>104.2762597880252</v>
                </pt>
                <pt idx="127">
                  <v>105.2631016227499</v>
                </pt>
                <pt idx="128">
                  <v>105.1808579495501</v>
                </pt>
                <pt idx="129">
                  <v>105.5920763155492</v>
                </pt>
                <pt idx="130">
                  <v>106.9078928430733</v>
                </pt>
                <pt idx="131">
                  <v>108.3881144733238</v>
                </pt>
                <pt idx="132">
                  <v>105.4275889691496</v>
                </pt>
                <pt idx="133">
                  <v>104.7697218272241</v>
                </pt>
                <pt idx="134">
                  <v>104.7697218272241</v>
                </pt>
                <pt idx="135">
                  <v>103.8651236656992</v>
                </pt>
                <pt idx="136">
                  <v>103.7006363192995</v>
                </pt>
                <pt idx="137">
                  <v>103.947367338899</v>
                </pt>
                <pt idx="138">
                  <v>102.0559273426493</v>
                </pt>
                <pt idx="139">
                  <v>103.8651236656992</v>
                </pt>
                <pt idx="140">
                  <v>102.2203324453758</v>
                </pt>
                <pt idx="141">
                  <v>101.6447089766502</v>
                </pt>
                <pt idx="142">
                  <v>100.1644051027265</v>
                </pt>
                <pt idx="143">
                  <v>101.4802216302505</v>
                </pt>
                <pt idx="144">
                  <v>100.5756234687256</v>
                </pt>
                <pt idx="145">
                  <v>101.8914399962497</v>
                </pt>
                <pt idx="146">
                  <v>102.4670634649753</v>
                </pt>
                <pt idx="147">
                  <v>99.50653796080103</v>
                </pt>
                <pt idx="148">
                  <v>102.9605255041743</v>
                </pt>
                <pt idx="149">
                  <v>101.9736836694495</v>
                </pt>
                <pt idx="150">
                  <v>101.5624653034504</v>
                </pt>
                <pt idx="151">
                  <v>100.4111361223259</v>
                </pt>
                <pt idx="152">
                  <v>102.3025761185756</v>
                </pt>
                <pt idx="153">
                  <v>101.0690855079246</v>
                </pt>
                <pt idx="154">
                  <v>102.7960381577746</v>
                </pt>
                <pt idx="155">
                  <v>101.72695264985</v>
                </pt>
                <pt idx="156">
                  <v>102.7960381577746</v>
                </pt>
                <pt idx="157">
                  <v>100.7401108151253</v>
                </pt>
                <pt idx="158">
                  <v>100.8223544883251</v>
                </pt>
                <pt idx="159">
                  <v>102.3025761185756</v>
                </pt>
                <pt idx="160">
                  <v>98.93091449207542</v>
                </pt>
                <pt idx="161">
                  <v>100.1644051027265</v>
                </pt>
                <pt idx="162">
                  <v>101.5624653034504</v>
                </pt>
                <pt idx="163">
                  <v>99.50653796080103</v>
                </pt>
                <pt idx="164">
                  <v>99.83551265360033</v>
                </pt>
                <pt idx="165">
                  <v>100.9045981615249</v>
                </pt>
                <pt idx="166">
                  <v>102.0559273426493</v>
                </pt>
                <pt idx="167">
                  <v>102.1381710158492</v>
                </pt>
                <pt idx="168">
                  <v>102.0559273426493</v>
                </pt>
                <pt idx="169">
                  <v>101.72695264985</v>
                </pt>
                <pt idx="170">
                  <v>100</v>
                </pt>
                <pt idx="171">
                  <v>101.8091963230499</v>
                </pt>
                <pt idx="172">
                  <v>101.6447089766502</v>
                </pt>
                <pt idx="173">
                  <v>101.0690855079246</v>
                </pt>
                <pt idx="174">
                  <v>101.233490610651</v>
                </pt>
                <pt idx="175">
                  <v>99.17764551167491</v>
                </pt>
                <pt idx="176">
                  <v>100.5756234687256</v>
                </pt>
                <pt idx="177">
                  <v>101.3157342838509</v>
                </pt>
                <pt idx="178">
                  <v>99.75326898040051</v>
                </pt>
                <pt idx="179">
                  <v>99.01315816527524</v>
                </pt>
                <pt idx="180">
                  <v>99.01315816527524</v>
                </pt>
                <pt idx="181">
                  <v>99.50653796080103</v>
                </pt>
                <pt idx="182">
                  <v>99.58878163400085</v>
                </pt>
                <pt idx="183">
                  <v>101.5624653034504</v>
                </pt>
                <pt idx="184">
                  <v>99.34205061440136</v>
                </pt>
                <pt idx="185">
                  <v>99.34205061440136</v>
                </pt>
                <pt idx="186">
                  <v>100.7401108151253</v>
                </pt>
                <pt idx="187">
                  <v>100</v>
                </pt>
                <pt idx="188">
                  <v>100.4111361223259</v>
                </pt>
                <pt idx="189">
                  <v>100.5756234687256</v>
                </pt>
                <pt idx="190">
                  <v>101.6447089766502</v>
                </pt>
                <pt idx="191">
                  <v>100.1644051027265</v>
                </pt>
                <pt idx="192">
                  <v>100.5756234687256</v>
                </pt>
                <pt idx="193">
                  <v>102.4670634649753</v>
                </pt>
                <pt idx="194">
                  <v>102.9605255041743</v>
                </pt>
                <pt idx="195">
                  <v>102.0559273426493</v>
                </pt>
                <pt idx="196">
                  <v>104.4407471344248</v>
                </pt>
                <pt idx="197">
                  <v>104.7697218272241</v>
                </pt>
                <pt idx="198">
                  <v>103.2894179533004</v>
                </pt>
                <pt idx="199">
                  <v>104.6052344808245</v>
                </pt>
                <pt idx="200">
                  <v>104.4407471344248</v>
                </pt>
                <pt idx="201">
                  <v>104.6052344808245</v>
                </pt>
                <pt idx="202">
                  <v>104.7697218272241</v>
                </pt>
                <pt idx="203">
                  <v>106.4144308038743</v>
                </pt>
                <pt idx="204">
                  <v>105.4275889691496</v>
                </pt>
                <pt idx="205">
                  <v>106.0855383547482</v>
                </pt>
                <pt idx="206">
                  <v>106.7434054966736</v>
                </pt>
                <pt idx="207">
                  <v>104.851965500424</v>
                </pt>
                <pt idx="208">
                  <v>107.0722979457998</v>
                </pt>
                <pt idx="209">
                  <v>106.4144308038743</v>
                </pt>
                <pt idx="210">
                  <v>105.7565636619489</v>
                </pt>
                <pt idx="211">
                  <v>109.6216873276481</v>
                </pt>
                <pt idx="212">
                  <v>106.7434054966736</v>
                </pt>
                <pt idx="213">
                  <v>105.674319988749</v>
                </pt>
                <pt idx="214">
                  <v>104.6052344808245</v>
                </pt>
                <pt idx="215">
                  <v>105.3453452959498</v>
                </pt>
                <pt idx="216">
                  <v>107.4835163117989</v>
                </pt>
                <pt idx="217">
                  <v>106.6611618234738</v>
                </pt>
                <pt idx="218">
                  <v>107.3190289653993</v>
                </pt>
                <pt idx="219">
                  <v>108.3881144733238</v>
                </pt>
                <pt idx="220">
                  <v>104.6052344808245</v>
                </pt>
                <pt idx="221">
                  <v>105.7565636619489</v>
                </pt>
                <pt idx="222">
                  <v>102.4670634649753</v>
                </pt>
                <pt idx="223">
                  <v>99.67102530720068</v>
                </pt>
                <pt idx="224">
                  <v>99.01315816527524</v>
                </pt>
                <pt idx="225">
                  <v>96.95723082262589</v>
                </pt>
                <pt idx="226">
                  <v>93.6677306256523</v>
                </pt>
                <pt idx="227">
                  <v>89.88485063315291</v>
                </pt>
                <pt idx="228">
                  <v>86.34861941657984</v>
                </pt>
                <pt idx="229">
                  <v>83.30593248287893</v>
                </pt>
                <pt idx="230">
                  <v>80.016424061538</v>
                </pt>
                <pt idx="231">
                  <v>80.42760953006787</v>
                </pt>
                <pt idx="232">
                  <v>81.82563683332251</v>
                </pt>
                <pt idx="233">
                  <v>81.24998046712761</v>
                </pt>
                <pt idx="234">
                  <v>82.9769577900796</v>
                </pt>
                <pt idx="235">
                  <v>81.08550134509528</v>
                </pt>
                <pt idx="236">
                  <v>83.55258125880522</v>
                </pt>
                <pt idx="237">
                  <v>84.8683977863293</v>
                </pt>
                <pt idx="238">
                  <v>85.11512880592878</v>
                </pt>
                <pt idx="239">
                  <v>83.96379962480437</v>
                </pt>
                <pt idx="240">
                  <v>86.92432512897864</v>
                </pt>
                <pt idx="241">
                  <v>86.10197064065353</v>
                </pt>
                <pt idx="242">
                  <v>86.59535043617933</v>
                </pt>
                <pt idx="243">
                  <v>87.25329982177796</v>
                </pt>
                <pt idx="244">
                  <v>87.6644359441039</v>
                </pt>
                <pt idx="245">
                  <v>89.72036328675327</v>
                </pt>
                <pt idx="246">
                  <v>89.47363226715376</v>
                </pt>
                <pt idx="247">
                  <v>92.43415777132805</v>
                </pt>
                <pt idx="248">
                  <v>88.89800879842815</v>
                </pt>
                <pt idx="249">
                  <v>89.22698349122749</v>
                </pt>
                <pt idx="250">
                  <v>89.72036328675327</v>
                </pt>
                <pt idx="251">
                  <v>90.46047410187852</v>
                </pt>
                <pt idx="252">
                  <v>88.81576512522832</v>
                </pt>
                <pt idx="253">
                  <v>91.03617981427733</v>
                </pt>
                <pt idx="254">
                  <v>91.200667160677</v>
                </pt>
                <pt idx="255">
                  <v>92.02302164900209</v>
                </pt>
                <pt idx="256">
                  <v>90.29598675547888</v>
                </pt>
                <pt idx="257">
                  <v>89.5558759403536</v>
                </pt>
                <pt idx="258">
                  <v>89.22698349122749</v>
                </pt>
                <pt idx="259">
                  <v>88.7335214520285</v>
                </pt>
                <pt idx="260">
                  <v>88.32238532970254</v>
                </pt>
                <pt idx="261">
                  <v>87.25329982177796</v>
                </pt>
                <pt idx="262">
                  <v>87.91116696370339</v>
                </pt>
                <pt idx="263">
                  <v>88.56903410562884</v>
                </pt>
                <pt idx="264">
                  <v>85.27961615232844</v>
                </pt>
                <pt idx="265">
                  <v>85.44402125505491</v>
                </pt>
                <pt idx="266">
                  <v>85.85523962105405</v>
                </pt>
                <pt idx="267">
                  <v>84.6216667667298</v>
                </pt>
                <pt idx="268">
                  <v>85.77299594785423</v>
                </pt>
                <pt idx="269">
                  <v>84.04604329800419</v>
                </pt>
                <pt idx="270">
                  <v>84.8683977863293</v>
                </pt>
                <pt idx="271">
                  <v>84.45717942033015</v>
                </pt>
                <pt idx="272">
                  <v>84.21053064440385</v>
                </pt>
                <pt idx="273">
                  <v>82.73022677048012</v>
                </pt>
                <pt idx="274">
                  <v>81.57892226245767</v>
                </pt>
                <pt idx="275">
                  <v>82.15458685301985</v>
                </pt>
                <pt idx="276">
                  <v>82.23682230185237</v>
                </pt>
                <pt idx="277">
                  <v>81.74340138449</v>
                </pt>
                <pt idx="278">
                  <v>81.33221591596013</v>
                </pt>
                <pt idx="279">
                  <v>80.67432410093272</v>
                </pt>
                <pt idx="280">
                  <v>82.15458685301985</v>
                </pt>
                <pt idx="281">
                  <v>81.99011595535484</v>
                </pt>
                <pt idx="282">
                  <v>81.82563683332251</v>
                </pt>
                <pt idx="283">
                  <v>80.59208865210022</v>
                </pt>
                <pt idx="284">
                  <v>81.99011595535484</v>
                </pt>
                <pt idx="285">
                  <v>82.401334321354</v>
                </pt>
                <pt idx="286">
                  <v>82.07235140418736</v>
                </pt>
                <pt idx="287">
                  <v>81.16773679392779</v>
                </pt>
                <pt idx="288">
                  <v>82.56573942408045</v>
                </pt>
                <pt idx="289">
                  <v>81.90787228215501</v>
                </pt>
                <pt idx="290">
                  <v>81.00326589626276</v>
                </pt>
                <pt idx="291">
                  <v>81.82563683332251</v>
                </pt>
                <pt idx="292">
                  <v>80.59208865210022</v>
                </pt>
                <pt idx="293">
                  <v>82.15458685301985</v>
                </pt>
                <pt idx="294">
                  <v>81.00326589626276</v>
                </pt>
                <pt idx="295">
                  <v>80.09865951037051</v>
                </pt>
                <pt idx="296">
                  <v>80.59208865210022</v>
                </pt>
                <pt idx="297">
                  <v>80.42760953006787</v>
                </pt>
                <pt idx="298">
                  <v>80.42760953006787</v>
                </pt>
                <pt idx="299">
                  <v>81.24998046712761</v>
                </pt>
                <pt idx="300">
                  <v>80.83879499859775</v>
                </pt>
                <pt idx="301">
                  <v>81.57892226245767</v>
                </pt>
                <pt idx="302">
                  <v>81.82563683332251</v>
                </pt>
                <pt idx="303">
                  <v>81.99011595535484</v>
                </pt>
                <pt idx="304">
                  <v>82.64798309728029</v>
                </pt>
                <pt idx="305">
                  <v>82.23682230185237</v>
                </pt>
                <pt idx="306">
                  <v>83.05920146327944</v>
                </pt>
                <pt idx="307">
                  <v>81.33221591596013</v>
                </pt>
                <pt idx="308">
                  <v>82.15458685301985</v>
                </pt>
                <pt idx="309">
                  <v>82.23682230185237</v>
                </pt>
                <pt idx="310">
                  <v>82.73022677048012</v>
                </pt>
                <pt idx="311">
                  <v>81.16773679392779</v>
                </pt>
                <pt idx="312">
                  <v>83.63482493200505</v>
                </pt>
                <pt idx="313">
                  <v>82.64798309728029</v>
                </pt>
                <pt idx="314">
                  <v>82.73022677048012</v>
                </pt>
                <pt idx="315">
                  <v>84.04604329800419</v>
                </pt>
                <pt idx="316">
                  <v>82.64798309728029</v>
                </pt>
                <pt idx="317">
                  <v>81.74340138449</v>
                </pt>
                <pt idx="318">
                  <v>83.30593248287893</v>
                </pt>
                <pt idx="319">
                  <v>84.04604329800419</v>
                </pt>
                <pt idx="320">
                  <v>83.88155595160453</v>
                </pt>
                <pt idx="321">
                  <v>84.21053064440385</v>
                </pt>
                <pt idx="322">
                  <v>84.95064145952912</v>
                </pt>
                <pt idx="323">
                  <v>86.18421431385337</v>
                </pt>
                <pt idx="324">
                  <v>83.88155595160453</v>
                </pt>
                <pt idx="325">
                  <v>84.8683977863293</v>
                </pt>
                <pt idx="326">
                  <v>85.52626492825473</v>
                </pt>
                <pt idx="327">
                  <v>85.44402125505491</v>
                </pt>
                <pt idx="328">
                  <v>85.85523962105405</v>
                </pt>
                <pt idx="329">
                  <v>86.92432512897864</v>
                </pt>
                <pt idx="330">
                  <v>87.58219227090409</v>
                </pt>
                <pt idx="331">
                  <v>89.06249614482782</v>
                </pt>
                <pt idx="332">
                  <v>86.59535043617933</v>
                </pt>
                <pt idx="333">
                  <v>86.84208145577881</v>
                </pt>
                <pt idx="334">
                  <v>88.24014165650271</v>
                </pt>
                <pt idx="335">
                  <v>90.70720512147803</v>
                </pt>
                <pt idx="336">
                  <v>87.33554349497778</v>
                </pt>
                <pt idx="337">
                  <v>87.00656880217848</v>
                </pt>
                <pt idx="338">
                  <v>88.24014165650271</v>
                </pt>
                <pt idx="339">
                  <v>87.41770492450442</v>
                </pt>
                <pt idx="340">
                  <v>87.58219227090409</v>
                </pt>
                <pt idx="341">
                  <v>87.91116696370339</v>
                </pt>
                <pt idx="342">
                  <v>87.17105614857813</v>
                </pt>
                <pt idx="343">
                  <v>87.82892329050357</v>
                </pt>
                <pt idx="344">
                  <v>87.82892329050357</v>
                </pt>
                <pt idx="345">
                  <v>87.58219227090409</v>
                </pt>
                <pt idx="346">
                  <v>86.01972696745372</v>
                </pt>
                <pt idx="347">
                  <v>86.34861941657984</v>
                </pt>
                <pt idx="348">
                  <v>86.92432512897864</v>
                </pt>
                <pt idx="349">
                  <v>87.58219227090409</v>
                </pt>
                <pt idx="350">
                  <v>86.92432512897864</v>
                </pt>
                <pt idx="351">
                  <v>86.51310676297949</v>
                </pt>
                <pt idx="352">
                  <v>87.25329982177796</v>
                </pt>
                <pt idx="353">
                  <v>87.00656880217848</v>
                </pt>
                <pt idx="354">
                  <v>87.33554349497778</v>
                </pt>
                <pt idx="355">
                  <v>86.59535043617933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World'!$I$2:$I$358</f>
              <numCache>
                <formatCode>0.00</formatCode>
                <ptCount val="357"/>
                <pt idx="0">
                  <v>88.8942573016199</v>
                </pt>
                <pt idx="1">
                  <v>90.36398357421437</v>
                </pt>
                <pt idx="2">
                  <v>89.94545502326727</v>
                </pt>
                <pt idx="3">
                  <v>90.38345001844446</v>
                </pt>
                <pt idx="4">
                  <v>90.62679030454279</v>
                </pt>
                <pt idx="5">
                  <v>89.27385296410679</v>
                </pt>
                <pt idx="6">
                  <v>89.34198551891214</v>
                </pt>
                <pt idx="7">
                  <v>88.79692508046942</v>
                </pt>
                <pt idx="8">
                  <v>89.58531607178836</v>
                </pt>
                <pt idx="9">
                  <v>89.29331940833688</v>
                </pt>
                <pt idx="10">
                  <v>88.30053075260193</v>
                </pt>
                <pt idx="11">
                  <v>89.41986102905464</v>
                </pt>
                <pt idx="12">
                  <v>90.5878574160826</v>
                </pt>
                <pt idx="13">
                  <v>90.18878557614349</v>
                </pt>
                <pt idx="14">
                  <v>89.07918852180582</v>
                </pt>
                <pt idx="15">
                  <v>89.05972207757573</v>
                </pt>
                <pt idx="16">
                  <v>89.16678752084127</v>
                </pt>
                <pt idx="17">
                  <v>89.51718351698301</v>
                </pt>
                <pt idx="18">
                  <v>88.01826731126553</v>
                </pt>
                <pt idx="19">
                  <v>88.94292341219514</v>
                </pt>
                <pt idx="20">
                  <v>89.24466303098377</v>
                </pt>
                <pt idx="21">
                  <v>88.82612474681457</v>
                </pt>
                <pt idx="22">
                  <v>90.24718490883379</v>
                </pt>
                <pt idx="23">
                  <v>89.43931774006262</v>
                </pt>
                <pt idx="24">
                  <v>89.68265802616096</v>
                </pt>
                <pt idx="25">
                  <v>89.01105596700049</v>
                </pt>
                <pt idx="26">
                  <v>89.87732246846194</v>
                </pt>
                <pt idx="27">
                  <v>89.24466303098377</v>
                </pt>
                <pt idx="28">
                  <v>89.27385296410679</v>
                </pt>
                <pt idx="29">
                  <v>88.21292202034439</v>
                </pt>
                <pt idx="30">
                  <v>87.87225924631768</v>
                </pt>
                <pt idx="31">
                  <v>88.14478946553905</v>
                </pt>
                <pt idx="32">
                  <v>86.90866052370575</v>
                </pt>
                <pt idx="33">
                  <v>87.83332635785749</v>
                </pt>
                <pt idx="34">
                  <v>86.69452963717468</v>
                </pt>
                <pt idx="35">
                  <v>85.53626647226179</v>
                </pt>
                <pt idx="36">
                  <v>85.44866747322634</v>
                </pt>
                <pt idx="37">
                  <v>85.58493258283701</v>
                </pt>
                <pt idx="38">
                  <v>85.15667080977488</v>
                </pt>
                <pt idx="39">
                  <v>84.58241070498701</v>
                </pt>
                <pt idx="40">
                  <v>84.51427815018168</v>
                </pt>
                <pt idx="41">
                  <v>83.86214253525129</v>
                </pt>
                <pt idx="42">
                  <v>85.00093925593411</v>
                </pt>
                <pt idx="43">
                  <v>84.38773652946394</v>
                </pt>
                <pt idx="44">
                  <v>84.95226341213674</v>
                </pt>
                <pt idx="45">
                  <v>85.33186880784577</v>
                </pt>
                <pt idx="46">
                  <v>84.72840903671275</v>
                </pt>
                <pt idx="47">
                  <v>83.96920797851683</v>
                </pt>
                <pt idx="48">
                  <v>85.53626647226179</v>
                </pt>
                <pt idx="49">
                  <v>85.27346947515547</v>
                </pt>
                <pt idx="50">
                  <v>85.21507014246518</v>
                </pt>
                <pt idx="51">
                  <v>87.60946224921138</v>
                </pt>
                <pt idx="52">
                  <v>87.51213002806088</v>
                </pt>
                <pt idx="53">
                  <v>88.00852435592836</v>
                </pt>
                <pt idx="54">
                  <v>88.77745863623932</v>
                </pt>
                <pt idx="55">
                  <v>89.26411974199175</v>
                </pt>
                <pt idx="56">
                  <v>88.96238985642525</v>
                </pt>
                <pt idx="57">
                  <v>89.82865635788669</v>
                </pt>
                <pt idx="58">
                  <v>90.61705708242775</v>
                </pt>
                <pt idx="59">
                  <v>90.48079197281706</v>
                </pt>
                <pt idx="60">
                  <v>91.13291785452532</v>
                </pt>
                <pt idx="61">
                  <v>90.51972486127727</v>
                </pt>
                <pt idx="62">
                  <v>91.27891618625104</v>
                </pt>
                <pt idx="63">
                  <v>91.31785880793336</v>
                </pt>
                <pt idx="64">
                  <v>90.87012085741901</v>
                </pt>
                <pt idx="65">
                  <v>91.46384740643697</v>
                </pt>
                <pt idx="66">
                  <v>91.89211891272123</v>
                </pt>
                <pt idx="67">
                  <v>91.33731551894134</v>
                </pt>
                <pt idx="68">
                  <v>91.47358062855201</v>
                </pt>
                <pt idx="69">
                  <v>89.7118576925061</v>
                </pt>
                <pt idx="70">
                  <v>89.67292480404591</v>
                </pt>
                <pt idx="71">
                  <v>91.58064607181755</v>
                </pt>
                <pt idx="72">
                  <v>90.77278863626852</v>
                </pt>
                <pt idx="73">
                  <v>91.03558563337482</v>
                </pt>
                <pt idx="74">
                  <v>91.6682548040751</v>
                </pt>
                <pt idx="75">
                  <v>90.77278863626852</v>
                </pt>
                <pt idx="76">
                  <v>92.57344446077462</v>
                </pt>
                <pt idx="77">
                  <v>91.83370984680882</v>
                </pt>
                <pt idx="78">
                  <v>90.2277281978258</v>
                </pt>
                <pt idx="79">
                  <v>92.22304846463288</v>
                </pt>
                <pt idx="80">
                  <v>92.31064746366832</v>
                </pt>
                <pt idx="81">
                  <v>91.36651518528649</v>
                </pt>
                <pt idx="82">
                  <v>92.50531190596929</v>
                </pt>
                <pt idx="83">
                  <v>92.65131997091713</v>
                </pt>
                <pt idx="84">
                  <v>91.81425313580083</v>
                </pt>
                <pt idx="85">
                  <v>92.55397801654453</v>
                </pt>
                <pt idx="86">
                  <v>92.87517434634114</v>
                </pt>
                <pt idx="87">
                  <v>96.13583295454877</v>
                </pt>
                <pt idx="88">
                  <v>94.34491035215771</v>
                </pt>
                <pt idx="89">
                  <v>95.04570234444122</v>
                </pt>
                <pt idx="90">
                  <v>95.21117685361915</v>
                </pt>
                <pt idx="91">
                  <v>98.90004856877836</v>
                </pt>
                <pt idx="92">
                  <v>96.58357090506313</v>
                </pt>
                <pt idx="93">
                  <v>99.00711401204389</v>
                </pt>
                <pt idx="94">
                  <v>96.72956923678886</v>
                </pt>
                <pt idx="95">
                  <v>98.66645123801719</v>
                </pt>
                <pt idx="96">
                  <v>98.66645123801719</v>
                </pt>
                <pt idx="97">
                  <v>99.34787411829174</v>
                </pt>
                <pt idx="98">
                  <v>98.16032368803467</v>
                </pt>
                <pt idx="99">
                  <v>99.42564256299099</v>
                </pt>
                <pt idx="100">
                  <v>100.6813255480534</v>
                </pt>
                <pt idx="101">
                  <v>100.0194664442301</v>
                </pt>
                <pt idx="102">
                  <v>100.603459771133</v>
                </pt>
                <pt idx="103">
                  <v>98.02405857842399</v>
                </pt>
                <pt idx="104">
                  <v>99.79560233558398</v>
                </pt>
                <pt idx="105">
                  <v>99.90266777884952</v>
                </pt>
                <pt idx="106">
                  <v>100.4769278836374</v>
                </pt>
                <pt idx="107">
                  <v>99.72746978077863</v>
                </pt>
                <pt idx="108">
                  <v>100</v>
                </pt>
                <pt idx="109">
                  <v>99.69827011443348</v>
                </pt>
                <pt idx="110">
                  <v>99.63977344952205</v>
                </pt>
                <pt idx="111">
                  <v>100.4379949951772</v>
                </pt>
                <pt idx="112">
                  <v>100.8370571018942</v>
                </pt>
                <pt idx="113">
                  <v>102.2289078643461</v>
                </pt>
                <pt idx="114">
                  <v>102.4722384172224</v>
                </pt>
                <pt idx="115">
                  <v>100.5839933269029</v>
                </pt>
                <pt idx="116">
                  <v>103.3092955191165</v>
                </pt>
                <pt idx="117">
                  <v>104.603814060418</v>
                </pt>
                <pt idx="118">
                  <v>104.6816798373384</v>
                </pt>
                <pt idx="119">
                  <v>103.7667569585238</v>
                </pt>
                <pt idx="120">
                  <v>104.5356815056127</v>
                </pt>
                <pt idx="121">
                  <v>104.8568778354093</v>
                </pt>
                <pt idx="122">
                  <v>105.5576698276928</v>
                </pt>
                <pt idx="123">
                  <v>106.1513963767107</v>
                </pt>
                <pt idx="124">
                  <v>107.4751145843574</v>
                </pt>
                <pt idx="125">
                  <v>106.0735305997904</v>
                </pt>
                <pt idx="126">
                  <v>107.3291162526316</v>
                </pt>
                <pt idx="127">
                  <v>106.3752604853568</v>
                </pt>
                <pt idx="128">
                  <v>106.6477907045782</v>
                </pt>
                <pt idx="129">
                  <v>107.8255105804991</v>
                </pt>
                <pt idx="130">
                  <v>107.6308461381981</v>
                </pt>
                <pt idx="131">
                  <v>108.6236347939331</v>
                </pt>
                <pt idx="132">
                  <v>108.1369736881807</v>
                </pt>
                <pt idx="133">
                  <v>108.8572321246943</v>
                </pt>
                <pt idx="134">
                  <v>109.3049603419865</v>
                </pt>
                <pt idx="135">
                  <v>107.5335139170477</v>
                </pt>
                <pt idx="136">
                  <v>108.3219049083666</v>
                </pt>
                <pt idx="137">
                  <v>108.3511045747117</v>
                </pt>
                <pt idx="138">
                  <v>106.8619215911093</v>
                </pt>
                <pt idx="139">
                  <v>109.5093580064025</v>
                </pt>
                <pt idx="140">
                  <v>107.8157773583841</v>
                </pt>
                <pt idx="141">
                  <v>107.0468528112952</v>
                </pt>
                <pt idx="142">
                  <v>105.8788661574894</v>
                </pt>
                <pt idx="143">
                  <v>106.5601917055428</v>
                </pt>
                <pt idx="144">
                  <v>106.5309920391976</v>
                </pt>
                <pt idx="145">
                  <v>106.9105877016845</v>
                </pt>
                <pt idx="146">
                  <v>107.4264484737821</v>
                </pt>
                <pt idx="147">
                  <v>108.1272404660656</v>
                </pt>
                <pt idx="148">
                  <v>107.1928511430209</v>
                </pt>
                <pt idx="149">
                  <v>107.007919922835</v>
                </pt>
                <pt idx="150">
                  <v>105.9080658238345</v>
                </pt>
                <pt idx="151">
                  <v>107.8839099131894</v>
                </pt>
                <pt idx="152">
                  <v>106.5407252613127</v>
                </pt>
                <pt idx="153">
                  <v>105.7036681594185</v>
                </pt>
                <pt idx="154">
                  <v>106.7256564814986</v>
                </pt>
                <pt idx="155">
                  <v>104.1852855094709</v>
                </pt>
                <pt idx="156">
                  <v>106.3363275968967</v>
                </pt>
                <pt idx="157">
                  <v>107.2901833641714</v>
                </pt>
                <pt idx="158">
                  <v>106.4531262622773</v>
                </pt>
                <pt idx="159">
                  <v>106.4725927065073</v>
                </pt>
                <pt idx="160">
                  <v>103.9127552902496</v>
                </pt>
                <pt idx="161">
                  <v>103.6596915152583</v>
                </pt>
                <pt idx="162">
                  <v>105.5187369392326</v>
                </pt>
                <pt idx="163">
                  <v>105.0612754998253</v>
                </pt>
                <pt idx="164">
                  <v>104.6914130594535</v>
                </pt>
                <pt idx="165">
                  <v>107.2220508093661</v>
                </pt>
                <pt idx="166">
                  <v>105.1294080546306</v>
                </pt>
                <pt idx="167">
                  <v>105.7426010478787</v>
                </pt>
                <pt idx="168">
                  <v>106.4433930401622</v>
                </pt>
                <pt idx="169">
                  <v>107.5237806949326</v>
                </pt>
                <pt idx="170">
                  <v>107.1636514766758</v>
                </pt>
                <pt idx="171">
                  <v>107.1928511430209</v>
                </pt>
                <pt idx="172">
                  <v>106.6185910382331</v>
                </pt>
                <pt idx="173">
                  <v>107.6405793603132</v>
                </pt>
                <pt idx="174">
                  <v>108.0785743554904</v>
                </pt>
                <pt idx="175">
                  <v>104.2534180642763</v>
                </pt>
                <pt idx="176">
                  <v>107.9033763574195</v>
                </pt>
                <pt idx="177">
                  <v>108.7015005708535</v>
                </pt>
                <pt idx="178">
                  <v>106.8911212574544</v>
                </pt>
                <pt idx="179">
                  <v>107.1149853661006</v>
                </pt>
                <pt idx="180">
                  <v>108.8864317910394</v>
                </pt>
                <pt idx="181">
                  <v>107.6211129160831</v>
                </pt>
                <pt idx="182">
                  <v>105.3046060527015</v>
                </pt>
                <pt idx="183">
                  <v>108.00070857857</v>
                </pt>
                <pt idx="184">
                  <v>106.803522258419</v>
                </pt>
                <pt idx="185">
                  <v>106.7451229257287</v>
                </pt>
                <pt idx="186">
                  <v>106.404460151702</v>
                </pt>
                <pt idx="187">
                  <v>105.810733602684</v>
                </pt>
                <pt idx="188">
                  <v>108.5165693506676</v>
                </pt>
                <pt idx="189">
                  <v>105.3240724969316</v>
                </pt>
                <pt idx="190">
                  <v>109.5482908948627</v>
                </pt>
                <pt idx="191">
                  <v>108.2635055756763</v>
                </pt>
                <pt idx="192">
                  <v>107.5724468055078</v>
                </pt>
                <pt idx="193">
                  <v>106.8327219247641</v>
                </pt>
                <pt idx="194">
                  <v>108.808566014119</v>
                </pt>
                <pt idx="195">
                  <v>108.2537723535612</v>
                </pt>
                <pt idx="196">
                  <v>109.996019112155</v>
                </pt>
                <pt idx="197">
                  <v>109.811087891969</v>
                </pt>
                <pt idx="198">
                  <v>108.2927052420214</v>
                </pt>
                <pt idx="199">
                  <v>107.5627135833928</v>
                </pt>
                <pt idx="200">
                  <v>109.2173613429511</v>
                </pt>
                <pt idx="201">
                  <v>108.3413713525967</v>
                </pt>
                <pt idx="202">
                  <v>107.7281783593486</v>
                </pt>
                <pt idx="203">
                  <v>109.5288244506326</v>
                </pt>
                <pt idx="204">
                  <v>108.3316381304816</v>
                </pt>
                <pt idx="205">
                  <v>109.3146935641015</v>
                </pt>
                <pt idx="206">
                  <v>110.1322842217656</v>
                </pt>
                <pt idx="207">
                  <v>108.3024384641365</v>
                </pt>
                <pt idx="208">
                  <v>110.9012087688545</v>
                </pt>
                <pt idx="209">
                  <v>110.4826802179074</v>
                </pt>
                <pt idx="210">
                  <v>110.6286785496331</v>
                </pt>
                <pt idx="211">
                  <v>111.3003682077926</v>
                </pt>
                <pt idx="212">
                  <v>108.7404334593137</v>
                </pt>
                <pt idx="213">
                  <v>111.2030359866421</v>
                </pt>
                <pt idx="214">
                  <v>109.2757606756414</v>
                </pt>
                <pt idx="215">
                  <v>109.4509586737122</v>
                </pt>
                <pt idx="216">
                  <v>110.395081218872</v>
                </pt>
                <pt idx="217">
                  <v>111.3977004289431</v>
                </pt>
                <pt idx="218">
                  <v>110.1030845554205</v>
                </pt>
                <pt idx="219">
                  <v>112.4878213058285</v>
                </pt>
                <pt idx="220">
                  <v>107.1831179209059</v>
                </pt>
                <pt idx="221">
                  <v>106.8716548132243</v>
                </pt>
                <pt idx="222">
                  <v>107.7087119151185</v>
                </pt>
                <pt idx="223">
                  <v>106.1903292651709</v>
                </pt>
                <pt idx="224">
                  <v>105.7328678257636</v>
                </pt>
                <pt idx="225">
                  <v>103.7570237364088</v>
                </pt>
                <pt idx="226">
                  <v>98.5496525726366</v>
                </pt>
                <pt idx="227">
                  <v>97.18703067619614</v>
                </pt>
                <pt idx="228">
                  <v>93.61490896030696</v>
                </pt>
                <pt idx="229">
                  <v>92.31064746366832</v>
                </pt>
                <pt idx="230">
                  <v>90.61705708242775</v>
                </pt>
                <pt idx="231">
                  <v>90.57812419396754</v>
                </pt>
                <pt idx="232">
                  <v>91.6487786266229</v>
                </pt>
                <pt idx="233">
                  <v>92.84597467999599</v>
                </pt>
                <pt idx="234">
                  <v>92.47611223962414</v>
                </pt>
                <pt idx="235">
                  <v>94.0237140223611</v>
                </pt>
                <pt idx="236">
                  <v>94.50064190599849</v>
                </pt>
                <pt idx="237">
                  <v>93.86797273529821</v>
                </pt>
                <pt idx="238">
                  <v>94.7829053473349</v>
                </pt>
                <pt idx="239">
                  <v>94.49090868388345</v>
                </pt>
                <pt idx="240">
                  <v>95.50317351707061</v>
                </pt>
                <pt idx="241">
                  <v>94.89970401271549</v>
                </pt>
                <pt idx="242">
                  <v>96.76850212524904</v>
                </pt>
                <pt idx="243">
                  <v>96.39862995165508</v>
                </pt>
                <pt idx="244">
                  <v>97.17730718730321</v>
                </pt>
                <pt idx="245">
                  <v>96.76850212524904</v>
                </pt>
                <pt idx="246">
                  <v>97.43033202940602</v>
                </pt>
                <pt idx="247">
                  <v>96.43757257333741</v>
                </pt>
                <pt idx="248">
                  <v>97.61526324959195</v>
                </pt>
                <pt idx="249">
                  <v>97.46926491786621</v>
                </pt>
                <pt idx="250">
                  <v>98.70538412647738</v>
                </pt>
                <pt idx="251">
                  <v>100</v>
                </pt>
                <pt idx="252">
                  <v>101.197186320151</v>
                </pt>
                <pt idx="253">
                  <v>101.5183826499476</v>
                </pt>
                <pt idx="254">
                  <v>100.2433305528762</v>
                </pt>
                <pt idx="255">
                  <v>98.5496525726366</v>
                </pt>
                <pt idx="256">
                  <v>101.7714464249389</v>
                </pt>
                <pt idx="257">
                  <v>98.97791434569874</v>
                </pt>
                <pt idx="258">
                  <v>100.0973322211505</v>
                </pt>
                <pt idx="259">
                  <v>99.26027511925631</v>
                </pt>
                <pt idx="260">
                  <v>98.51071968417642</v>
                </pt>
                <pt idx="261">
                  <v>98.74431701493758</v>
                </pt>
                <pt idx="262">
                  <v>100.8565235461243</v>
                </pt>
                <pt idx="263">
                  <v>98.73458379282253</v>
                </pt>
                <pt idx="264">
                  <v>98.16032368803467</v>
                </pt>
                <pt idx="265">
                  <v>99.09481034330048</v>
                </pt>
                <pt idx="266">
                  <v>98.30632201976039</v>
                </pt>
                <pt idx="267">
                  <v>98.53018612840651</v>
                </pt>
                <pt idx="268">
                  <v>97.1188981213908</v>
                </pt>
                <pt idx="269">
                  <v>96.53489506126577</v>
                </pt>
                <pt idx="270">
                  <v>97.08969845504565</v>
                </pt>
                <pt idx="271">
                  <v>99.02658045627398</v>
                </pt>
                <pt idx="272">
                  <v>97.29409611946168</v>
                </pt>
                <pt idx="273">
                  <v>95.57130607187595</v>
                </pt>
                <pt idx="274">
                  <v>95.56157284976091</v>
                </pt>
                <pt idx="275">
                  <v>96.8366346800544</v>
                </pt>
                <pt idx="276">
                  <v>95.93143529013275</v>
                </pt>
                <pt idx="277">
                  <v>97.02156590024032</v>
                </pt>
                <pt idx="278">
                  <v>97.14809778773595</v>
                </pt>
                <pt idx="279">
                  <v>98.69565090436234</v>
                </pt>
                <pt idx="280">
                  <v>98.36472135245069</v>
                </pt>
                <pt idx="281">
                  <v>97.1967638983112</v>
                </pt>
                <pt idx="282">
                  <v>96.44730579545245</v>
                </pt>
                <pt idx="283">
                  <v>95.95090173436286</v>
                </pt>
                <pt idx="284">
                  <v>96.26237457526652</v>
                </pt>
                <pt idx="285">
                  <v>96.36944001853206</v>
                </pt>
                <pt idx="286">
                  <v>98.10192435534438</v>
                </pt>
                <pt idx="287">
                  <v>96.86583434639954</v>
                </pt>
                <pt idx="288">
                  <v>95.30849934154753</v>
                </pt>
                <pt idx="289">
                  <v>96.79770179159419</v>
                </pt>
                <pt idx="290">
                  <v>96.08717657719565</v>
                </pt>
                <pt idx="291">
                  <v>96.42782961800023</v>
                </pt>
                <pt idx="292">
                  <v>94.27677779735237</v>
                </pt>
                <pt idx="293">
                  <v>96.45702928434538</v>
                </pt>
                <pt idx="294">
                  <v>97.65419613805213</v>
                </pt>
                <pt idx="295">
                  <v>95.73677084783179</v>
                </pt>
                <pt idx="296">
                  <v>96.47650546179759</v>
                </pt>
                <pt idx="297">
                  <v>94.98730301175092</v>
                </pt>
                <pt idx="298">
                  <v>94.09184657716645</v>
                </pt>
                <pt idx="299">
                  <v>96.70036957044371</v>
                </pt>
                <pt idx="300">
                  <v>96.85610112428449</v>
                </pt>
                <pt idx="301">
                  <v>97.40113236306087</v>
                </pt>
                <pt idx="302">
                  <v>97.15783100985099</v>
                </pt>
                <pt idx="303">
                  <v>96.71009305933664</v>
                </pt>
                <pt idx="304">
                  <v>97.60553002747689</v>
                </pt>
                <pt idx="305">
                  <v>97.47899813998126</v>
                </pt>
                <pt idx="306">
                  <v>96.49596217280558</v>
                </pt>
                <pt idx="307">
                  <v>97.29409611946168</v>
                </pt>
                <pt idx="308">
                  <v>98.45232035148612</v>
                </pt>
                <pt idx="309">
                  <v>98.85138245820312</v>
                </pt>
                <pt idx="310">
                  <v>96.71009305933664</v>
                </pt>
                <pt idx="311">
                  <v>96.99236623389517</v>
                </pt>
                <pt idx="312">
                  <v>98.99738078992885</v>
                </pt>
                <pt idx="313">
                  <v>97.91699313515845</v>
                </pt>
                <pt idx="314">
                  <v>97.44979847363611</v>
                </pt>
                <pt idx="315">
                  <v>98.47178679571621</v>
                </pt>
                <pt idx="316">
                  <v>96.97289978966508</v>
                </pt>
                <pt idx="317">
                  <v>96.62250379352332</v>
                </pt>
                <pt idx="318">
                  <v>96.48623868391265</v>
                </pt>
                <pt idx="319">
                  <v>98.3452549082206</v>
                </pt>
                <pt idx="320">
                  <v>97.35246625248561</v>
                </pt>
                <pt idx="321">
                  <v>97.00209945601023</v>
                </pt>
                <pt idx="322">
                  <v>99.52307211636263</v>
                </pt>
                <pt idx="323">
                  <v>98.08245791111426</v>
                </pt>
                <pt idx="324">
                  <v>98.67618446013223</v>
                </pt>
                <pt idx="325">
                  <v>97.42059880729097</v>
                </pt>
                <pt idx="326">
                  <v>98.50098646206136</v>
                </pt>
                <pt idx="327">
                  <v>98.44258712937108</v>
                </pt>
                <pt idx="328">
                  <v>100.5353272163277</v>
                </pt>
                <pt idx="329">
                  <v>99.42564256299099</v>
                </pt>
                <pt idx="330">
                  <v>99.98053355576991</v>
                </pt>
                <pt idx="331">
                  <v>100.1751979980709</v>
                </pt>
                <pt idx="332">
                  <v>101.0219883220801</v>
                </pt>
                <pt idx="333">
                  <v>101.4502500951423</v>
                </pt>
                <pt idx="334">
                  <v>101.8687786460893</v>
                </pt>
                <pt idx="335">
                  <v>102.8810337460544</v>
                </pt>
                <pt idx="336">
                  <v>99.2992080077165</v>
                </pt>
                <pt idx="337">
                  <v>100.399062106717</v>
                </pt>
                <pt idx="338">
                  <v>101.1290537653456</v>
                </pt>
                <pt idx="339">
                  <v>99.90266777884952</v>
                </pt>
                <pt idx="340">
                  <v>98.9876475678138</v>
                </pt>
                <pt idx="341">
                  <v>100.7202584365136</v>
                </pt>
                <pt idx="342">
                  <v>100.6715923259383</v>
                </pt>
                <pt idx="343">
                  <v>101.3723843182218</v>
                </pt>
                <pt idx="344">
                  <v>100.1459983317257</v>
                </pt>
                <pt idx="345">
                  <v>100.8857232124694</v>
                </pt>
                <pt idx="346">
                  <v>100.0486661105752</v>
                </pt>
                <pt idx="347">
                  <v>100.9343893230447</v>
                </pt>
                <pt idx="348">
                  <v>101.9758440893549</v>
                </pt>
                <pt idx="349">
                  <v>101.4989162057175</v>
                </pt>
                <pt idx="350">
                  <v>100.8662567682393</v>
                </pt>
                <pt idx="351">
                  <v>101.3042517634165</v>
                </pt>
                <pt idx="352">
                  <v>102.9880991893199</v>
                </pt>
                <pt idx="353">
                  <v>100.593726549018</v>
                </pt>
                <pt idx="354">
                  <v>100.9051896566995</v>
                </pt>
                <pt idx="355">
                  <v>99.88320133461943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World'!$K$2:$K$358</f>
              <numCache>
                <formatCode>0.00</formatCode>
                <ptCount val="357"/>
                <pt idx="0">
                  <v>84.99142273173993</v>
                </pt>
                <pt idx="1">
                  <v>82.86546447360332</v>
                </pt>
                <pt idx="2">
                  <v>83.72921265140752</v>
                </pt>
                <pt idx="3">
                  <v>84.86787975149923</v>
                </pt>
                <pt idx="4">
                  <v>83.97263527198403</v>
                </pt>
                <pt idx="5">
                  <v>86.16706008972234</v>
                </pt>
                <pt idx="6">
                  <v>83.59909250228012</v>
                </pt>
                <pt idx="7">
                  <v>82.51140898789919</v>
                </pt>
                <pt idx="8">
                  <v>85.37990519107896</v>
                </pt>
                <pt idx="9">
                  <v>81.96560502795506</v>
                </pt>
                <pt idx="10">
                  <v>84.62256229993743</v>
                </pt>
                <pt idx="11">
                  <v>84.20965757456581</v>
                </pt>
                <pt idx="12">
                  <v>84.29631451162626</v>
                </pt>
                <pt idx="13">
                  <v>82.95730061535689</v>
                </pt>
                <pt idx="14">
                  <v>80.06974662320064</v>
                </pt>
                <pt idx="15">
                  <v>86.04301182121891</v>
                </pt>
                <pt idx="16">
                  <v>81.8068855631564</v>
                </pt>
                <pt idx="17">
                  <v>84.37126560393317</v>
                </pt>
                <pt idx="18">
                  <v>82.30583245820213</v>
                </pt>
                <pt idx="19">
                  <v>82.11485875929836</v>
                </pt>
                <pt idx="20">
                  <v>84.16879659705198</v>
                </pt>
                <pt idx="21">
                  <v>84.67393327331631</v>
                </pt>
                <pt idx="22">
                  <v>84.42676309812445</v>
                </pt>
                <pt idx="23">
                  <v>85.27463680300747</v>
                </pt>
                <pt idx="24">
                  <v>83.95456279511993</v>
                </pt>
                <pt idx="25">
                  <v>84.12635238298155</v>
                </pt>
                <pt idx="26">
                  <v>83.0029281454826</v>
                </pt>
                <pt idx="27">
                  <v>83.05766770727978</v>
                </pt>
                <pt idx="28">
                  <v>82.33342119734792</v>
                </pt>
                <pt idx="29">
                  <v>81.29505381741072</v>
                </pt>
                <pt idx="30">
                  <v>80.50006695069482</v>
                </pt>
                <pt idx="31">
                  <v>80.16826099149347</v>
                </pt>
                <pt idx="32">
                  <v>79.59054807775712</v>
                </pt>
                <pt idx="33">
                  <v>79.25284708882378</v>
                </pt>
                <pt idx="34">
                  <v>77.65696990418893</v>
                </pt>
                <pt idx="35">
                  <v>76.36344037303749</v>
                </pt>
                <pt idx="36">
                  <v>77.81614412842406</v>
                </pt>
                <pt idx="37">
                  <v>76.48134096767755</v>
                </pt>
                <pt idx="38">
                  <v>76.48470955609584</v>
                </pt>
                <pt idx="39">
                  <v>76.27669079979553</v>
                </pt>
                <pt idx="40">
                  <v>76.74576673704209</v>
                </pt>
                <pt idx="41">
                  <v>76.32637747896527</v>
                </pt>
                <pt idx="42">
                  <v>77.09441563833487</v>
                </pt>
                <pt idx="43">
                  <v>75.65855482503972</v>
                </pt>
                <pt idx="44">
                  <v>77.99804790301161</v>
                </pt>
                <pt idx="45">
                  <v>78.56312861017936</v>
                </pt>
                <pt idx="46">
                  <v>78.8561958025704</v>
                </pt>
                <pt idx="47">
                  <v>79.07178546134081</v>
                </pt>
                <pt idx="48">
                  <v>78.71471508900231</v>
                </pt>
                <pt idx="49">
                  <v>81.16873175172493</v>
                </pt>
                <pt idx="50">
                  <v>81.08788562968603</v>
                </pt>
                <pt idx="51">
                  <v>82.32163113788391</v>
                </pt>
                <pt idx="52">
                  <v>81.57717309744231</v>
                </pt>
                <pt idx="53">
                  <v>82.96418937867229</v>
                </pt>
                <pt idx="54">
                  <v>84.253533438714</v>
                </pt>
                <pt idx="55">
                  <v>84.25774417423688</v>
                </pt>
                <pt idx="56">
                  <v>84.28806147000147</v>
                </pt>
                <pt idx="57">
                  <v>85.0038865088876</v>
                </pt>
                <pt idx="58">
                  <v>86.24268489971291</v>
                </pt>
                <pt idx="59">
                  <v>88.74301965318698</v>
                </pt>
                <pt idx="60">
                  <v>88.28236518698613</v>
                </pt>
                <pt idx="61">
                  <v>87.27684154412724</v>
                </pt>
                <pt idx="62">
                  <v>87.23136560048036</v>
                </pt>
                <pt idx="63">
                  <v>87.63222762225659</v>
                </pt>
                <pt idx="64">
                  <v>88.44405743106394</v>
                </pt>
                <pt idx="65">
                  <v>87.73496956901437</v>
                </pt>
                <pt idx="66">
                  <v>87.15304591975516</v>
                </pt>
                <pt idx="67">
                  <v>87.0410403548471</v>
                </pt>
                <pt idx="68">
                  <v>87.59180456123714</v>
                </pt>
                <pt idx="69">
                  <v>86.39679781984957</v>
                </pt>
                <pt idx="70">
                  <v>87.14799303712773</v>
                </pt>
                <pt idx="71">
                  <v>88.26046936226726</v>
                </pt>
                <pt idx="72">
                  <v>84.75124237751602</v>
                </pt>
                <pt idx="73">
                  <v>85.06620539462591</v>
                </pt>
                <pt idx="74">
                  <v>85.80561055244007</v>
                </pt>
                <pt idx="75">
                  <v>84.53733701295475</v>
                </pt>
                <pt idx="76">
                  <v>85.91256323472071</v>
                </pt>
                <pt idx="77">
                  <v>87.21031192286607</v>
                </pt>
                <pt idx="78">
                  <v>85.78287258061664</v>
                </pt>
                <pt idx="79">
                  <v>86.55933221103196</v>
                </pt>
                <pt idx="80">
                  <v>86.90882325942931</v>
                </pt>
                <pt idx="81">
                  <v>87.0528304143111</v>
                </pt>
                <pt idx="82">
                  <v>88.2293099193981</v>
                </pt>
                <pt idx="83">
                  <v>86.92482405441618</v>
                </pt>
                <pt idx="84">
                  <v>89.34768127426963</v>
                </pt>
                <pt idx="85">
                  <v>88.30762960012329</v>
                </pt>
                <pt idx="86">
                  <v>92.22614007769648</v>
                </pt>
                <pt idx="87">
                  <v>91.72843113889448</v>
                </pt>
                <pt idx="88">
                  <v>90.67069437555213</v>
                </pt>
                <pt idx="89">
                  <v>91.83791026248883</v>
                </pt>
                <pt idx="90">
                  <v>92.95965020577864</v>
                </pt>
                <pt idx="91">
                  <v>94.39130028355093</v>
                </pt>
                <pt idx="92">
                  <v>93.94580446523237</v>
                </pt>
                <pt idx="93">
                  <v>95.06501796720848</v>
                </pt>
                <pt idx="94">
                  <v>94.14539332901593</v>
                </pt>
                <pt idx="95">
                  <v>93.94327802391865</v>
                </pt>
                <pt idx="96">
                  <v>95.53409390445505</v>
                </pt>
                <pt idx="97">
                  <v>97.96284615404049</v>
                </pt>
                <pt idx="98">
                  <v>96.25834041438691</v>
                </pt>
                <pt idx="99">
                  <v>97.00700919035135</v>
                </pt>
                <pt idx="100">
                  <v>97.67988472690432</v>
                </pt>
                <pt idx="101">
                  <v>97.3354465611344</v>
                </pt>
                <pt idx="102">
                  <v>97.25291614488636</v>
                </pt>
                <pt idx="103">
                  <v>97.19059725914803</v>
                </pt>
                <pt idx="104">
                  <v>97.46176862682019</v>
                </pt>
                <pt idx="105">
                  <v>98.75867516786097</v>
                </pt>
                <pt idx="106">
                  <v>97.84915629492329</v>
                </pt>
                <pt idx="107">
                  <v>98.66014395662604</v>
                </pt>
                <pt idx="108">
                  <v>100</v>
                </pt>
                <pt idx="109">
                  <v>97.94600321194905</v>
                </pt>
                <pt idx="110">
                  <v>96.7686815597575</v>
                </pt>
                <pt idx="111">
                  <v>99.09469186258517</v>
                </pt>
                <pt idx="112">
                  <v>98.42350062024134</v>
                </pt>
                <pt idx="113">
                  <v>99.42733996889108</v>
                </pt>
                <pt idx="114">
                  <v>101.1512150919498</v>
                </pt>
                <pt idx="115">
                  <v>99.66061471685751</v>
                </pt>
                <pt idx="116">
                  <v>101.0046814957543</v>
                </pt>
                <pt idx="117">
                  <v>101.5318655832163</v>
                </pt>
                <pt idx="118">
                  <v>101.9714663718029</v>
                </pt>
                <pt idx="119">
                  <v>102.7992969755971</v>
                </pt>
                <pt idx="120">
                  <v>103.0468882243412</v>
                </pt>
                <pt idx="121">
                  <v>103.3433240051506</v>
                </pt>
                <pt idx="122">
                  <v>104.5880174257079</v>
                </pt>
                <pt idx="123">
                  <v>104.0911506340104</v>
                </pt>
                <pt idx="124">
                  <v>105.1244651313202</v>
                </pt>
                <pt idx="125">
                  <v>104.0903084869059</v>
                </pt>
                <pt idx="126">
                  <v>104.8322400860337</v>
                </pt>
                <pt idx="127">
                  <v>104.2528428780883</v>
                </pt>
                <pt idx="128">
                  <v>104.2738965557026</v>
                </pt>
                <pt idx="129">
                  <v>102.5525478739575</v>
                </pt>
                <pt idx="130">
                  <v>105.777971284468</v>
                </pt>
                <pt idx="131">
                  <v>106.7725470149675</v>
                </pt>
                <pt idx="132">
                  <v>103.4511188345358</v>
                </pt>
                <pt idx="133">
                  <v>103.9665128625338</v>
                </pt>
                <pt idx="134">
                  <v>103.5673351349667</v>
                </pt>
                <pt idx="135">
                  <v>101.8838830729274</v>
                </pt>
                <pt idx="136">
                  <v>104.0886241926967</v>
                </pt>
                <pt idx="137">
                  <v>104.0970456637424</v>
                </pt>
                <pt idx="138">
                  <v>101.8400914234897</v>
                </pt>
                <pt idx="139">
                  <v>105.7535490184354</v>
                </pt>
                <pt idx="140">
                  <v>103.4999633666009</v>
                </pt>
                <pt idx="141">
                  <v>102.5618114921078</v>
                </pt>
                <pt idx="142">
                  <v>101.0181558494275</v>
                </pt>
                <pt idx="143">
                  <v>100.8926759308463</v>
                </pt>
                <pt idx="144">
                  <v>102.2839029475991</v>
                </pt>
                <pt idx="145">
                  <v>102.575285845781</v>
                </pt>
                <pt idx="146">
                  <v>102.0607339648875</v>
                </pt>
                <pt idx="147">
                  <v>103.3525876233009</v>
                </pt>
                <pt idx="148">
                  <v>102.3032723310042</v>
                </pt>
                <pt idx="149">
                  <v>102.089366966443</v>
                </pt>
                <pt idx="150">
                  <v>102.9298297768057</v>
                </pt>
                <pt idx="151">
                  <v>103.3761677422289</v>
                </pt>
                <pt idx="152">
                  <v>103.5201748971107</v>
                </pt>
                <pt idx="153">
                  <v>104.4482210063489</v>
                </pt>
                <pt idx="154">
                  <v>103.9783029219978</v>
                </pt>
                <pt idx="155">
                  <v>103.1765788784453</v>
                </pt>
                <pt idx="156">
                  <v>104.2738965557026</v>
                </pt>
                <pt idx="157">
                  <v>104.5737009249302</v>
                </pt>
                <pt idx="158">
                  <v>103.9614599799064</v>
                </pt>
                <pt idx="159">
                  <v>104.5315935697016</v>
                </pt>
                <pt idx="160">
                  <v>103.4553295700586</v>
                </pt>
                <pt idx="161">
                  <v>103.7534496450771</v>
                </pt>
                <pt idx="162">
                  <v>104.4785383021135</v>
                </pt>
                <pt idx="163">
                  <v>104.2528428780883</v>
                </pt>
                <pt idx="164">
                  <v>103.4679617766272</v>
                </pt>
                <pt idx="165">
                  <v>105.6929144269063</v>
                </pt>
                <pt idx="166">
                  <v>104.7598154350406</v>
                </pt>
                <pt idx="167">
                  <v>104.1863132568271</v>
                </pt>
                <pt idx="168">
                  <v>104.24947428967</v>
                </pt>
                <pt idx="169">
                  <v>104.7960277605371</v>
                </pt>
                <pt idx="170">
                  <v>106.2478893688192</v>
                </pt>
                <pt idx="171">
                  <v>105.6550178072005</v>
                </pt>
                <pt idx="172">
                  <v>106.2083084549043</v>
                </pt>
                <pt idx="173">
                  <v>106.7405454249937</v>
                </pt>
                <pt idx="174">
                  <v>106.732123953948</v>
                </pt>
                <pt idx="175">
                  <v>105.1522559857711</v>
                </pt>
                <pt idx="176">
                  <v>107.0294018818619</v>
                </pt>
                <pt idx="177">
                  <v>106.035668298467</v>
                </pt>
                <pt idx="178">
                  <v>106.9039219632807</v>
                </pt>
                <pt idx="179">
                  <v>104.7328667276943</v>
                </pt>
                <pt idx="180">
                  <v>105.1480452502482</v>
                </pt>
                <pt idx="181">
                  <v>105.7577597539583</v>
                </pt>
                <pt idx="182">
                  <v>106.2984181950935</v>
                </pt>
                <pt idx="183">
                  <v>107.4336324920564</v>
                </pt>
                <pt idx="184">
                  <v>106.3758957287141</v>
                </pt>
                <pt idx="185">
                  <v>106.8576038725292</v>
                </pt>
                <pt idx="186">
                  <v>107.0479291181625</v>
                </pt>
                <pt idx="187">
                  <v>108.12503526491</v>
                </pt>
                <pt idx="188">
                  <v>107.5279529677685</v>
                </pt>
                <pt idx="189">
                  <v>106.684963716092</v>
                </pt>
                <pt idx="190">
                  <v>108.2740953024192</v>
                </pt>
                <pt idx="191">
                  <v>109.4084674522776</v>
                </pt>
                <pt idx="192">
                  <v>109.8665954771648</v>
                </pt>
                <pt idx="193">
                  <v>109.8750169482105</v>
                </pt>
                <pt idx="194">
                  <v>110.4476769793194</v>
                </pt>
                <pt idx="195">
                  <v>109.4463640719834</v>
                </pt>
                <pt idx="196">
                  <v>111.0119155393826</v>
                </pt>
                <pt idx="197">
                  <v>111.5778383936549</v>
                </pt>
                <pt idx="198">
                  <v>110.9007521215791</v>
                </pt>
                <pt idx="199">
                  <v>110.8780141497557</v>
                </pt>
                <pt idx="200">
                  <v>111.8624841150002</v>
                </pt>
                <pt idx="201">
                  <v>111.0093890980689</v>
                </pt>
                <pt idx="202">
                  <v>112.5311489160303</v>
                </pt>
                <pt idx="203">
                  <v>114.8175783049432</v>
                </pt>
                <pt idx="204">
                  <v>113.322767194328</v>
                </pt>
                <pt idx="205">
                  <v>113.0987560645118</v>
                </pt>
                <pt idx="206">
                  <v>114.8167361578386</v>
                </pt>
                <pt idx="207">
                  <v>111.6797381933081</v>
                </pt>
                <pt idx="208">
                  <v>114.9194781045964</v>
                </pt>
                <pt idx="209">
                  <v>115.1611743236085</v>
                </pt>
                <pt idx="210">
                  <v>112.1782892792147</v>
                </pt>
                <pt idx="211">
                  <v>112.6414701867293</v>
                </pt>
                <pt idx="212">
                  <v>113.1787600394462</v>
                </pt>
                <pt idx="213">
                  <v>112.9235894667609</v>
                </pt>
                <pt idx="214">
                  <v>111.7799536987522</v>
                </pt>
                <pt idx="215">
                  <v>112.5631505060041</v>
                </pt>
                <pt idx="216">
                  <v>113.4415099360726</v>
                </pt>
                <pt idx="217">
                  <v>112.6423123338338</v>
                </pt>
                <pt idx="218">
                  <v>110.2093493487255</v>
                </pt>
                <pt idx="219">
                  <v>111.965226061758</v>
                </pt>
                <pt idx="220">
                  <v>108.3936801912684</v>
                </pt>
                <pt idx="221">
                  <v>104.3766385024603</v>
                </pt>
                <pt idx="222">
                  <v>107.1338281228288</v>
                </pt>
                <pt idx="223">
                  <v>103.3298496514774</v>
                </pt>
                <pt idx="224">
                  <v>102.5997081118136</v>
                </pt>
                <pt idx="225">
                  <v>96.54298613573222</v>
                </pt>
                <pt idx="226">
                  <v>93.4228311132932</v>
                </pt>
                <pt idx="227">
                  <v>90.27067450088046</v>
                </pt>
                <pt idx="228">
                  <v>89.79570353390189</v>
                </pt>
                <pt idx="229">
                  <v>89.22978067962956</v>
                </pt>
                <pt idx="230">
                  <v>86.60565030178341</v>
                </pt>
                <pt idx="231">
                  <v>87.57243517783199</v>
                </pt>
                <pt idx="232">
                  <v>86.80776560688068</v>
                </pt>
                <pt idx="233">
                  <v>87.47221967238792</v>
                </pt>
                <pt idx="234">
                  <v>88.24446856728039</v>
                </pt>
                <pt idx="235">
                  <v>88.38005425111648</v>
                </pt>
                <pt idx="236">
                  <v>89.28115165300844</v>
                </pt>
                <pt idx="237">
                  <v>88.56280017280858</v>
                </pt>
                <pt idx="238">
                  <v>88.12993656105861</v>
                </pt>
                <pt idx="239">
                  <v>88.98050513667626</v>
                </pt>
                <pt idx="240">
                  <v>87.84613298681786</v>
                </pt>
                <pt idx="241">
                  <v>87.71981092113208</v>
                </pt>
                <pt idx="242">
                  <v>90.01803036950888</v>
                </pt>
                <pt idx="243">
                  <v>89.98181804401229</v>
                </pt>
                <pt idx="244">
                  <v>89.2912574182633</v>
                </pt>
                <pt idx="245">
                  <v>89.70475164660812</v>
                </pt>
                <pt idx="246">
                  <v>88.58974888015489</v>
                </pt>
                <pt idx="247">
                  <v>87.7913934250207</v>
                </pt>
                <pt idx="248">
                  <v>88.08951350003916</v>
                </pt>
                <pt idx="249">
                  <v>88.56364231991316</v>
                </pt>
                <pt idx="250">
                  <v>91.0589241907598</v>
                </pt>
                <pt idx="251">
                  <v>88.57880096779546</v>
                </pt>
                <pt idx="252">
                  <v>89.06050911161059</v>
                </pt>
                <pt idx="253">
                  <v>89.9515007482477</v>
                </pt>
                <pt idx="254">
                  <v>88.84997233546761</v>
                </pt>
                <pt idx="255">
                  <v>88.39352860478964</v>
                </pt>
                <pt idx="256">
                  <v>87.70886300877265</v>
                </pt>
                <pt idx="257">
                  <v>87.93287413858877</v>
                </pt>
                <pt idx="258">
                  <v>88.04740614481057</v>
                </pt>
                <pt idx="259">
                  <v>88.02298387877796</v>
                </pt>
                <pt idx="260">
                  <v>86.97451073358592</v>
                </pt>
                <pt idx="261">
                  <v>85.30537517232435</v>
                </pt>
                <pt idx="262">
                  <v>84.95504197682243</v>
                </pt>
                <pt idx="263">
                  <v>86.41027217352273</v>
                </pt>
                <pt idx="264">
                  <v>84.79587617405834</v>
                </pt>
                <pt idx="265">
                  <v>83.64043350364355</v>
                </pt>
                <pt idx="266">
                  <v>82.5557480329549</v>
                </pt>
                <pt idx="267">
                  <v>81.78349913806244</v>
                </pt>
                <pt idx="268">
                  <v>82.54227367928175</v>
                </pt>
                <pt idx="269">
                  <v>82.13214803935522</v>
                </pt>
                <pt idx="270">
                  <v>81.46179894411597</v>
                </pt>
                <pt idx="271">
                  <v>83.35916479218756</v>
                </pt>
                <pt idx="272">
                  <v>80.42848444680619</v>
                </pt>
                <pt idx="273">
                  <v>81.13504586754205</v>
                </pt>
                <pt idx="274">
                  <v>79.14673655364771</v>
                </pt>
                <pt idx="275">
                  <v>79.46001527654848</v>
                </pt>
                <pt idx="276">
                  <v>80.32574250004842</v>
                </pt>
                <pt idx="277">
                  <v>79.68318425926003</v>
                </pt>
                <pt idx="278">
                  <v>80.48659259702166</v>
                </pt>
                <pt idx="279">
                  <v>79.45412024681647</v>
                </pt>
                <pt idx="280">
                  <v>79.95940850955964</v>
                </pt>
                <pt idx="281">
                  <v>80.77713334809899</v>
                </pt>
                <pt idx="282">
                  <v>80.55985939511942</v>
                </pt>
                <pt idx="283">
                  <v>81.38179496918163</v>
                </pt>
                <pt idx="284">
                  <v>81.16283672199293</v>
                </pt>
                <pt idx="285">
                  <v>80.35858623712673</v>
                </pt>
                <pt idx="286">
                  <v>81.33547687843017</v>
                </pt>
                <pt idx="287">
                  <v>81.48116832752112</v>
                </pt>
                <pt idx="288">
                  <v>81.29421167030614</v>
                </pt>
                <pt idx="289">
                  <v>81.88708323192478</v>
                </pt>
                <pt idx="290">
                  <v>81.08704348258145</v>
                </pt>
                <pt idx="291">
                  <v>82.18099257142039</v>
                </pt>
                <pt idx="292">
                  <v>81.88203034929735</v>
                </pt>
                <pt idx="293">
                  <v>81.28157946373757</v>
                </pt>
                <pt idx="294">
                  <v>81.27989516952842</v>
                </pt>
                <pt idx="295">
                  <v>81.69928442760525</v>
                </pt>
                <pt idx="296">
                  <v>81.97466653080026</v>
                </pt>
                <pt idx="297">
                  <v>81.55780371403716</v>
                </pt>
                <pt idx="298">
                  <v>81.26305222743699</v>
                </pt>
                <pt idx="299">
                  <v>81.54685580167774</v>
                </pt>
                <pt idx="300">
                  <v>81.56285659666459</v>
                </pt>
                <pt idx="301">
                  <v>82.7595476322613</v>
                </pt>
                <pt idx="302">
                  <v>83.20167486216157</v>
                </pt>
                <pt idx="303">
                  <v>83.97560805126318</v>
                </pt>
                <pt idx="304">
                  <v>84.79334973274462</v>
                </pt>
                <pt idx="305">
                  <v>85.21610757923972</v>
                </pt>
                <pt idx="306">
                  <v>86.15173301241914</v>
                </pt>
                <pt idx="307">
                  <v>83.75328121565619</v>
                </pt>
                <pt idx="308">
                  <v>85.27253143524605</v>
                </pt>
                <pt idx="309">
                  <v>84.95504197682243</v>
                </pt>
                <pt idx="310">
                  <v>84.44806941987012</v>
                </pt>
                <pt idx="311">
                  <v>84.48849248088958</v>
                </pt>
                <pt idx="312">
                  <v>85.89150955710642</v>
                </pt>
                <pt idx="313">
                  <v>84.97188491891387</v>
                </pt>
                <pt idx="314">
                  <v>86.13152148190942</v>
                </pt>
                <pt idx="315">
                  <v>86.59975527205141</v>
                </pt>
                <pt idx="316">
                  <v>84.37817121019066</v>
                </pt>
                <pt idx="317">
                  <v>84.81019267483605</v>
                </pt>
                <pt idx="318">
                  <v>85.12347139773681</v>
                </pt>
                <pt idx="319">
                  <v>86.26289643022264</v>
                </pt>
                <pt idx="320">
                  <v>85.7837147277212</v>
                </pt>
                <pt idx="321">
                  <v>85.91845826445271</v>
                </pt>
                <pt idx="322">
                  <v>86.94166699650762</v>
                </pt>
                <pt idx="323">
                  <v>86.76060536902465</v>
                </pt>
                <pt idx="324">
                  <v>87.6920200666812</v>
                </pt>
                <pt idx="325">
                  <v>87.1850475097289</v>
                </pt>
                <pt idx="326">
                  <v>86.75807892771093</v>
                </pt>
                <pt idx="327">
                  <v>86.97872146910878</v>
                </pt>
                <pt idx="328">
                  <v>88.18383397575121</v>
                </pt>
                <pt idx="329">
                  <v>88.29668168776385</v>
                </pt>
                <pt idx="330">
                  <v>88.01119381931397</v>
                </pt>
                <pt idx="331">
                  <v>88.39942363452163</v>
                </pt>
                <pt idx="332">
                  <v>88.90386975016021</v>
                </pt>
                <pt idx="333">
                  <v>89.08072064212031</v>
                </pt>
                <pt idx="334">
                  <v>90.55363592801663</v>
                </pt>
                <pt idx="335">
                  <v>92.42320250016633</v>
                </pt>
                <pt idx="336">
                  <v>87.80907851421671</v>
                </pt>
                <pt idx="337">
                  <v>89.43273813183139</v>
                </pt>
                <pt idx="338">
                  <v>90.95197150847916</v>
                </pt>
                <pt idx="339">
                  <v>88.50469202259312</v>
                </pt>
                <pt idx="340">
                  <v>89.03440255136887</v>
                </pt>
                <pt idx="341">
                  <v>88.57964311490002</v>
                </pt>
                <pt idx="342">
                  <v>88.92323913356537</v>
                </pt>
                <pt idx="343">
                  <v>89.10935364367577</v>
                </pt>
                <pt idx="344">
                  <v>88.61501329329204</v>
                </pt>
                <pt idx="345">
                  <v>89.65422282033381</v>
                </pt>
                <pt idx="346">
                  <v>87.71391589140008</v>
                </pt>
                <pt idx="347">
                  <v>87.17999462710148</v>
                </pt>
                <pt idx="348">
                  <v>90.23783076380217</v>
                </pt>
                <pt idx="349">
                  <v>89.32999618507361</v>
                </pt>
                <pt idx="350">
                  <v>88.49121766891997</v>
                </pt>
                <pt idx="351">
                  <v>90.06097987184205</v>
                </pt>
                <pt idx="352">
                  <v>90.1527739062404</v>
                </pt>
                <pt idx="353">
                  <v>90.04582122395975</v>
                </pt>
                <pt idx="354">
                  <v>90.27656953061246</v>
                </pt>
                <pt idx="355">
                  <v>90.29088603139019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country'!$C$5:$C$351</f>
              <numCache>
                <formatCode>0.0%</formatCode>
                <ptCount val="347"/>
                <pt idx="1">
                  <v>0.0130619347154705</v>
                </pt>
                <pt idx="2">
                  <v>-0.004405356869255848</v>
                </pt>
                <pt idx="3">
                  <v>-0.0123030490681224</v>
                </pt>
                <pt idx="4">
                  <v>-0.0002185296538183907</v>
                </pt>
                <pt idx="5">
                  <v>0.001202175807064329</v>
                </pt>
                <pt idx="6">
                  <v>0.003929669396913632</v>
                </pt>
                <pt idx="7">
                  <v>-0.01674445225852208</v>
                </pt>
                <pt idx="8">
                  <v>0.01050527497501944</v>
                </pt>
                <pt idx="9">
                  <v>0.003392508444884957</v>
                </pt>
                <pt idx="10">
                  <v>-0.004689785024163237</v>
                </pt>
                <pt idx="11">
                  <v>0.0159982231136361</v>
                </pt>
                <pt idx="12">
                  <v>-0.008951715996318856</v>
                </pt>
                <pt idx="13">
                  <v>0.00272073057182249</v>
                </pt>
                <pt idx="14">
                  <v>-0.007488650246790871</v>
                </pt>
                <pt idx="15">
                  <v>0.009732122510518269</v>
                </pt>
                <pt idx="16">
                  <v>-0.007039144247984998</v>
                </pt>
                <pt idx="17">
                  <v>0.0003270776327867894</v>
                </pt>
                <pt idx="18">
                  <v>-0.01188400532224103</v>
                </pt>
                <pt idx="19">
                  <v>-0.003861823939446694</v>
                </pt>
                <pt idx="20">
                  <v>0.003101436352710862</v>
                </pt>
                <pt idx="21">
                  <v>-0.0140238458714178</v>
                </pt>
                <pt idx="22">
                  <v>0.0106395131230854</v>
                </pt>
                <pt idx="23">
                  <v>-0.01296542858963389</v>
                </pt>
                <pt idx="24">
                  <v>-0.01336027970577095</v>
                </pt>
                <pt idx="25">
                  <v>-0.001024115298086434</v>
                </pt>
                <pt idx="26">
                  <v>0.001594701399566908</v>
                </pt>
                <pt idx="27">
                  <v>-0.005003938895992308</v>
                </pt>
                <pt idx="28">
                  <v>-0.006743571576097301</v>
                </pt>
                <pt idx="29">
                  <v>-0.0008055168236215413</v>
                </pt>
                <pt idx="30">
                  <v>-0.007716277405476204</v>
                </pt>
                <pt idx="31">
                  <v>0.01357938977297317</v>
                </pt>
                <pt idx="32">
                  <v>-0.007214070007201344</v>
                </pt>
                <pt idx="33">
                  <v>0.006689679162987323</v>
                </pt>
                <pt idx="34">
                  <v>0.004468455347297819</v>
                </pt>
                <pt idx="35">
                  <v>-0.007071915564065732</v>
                </pt>
                <pt idx="36">
                  <v>-0.008960407339490483</v>
                </pt>
                <pt idx="37">
                  <v>0.01866229932936694</v>
                </pt>
                <pt idx="38">
                  <v>-0.00307234589425914</v>
                </pt>
                <pt idx="39">
                  <v>-0.0006848476208336841</v>
                </pt>
                <pt idx="40">
                  <v>0.02809822373839715</v>
                </pt>
                <pt idx="41">
                  <v>-0.001110978410912125</v>
                </pt>
                <pt idx="42">
                  <v>0.005672291689258572</v>
                </pt>
                <pt idx="43">
                  <v>0.008737043211873328</v>
                </pt>
                <pt idx="44">
                  <v>0.005481809383015776</v>
                </pt>
                <pt idx="45">
                  <v>-0.003380192247888777</v>
                </pt>
                <pt idx="46">
                  <v>0.009737446384471962</v>
                </pt>
                <pt idx="47">
                  <v>0.008776717325037006</v>
                </pt>
                <pt idx="48">
                  <v>-0.001503746799973111</v>
                </pt>
                <pt idx="49">
                  <v>0.007207340558028899</v>
                </pt>
                <pt idx="50">
                  <v>-0.006728556570819931</v>
                </pt>
                <pt idx="51">
                  <v>0.00838702643139108</v>
                </pt>
                <pt idx="52">
                  <v>0.0004266332611011492</v>
                </pt>
                <pt idx="53">
                  <v>-0.004903071057065251</v>
                </pt>
                <pt idx="54">
                  <v>0.006533792883906919</v>
                </pt>
                <pt idx="55">
                  <v>0.004682412979864601</v>
                </pt>
                <pt idx="56">
                  <v>-0.006037551428179031</v>
                </pt>
                <pt idx="57">
                  <v>0.001491888707659938</v>
                </pt>
                <pt idx="58">
                  <v>-0.01925936345708124</v>
                </pt>
                <pt idx="59">
                  <v>-0.0004339770623594253</v>
                </pt>
                <pt idx="60">
                  <v>0.02127421707210302</v>
                </pt>
                <pt idx="61">
                  <v>-0.008821268141256756</v>
                </pt>
                <pt idx="62">
                  <v>0.002895107675487982</v>
                </pt>
                <pt idx="63">
                  <v>0.006949690786284568</v>
                </pt>
                <pt idx="64">
                  <v>-0.009768552589121463</v>
                </pt>
                <pt idx="65">
                  <v>0.01983695611381331</v>
                </pt>
                <pt idx="66">
                  <v>-0.007990786324033205</v>
                </pt>
                <pt idx="67">
                  <v>-0.01748793173728935</v>
                </pt>
                <pt idx="68">
                  <v>0.0221142691571743</v>
                </pt>
                <pt idx="69">
                  <v>0.0009498601542003335</v>
                </pt>
                <pt idx="70">
                  <v>-0.01022777224862849</v>
                </pt>
                <pt idx="71">
                  <v>0.01246404898308084</v>
                </pt>
                <pt idx="72">
                  <v>0.001578374927228558</v>
                </pt>
                <pt idx="73">
                  <v>-0.00903459157817775</v>
                </pt>
                <pt idx="74">
                  <v>0.008056754321680177</v>
                </pt>
                <pt idx="75">
                  <v>0.003470367634972833</v>
                </pt>
                <pt idx="76">
                  <v>0.03510796756136691</v>
                </pt>
                <pt idx="77">
                  <v>-0.01862908498684132</v>
                </pt>
                <pt idx="78">
                  <v>0.007427978781978745</v>
                </pt>
                <pt idx="79">
                  <v>0.001740999383415157</v>
                </pt>
                <pt idx="80">
                  <v>0.03874410376032424</v>
                </pt>
                <pt idx="81">
                  <v>-0.02342241179087262</v>
                </pt>
                <pt idx="82">
                  <v>0.02509270556338186</v>
                </pt>
                <pt idx="83">
                  <v>-0.0230038497534427</v>
                </pt>
                <pt idx="84">
                  <v>0.02002368062331538</v>
                </pt>
                <pt idx="85">
                  <v>0</v>
                </pt>
                <pt idx="86">
                  <v>0.006906328055021682</v>
                </pt>
                <pt idx="87">
                  <v>-0.01195345588213671</v>
                </pt>
                <pt idx="88">
                  <v>0.01289032908018575</v>
                </pt>
                <pt idx="89">
                  <v>0.01262936756246642</v>
                </pt>
                <pt idx="90">
                  <v>-0.0065738020454191</v>
                </pt>
                <pt idx="91">
                  <v>0.005838796662933025</v>
                </pt>
                <pt idx="92">
                  <v>-0.02563928913157678</v>
                </pt>
                <pt idx="93">
                  <v>0.0180725403829579</v>
                </pt>
                <pt idx="94">
                  <v>0.001072847307494613</v>
                </pt>
                <pt idx="95">
                  <v>0.00574819589461904</v>
                </pt>
                <pt idx="96">
                  <v>-0.007459006944626175</v>
                </pt>
                <pt idx="97">
                  <v>0.002732749761128403</v>
                </pt>
                <pt idx="98">
                  <v>-0.003017298855665098</v>
                </pt>
                <pt idx="99">
                  <v>-0.0005867370100232584</v>
                </pt>
                <pt idx="100">
                  <v>0.008011073470169194</v>
                </pt>
                <pt idx="101">
                  <v>0.003973218568691586</v>
                </pt>
                <pt idx="102">
                  <v>0.01380296889312744</v>
                </pt>
                <pt idx="103">
                  <v>0.002380251906819802</v>
                </pt>
                <pt idx="104">
                  <v>-0.0184268941469915</v>
                </pt>
                <pt idx="105">
                  <v>0.02709479015568857</v>
                </pt>
                <pt idx="106">
                  <v>0.012530513685111</v>
                </pt>
                <pt idx="107">
                  <v>0.000744387550490396</v>
                </pt>
                <pt idx="108">
                  <v>-0.008740047735537292</v>
                </pt>
                <pt idx="109">
                  <v>0.007410124105508837</v>
                </pt>
                <pt idx="110">
                  <v>0.003072599950279863</v>
                </pt>
                <pt idx="111">
                  <v>0.006683319270515691</v>
                </pt>
                <pt idx="112">
                  <v>0.005624665171058972</v>
                </pt>
                <pt idx="113">
                  <v>0.0124700969825116</v>
                </pt>
                <pt idx="114">
                  <v>-0.0130410094465812</v>
                </pt>
                <pt idx="115">
                  <v>0.01183693656411345</v>
                </pt>
                <pt idx="116">
                  <v>-0.008887204149054773</v>
                </pt>
                <pt idx="117">
                  <v>0.00256196993528282</v>
                </pt>
                <pt idx="118">
                  <v>0.0110430780435317</v>
                </pt>
                <pt idx="119">
                  <v>-0.001805365365329248</v>
                </pt>
                <pt idx="120">
                  <v>0.009224016082343299</v>
                </pt>
                <pt idx="121">
                  <v>-0.00448025060729797</v>
                </pt>
                <pt idx="122">
                  <v>0.006660612110253014</v>
                </pt>
                <pt idx="123">
                  <v>0.004112985499937802</v>
                </pt>
                <pt idx="124">
                  <v>-0.01620645960985169</v>
                </pt>
                <pt idx="125">
                  <v>0.00733158401135389</v>
                </pt>
                <pt idx="126">
                  <v>0.0002695638187848345</v>
                </pt>
                <pt idx="127">
                  <v>-0.01374404985946036</v>
                </pt>
                <pt idx="128">
                  <v>0.02477436654586139</v>
                </pt>
                <pt idx="129">
                  <v>-0.0154651682636972</v>
                </pt>
                <pt idx="130">
                  <v>-0.007131836971623342</v>
                </pt>
                <pt idx="131">
                  <v>-0.01091098545292867</v>
                </pt>
                <pt idx="132">
                  <v>0.006434953194908323</v>
                </pt>
                <pt idx="133">
                  <v>-0.000274020399905382</v>
                </pt>
                <pt idx="134">
                  <v>0.003563241599657934</v>
                </pt>
                <pt idx="135">
                  <v>0.004825160755237813</v>
                </pt>
                <pt idx="136">
                  <v>0.006523458629040796</v>
                </pt>
                <pt idx="137">
                  <v>-0.008641571901929032</v>
                </pt>
                <pt idx="138">
                  <v>-0.001725219715810892</v>
                </pt>
                <pt idx="139">
                  <v>-0.01027824949586546</v>
                </pt>
                <pt idx="140">
                  <v>0.01865621918392368</v>
                </pt>
                <pt idx="141">
                  <v>-0.01245027783065646</v>
                </pt>
                <pt idx="142">
                  <v>-0.007856686725579631</v>
                </pt>
                <pt idx="143">
                  <v>0.009668428162197524</v>
                </pt>
                <pt idx="144">
                  <v>-0.02380281420398738</v>
                </pt>
                <pt idx="145">
                  <v>0.0206463136987825</v>
                </pt>
                <pt idx="146">
                  <v>0.008970177820045454</v>
                </pt>
                <pt idx="147">
                  <v>-0.007801805119979964</v>
                </pt>
                <pt idx="148">
                  <v>0.0001828639976446753</v>
                </pt>
                <pt idx="149">
                  <v>-0.02404221923395818</v>
                </pt>
                <pt idx="150">
                  <v>-0.002435348521790329</v>
                </pt>
                <pt idx="151">
                  <v>0.0179341207445195</v>
                </pt>
                <pt idx="152">
                  <v>-0.004335357422546984</v>
                </pt>
                <pt idx="153">
                  <v>-0.003520444984245967</v>
                </pt>
                <pt idx="154">
                  <v>0.02417235259281016</v>
                </pt>
                <pt idx="155">
                  <v>-0.01951690663384188</v>
                </pt>
                <pt idx="156">
                  <v>0.005832744658177975</v>
                </pt>
                <pt idx="157">
                  <v>0.00662733832285998</v>
                </pt>
                <pt idx="158">
                  <v>0.01014987989308793</v>
                </pt>
                <pt idx="159">
                  <v>-0.003349298322001582</v>
                </pt>
                <pt idx="160">
                  <v>0.0002724773366975305</v>
                </pt>
                <pt idx="161">
                  <v>-0.005357261222781285</v>
                </pt>
                <pt idx="162">
                  <v>0.009585460773099467</v>
                </pt>
                <pt idx="163">
                  <v>0.004069050889358787</v>
                </pt>
                <pt idx="164">
                  <v>-0.03539236443508647</v>
                </pt>
                <pt idx="165">
                  <v>0.03501044244796748</v>
                </pt>
                <pt idx="166">
                  <v>0.007396656530841741</v>
                </pt>
                <pt idx="167">
                  <v>-0.01665459357866922</v>
                </pt>
                <pt idx="168">
                  <v>0.002094319023063952</v>
                </pt>
                <pt idx="169">
                  <v>0.01653780205341353</v>
                </pt>
                <pt idx="170">
                  <v>-0.01162053760182506</v>
                </pt>
                <pt idx="171">
                  <v>-0.02152465069923457</v>
                </pt>
                <pt idx="172">
                  <v>0.025602892664725</v>
                </pt>
                <pt idx="173">
                  <v>-0.01108498579229251</v>
                </pt>
                <pt idx="174">
                  <v>-0.0005467921980044114</v>
                </pt>
                <pt idx="175">
                  <v>-0.003191366169147955</v>
                </pt>
                <pt idx="176">
                  <v>-0.005579902836511586</v>
                </pt>
                <pt idx="177">
                  <v>0.02557241270194618</v>
                </pt>
                <pt idx="178">
                  <v>-0.02941944140732563</v>
                </pt>
                <pt idx="179">
                  <v>0.04010686538971586</v>
                </pt>
                <pt idx="180">
                  <v>-0.01172802705264901</v>
                </pt>
                <pt idx="181">
                  <v>-0.006383118360096052</v>
                </pt>
                <pt idx="182">
                  <v>-0.00687652742603427</v>
                </pt>
                <pt idx="183">
                  <v>0.01849474630765589</v>
                </pt>
                <pt idx="184">
                  <v>-0.005098805001122571</v>
                </pt>
                <pt idx="185">
                  <v>0.01609409742233705</v>
                </pt>
                <pt idx="186">
                  <v>-0.001681253755168855</v>
                </pt>
                <pt idx="187">
                  <v>-0.01382722527474952</v>
                </pt>
                <pt idx="188">
                  <v>-0.006740912575756622</v>
                </pt>
                <pt idx="189">
                  <v>0.01538309795685302</v>
                </pt>
                <pt idx="190">
                  <v>-0.008020611188396061</v>
                </pt>
                <pt idx="191">
                  <v>-0.005659823072134082</v>
                </pt>
                <pt idx="192">
                  <v>0.01671471771552281</v>
                </pt>
                <pt idx="193">
                  <v>-0.01093033113571476</v>
                </pt>
                <pt idx="194">
                  <v>0.009074499846811707</v>
                </pt>
                <pt idx="195">
                  <v>0.007479238435450069</v>
                </pt>
                <pt idx="196">
                  <v>-0.0166149805260055</v>
                </pt>
                <pt idx="197">
                  <v>0.02399549208283569</v>
                </pt>
                <pt idx="198">
                  <v>-0.003773886286662582</v>
                </pt>
                <pt idx="199">
                  <v>0.001321458996448724</v>
                </pt>
                <pt idx="200">
                  <v>0.006071569026815739</v>
                </pt>
                <pt idx="201">
                  <v>-0.02300023611511923</v>
                </pt>
                <pt idx="202">
                  <v>0.02264661312252233</v>
                </pt>
                <pt idx="203">
                  <v>-0.01733113933357264</v>
                </pt>
                <pt idx="204">
                  <v>0.001603264960020868</v>
                </pt>
                <pt idx="205">
                  <v>0.008625986986320241</v>
                </pt>
                <pt idx="206">
                  <v>0.00908210038890531</v>
                </pt>
                <pt idx="207">
                  <v>-0.01162156730828029</v>
                </pt>
                <pt idx="208">
                  <v>0.02165912753522993</v>
                </pt>
                <pt idx="209">
                  <v>-0.04715802407178264</v>
                </pt>
                <pt idx="210">
                  <v>-0.00290589706404513</v>
                </pt>
                <pt idx="211">
                  <v>0.007832358386862033</v>
                </pt>
                <pt idx="212">
                  <v>-0.01409712012101838</v>
                </pt>
                <pt idx="213">
                  <v>-0.004307938797938412</v>
                </pt>
                <pt idx="214">
                  <v>-0.01868713229845284</v>
                </pt>
                <pt idx="215">
                  <v>-0.05018813161990188</v>
                </pt>
                <pt idx="216">
                  <v>-0.01382675494909666</v>
                </pt>
                <pt idx="217">
                  <v>-0.0367551276238765</v>
                </pt>
                <pt idx="218">
                  <v>-0.01393219852610923</v>
                </pt>
                <pt idx="219">
                  <v>-0.01834664177723528</v>
                </pt>
                <pt idx="220">
                  <v>-0.0004296419428495256</v>
                </pt>
                <pt idx="221">
                  <v>0.01182023189575682</v>
                </pt>
                <pt idx="222">
                  <v>0.01306286970010224</v>
                </pt>
                <pt idx="223">
                  <v>-0.003983613093045938</v>
                </pt>
                <pt idx="224">
                  <v>0.01673515187064538</v>
                </pt>
                <pt idx="225">
                  <v>0.005072421235391392</v>
                </pt>
                <pt idx="226">
                  <v>-0.006694866383337505</v>
                </pt>
                <pt idx="227">
                  <v>0.009747015785849982</v>
                </pt>
                <pt idx="228">
                  <v>-0.003080689100860808</v>
                </pt>
                <pt idx="229">
                  <v>0.01071282779779027</v>
                </pt>
                <pt idx="230">
                  <v>-0.006318842423045318</v>
                </pt>
                <pt idx="231">
                  <v>0.0196923492225346</v>
                </pt>
                <pt idx="232">
                  <v>-0.003822237251489438</v>
                </pt>
                <pt idx="233">
                  <v>0.008077679486094759</v>
                </pt>
                <pt idx="234">
                  <v>-0.004206795535774788</v>
                </pt>
                <pt idx="235">
                  <v>0.006839311238902467</v>
                </pt>
                <pt idx="236">
                  <v>-0.01018942905551205</v>
                </pt>
                <pt idx="237">
                  <v>0.01221194856764925</v>
                </pt>
                <pt idx="238">
                  <v>-0.001495650647915917</v>
                </pt>
                <pt idx="239">
                  <v>0.01268214354189297</v>
                </pt>
                <pt idx="240">
                  <v>0.01311596003581474</v>
                </pt>
                <pt idx="241">
                  <v>0.01197186320150986</v>
                </pt>
                <pt idx="242">
                  <v>0.003173965022905431</v>
                </pt>
                <pt idx="243">
                  <v>-0.01255981492010138</v>
                </pt>
                <pt idx="244">
                  <v>-0.01689566748130173</v>
                </pt>
                <pt idx="245">
                  <v>0.03269208737116157</v>
                </pt>
                <pt idx="246">
                  <v>-0.0274490751322914</v>
                </pt>
                <pt idx="247">
                  <v>0.01130977433553487</v>
                </pt>
                <pt idx="248">
                  <v>-0.008362431678446993</v>
                </pt>
                <pt idx="249">
                  <v>-0.007551414039295587</v>
                </pt>
                <pt idx="250">
                  <v>0.002371288439573592</v>
                </pt>
                <pt idx="251">
                  <v>0.02139066424316028</v>
                </pt>
                <pt idx="252">
                  <v>-0.02103919190047577</v>
                </pt>
                <pt idx="253">
                  <v>-0.005816200187695574</v>
                </pt>
                <pt idx="254">
                  <v>0.009520003807604868</v>
                </pt>
                <pt idx="255">
                  <v>-0.007956908346748781</v>
                </pt>
                <pt idx="256">
                  <v>0.002277209685467877</v>
                </pt>
                <pt idx="257">
                  <v>-0.01432340750048412</v>
                </pt>
                <pt idx="258">
                  <v>-0.006013279304251102</v>
                </pt>
                <pt idx="259">
                  <v>0.005747179747051863</v>
                </pt>
                <pt idx="260">
                  <v>0.01994940793976351</v>
                </pt>
                <pt idx="261">
                  <v>-0.01749514452412397</v>
                </pt>
                <pt idx="262">
                  <v>-0.01770703584594085</v>
                </pt>
                <pt idx="263">
                  <v>-0.0001018425144021113</v>
                </pt>
                <pt idx="264">
                  <v>0.01334283009655048</v>
                </pt>
                <pt idx="265">
                  <v>-0.009347695662002175</v>
                </pt>
                <pt idx="266">
                  <v>0.01136364328137685</v>
                </pt>
                <pt idx="267">
                  <v>0.00130416249543664</v>
                </pt>
                <pt idx="268">
                  <v>0.01592983446786294</v>
                </pt>
                <pt idx="269">
                  <v>-0.003353030745319597</v>
                </pt>
                <pt idx="270">
                  <v>-0.01187374333074736</v>
                </pt>
                <pt idx="271">
                  <v>-0.007710731024366713</v>
                </pt>
                <pt idx="272">
                  <v>-0.005146894016328192</v>
                </pt>
                <pt idx="273">
                  <v>0.003246168980943721</v>
                </pt>
                <pt idx="274">
                  <v>0.00111222524623908</v>
                </pt>
                <pt idx="275">
                  <v>0.01797752831685186</v>
                </pt>
                <pt idx="276">
                  <v>-0.01260005873551952</v>
                </pt>
                <pt idx="277">
                  <v>-0.01607723729796064</v>
                </pt>
                <pt idx="278">
                  <v>0.01562507499682645</v>
                </pt>
                <pt idx="279">
                  <v>-0.007340310784736435</v>
                </pt>
                <pt idx="280">
                  <v>0.003545249771502034</v>
                </pt>
                <pt idx="281">
                  <v>-0.02230737567328096</v>
                </pt>
                <pt idx="282">
                  <v>0.02312607131821423</v>
                </pt>
                <pt idx="283">
                  <v>0.01241140083401931</v>
                </pt>
                <pt idx="284">
                  <v>-0.01963484792307041</v>
                </pt>
                <pt idx="285">
                  <v>0.007726755429651705</v>
                </pt>
                <pt idx="286">
                  <v>-0.01543590787123144</v>
                </pt>
                <pt idx="287">
                  <v>-0.009427117164003471</v>
                </pt>
                <pt idx="288">
                  <v>0.02772315655573796</v>
                </pt>
                <pt idx="289">
                  <v>0.001610454588049205</v>
                </pt>
                <pt idx="290">
                  <v>0.005627226704872293</v>
                </pt>
                <pt idx="291">
                  <v>-0.002497931464523164</v>
                </pt>
                <pt idx="292">
                  <v>-0.004608356792865747</v>
                </pt>
                <pt idx="293">
                  <v>0.009258981558324452</v>
                </pt>
                <pt idx="294">
                  <v>-0.001296359821620843</v>
                </pt>
                <pt idx="295">
                  <v>-0.0100845924346086</v>
                </pt>
                <pt idx="296">
                  <v>0.008271164188474499</v>
                </pt>
                <pt idx="297">
                  <v>0.01190436293896322</v>
                </pt>
                <pt idx="298">
                  <v>0.004053354002143301</v>
                </pt>
                <pt idx="299">
                  <v>-0.02166170412206281</v>
                </pt>
                <pt idx="300">
                  <v>0.00291875610527364</v>
                </pt>
                <pt idx="301">
                  <v>0.02067188000340797</v>
                </pt>
                <pt idx="302">
                  <v>-0.01091329534326737</v>
                </pt>
                <pt idx="303">
                  <v>-0.004771333826371202</v>
                </pt>
                <pt idx="304">
                  <v>0.010487331303785</v>
                </pt>
                <pt idx="305">
                  <v>-0.01522148683216893</v>
                </pt>
                <pt idx="306">
                  <v>-0.003613339364933519</v>
                </pt>
                <pt idx="307">
                  <v>-0.001410283363199447</v>
                </pt>
                <pt idx="308">
                  <v>0.01926716441292786</v>
                </pt>
                <pt idx="309">
                  <v>-0.01009493194828238</v>
                </pt>
                <pt idx="310">
                  <v>-0.003598951418104933</v>
                </pt>
                <pt idx="311">
                  <v>0.02598884637023389</v>
                </pt>
                <pt idx="312">
                  <v>-0.01447517821359037</v>
                </pt>
                <pt idx="313">
                  <v>0.006053340848737923</v>
                </pt>
                <pt idx="314">
                  <v>-0.01272430282657063</v>
                </pt>
                <pt idx="315">
                  <v>0.01108993034324833</v>
                </pt>
                <pt idx="316">
                  <v>-0.0005928806886902304</v>
                </pt>
                <pt idx="317">
                  <v>0.02125848322338754</v>
                </pt>
                <pt idx="318">
                  <v>-0.01103775840853347</v>
                </pt>
                <pt idx="319">
                  <v>0.00558096461310138</v>
                </pt>
                <pt idx="320">
                  <v>0.001947023439241701</v>
                </pt>
                <pt idx="321">
                  <v>0.008453093589348619</v>
                </pt>
                <pt idx="322">
                  <v>0.004239292654751158</v>
                </pt>
                <pt idx="323">
                  <v>0.00412545607876352</v>
                </pt>
                <pt idx="324">
                  <v>0.0099368532087915</v>
                </pt>
                <pt idx="325">
                  <v>-0.03481521917031933</v>
                </pt>
                <pt idx="326">
                  <v>0.01107616184526891</v>
                </pt>
                <pt idx="327">
                  <v>0.007270901174880685</v>
                </pt>
                <pt idx="328">
                  <v>-0.01212694019012339</v>
                </pt>
                <pt idx="329">
                  <v>-0.009159116882256499</v>
                </pt>
                <pt idx="330">
                  <v>0.01750330380881964</v>
                </pt>
                <pt idx="331">
                  <v>-0.0004831809541665309</v>
                </pt>
                <pt idx="332">
                  <v>0.006961169244394072</v>
                </pt>
                <pt idx="333">
                  <v>-0.0120978311277194</v>
                </pt>
                <pt idx="334">
                  <v>0.007386464692212731</v>
                </pt>
                <pt idx="335">
                  <v>-0.008297081839135014</v>
                </pt>
                <pt idx="336">
                  <v>0.008852923751032542</v>
                </pt>
                <pt idx="337">
                  <v>0.01031813610103667</v>
                </pt>
                <pt idx="338">
                  <v>-0.004676871154108583</v>
                </pt>
                <pt idx="339">
                  <v>-0.006233164462523872</v>
                </pt>
                <pt idx="340">
                  <v>0.00434233418796906</v>
                </pt>
                <pt idx="341">
                  <v>0.01662168563108125</v>
                </pt>
                <pt idx="342">
                  <v>-0.0232490225487167</v>
                </pt>
                <pt idx="343">
                  <v>0.003096247831417118</v>
                </pt>
                <pt idx="344">
                  <v>-0.01012820376788469</v>
                </pt>
                <pt idx="345">
                  <v>0.01032927990302159</v>
                </pt>
                <pt idx="346">
                  <v>-0.001157397360555226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country'!$D$5:$D$351</f>
              <numCache>
                <formatCode>0.0%</formatCode>
                <ptCount val="347"/>
                <pt idx="12">
                  <v>0.0002175882492332116</v>
                </pt>
                <pt idx="13">
                  <v>-0.009992502480370272</v>
                </pt>
                <pt idx="14">
                  <v>-0.01305849282279866</v>
                </pt>
                <pt idx="15">
                  <v>0.008959825071382828</v>
                </pt>
                <pt idx="16">
                  <v>0.002076594773639048</v>
                </pt>
                <pt idx="17">
                  <v>0.001200732315723605</v>
                </pt>
                <pt idx="18">
                  <v>-0.01456995679931309</v>
                </pt>
                <pt idx="19">
                  <v>-0.001658838209476608</v>
                </pt>
                <pt idx="20">
                  <v>-0.008973551981839464</v>
                </pt>
                <pt idx="21">
                  <v>-0.02617526278817378</v>
                </pt>
                <pt idx="22">
                  <v>-0.01117687382835733</v>
                </pt>
                <pt idx="23">
                  <v>-0.03936582925271221</v>
                </pt>
                <pt idx="24">
                  <v>-0.04363909929572898</v>
                </pt>
                <pt idx="25">
                  <v>-0.04721080581375657</v>
                </pt>
                <pt idx="26">
                  <v>-0.03849098684363045</v>
                </pt>
                <pt idx="27">
                  <v>-0.05252327872076448</v>
                </pt>
                <pt idx="28">
                  <v>-0.05224124522021142</v>
                </pt>
                <pt idx="29">
                  <v>-0.05331432055294784</v>
                </pt>
                <pt idx="30">
                  <v>-0.04932133961155577</v>
                </pt>
                <pt idx="31">
                  <v>-0.0326760688186573</v>
                </pt>
                <pt idx="32">
                  <v>-0.04262365318308423</v>
                </pt>
                <pt idx="33">
                  <v>-0.0225109569032578</v>
                </pt>
                <pt idx="34">
                  <v>-0.0284795948615232</v>
                </pt>
                <pt idx="35">
                  <v>-0.02267871581621528</v>
                </pt>
                <pt idx="36">
                  <v>-0.01832039856746755</v>
                </pt>
                <pt idx="37">
                  <v>0.001025165185435904</v>
                </pt>
                <pt idx="38">
                  <v>-0.003639228287994347</v>
                </pt>
                <pt idx="39">
                  <v>0.0006857869399421204</v>
                </pt>
                <pt idx="40">
                  <v>0.03578819188285307</v>
                </pt>
                <pt idx="41">
                  <v>0.03547154331191262</v>
                </pt>
                <pt idx="42">
                  <v>0.04944283195405053</v>
                </pt>
                <pt idx="43">
                  <v>0.0444291488231003</v>
                </pt>
                <pt idx="44">
                  <v>0.05778544860988454</v>
                </pt>
                <pt idx="45">
                  <v>0.04720446852409103</v>
                </pt>
                <pt idx="46">
                  <v>0.05269763352033214</v>
                </pt>
                <pt idx="47">
                  <v>0.0695002787455085</v>
                </pt>
                <pt idx="48">
                  <v>0.07754728371340824</v>
                </pt>
                <pt idx="49">
                  <v>0.06543015744179642</v>
                </pt>
                <pt idx="50">
                  <v>0.06152271531124101</v>
                </pt>
                <pt idx="51">
                  <v>0.07115931529068908</v>
                </pt>
                <pt idx="52">
                  <v>0.04232872184711271</v>
                </pt>
                <pt idx="53">
                  <v>0.03837171862096593</v>
                </pt>
                <pt idx="54">
                  <v>0.03926123152041989</v>
                </pt>
                <pt idx="55">
                  <v>0.03508390895986408</v>
                </pt>
                <pt idx="56">
                  <v>0.02322540997370431</v>
                </pt>
                <pt idx="57">
                  <v>0.02822755521945321</v>
                </pt>
                <pt idx="58">
                  <v>-0.001300238366198379</v>
                </pt>
                <pt idx="59">
                  <v>-0.0104189245245851</v>
                </pt>
                <pt idx="60">
                  <v>0.01215566392622777</v>
                </pt>
                <pt idx="61">
                  <v>-0.003951691954291148</v>
                </pt>
                <pt idx="62">
                  <v>0.005698876934150303</v>
                </pt>
                <pt idx="63">
                  <v>0.004265372926094333</v>
                </pt>
                <pt idx="64">
                  <v>-0.005968932898561241</v>
                </pt>
                <pt idx="65">
                  <v>0.01874459489305883</v>
                </pt>
                <pt idx="66">
                  <v>0.004043810214196321</v>
                </pt>
                <pt idx="67">
                  <v>-0.01811244244434361</v>
                </pt>
                <pt idx="68">
                  <v>0.009697383163268675</v>
                </pt>
                <pt idx="69">
                  <v>0.009150913622976981</v>
                </pt>
                <pt idx="70">
                  <v>0.0184441336445382</v>
                </pt>
                <pt idx="71">
                  <v>0.03158575576867536</v>
                </pt>
                <pt idx="72">
                  <v>0.01169104985631962</v>
                </pt>
                <pt idx="73">
                  <v>0.011473311717959</v>
                </pt>
                <pt idx="74">
                  <v>0.01667910820373791</v>
                </pt>
                <pt idx="75">
                  <v>0.01316616690091466</v>
                </pt>
                <pt idx="76">
                  <v>0.0590820707268372</v>
                </pt>
                <pt idx="77">
                  <v>0.01913578890470786</v>
                </pt>
                <pt idx="78">
                  <v>0.03497618143697388</v>
                </pt>
                <pt idx="79">
                  <v>0.05523189772513245</v>
                </pt>
                <pt idx="80">
                  <v>0.0724005572935065</v>
                </pt>
                <pt idx="81">
                  <v>0.04628852205891578</v>
                </pt>
                <pt idx="82">
                  <v>0.08362580986330359</v>
                </pt>
                <pt idx="83">
                  <v>0.04566502445949788</v>
                </pt>
                <pt idx="84">
                  <v>0.06492224038457506</v>
                </pt>
                <pt idx="85">
                  <v>0.07463109341075178</v>
                </pt>
                <pt idx="86">
                  <v>0.07340469040166768</v>
                </pt>
                <pt idx="87">
                  <v>0.05690594261481183</v>
                </pt>
                <pt idx="88">
                  <v>0.03422043068995482</v>
                </pt>
                <pt idx="89">
                  <v>0.06716223665107106</v>
                </pt>
                <pt idx="90">
                  <v>0.05233023668723279</v>
                </pt>
                <pt idx="91">
                  <v>0.05663497811611069</v>
                </pt>
                <pt idx="92">
                  <v>-0.008857326189735653</v>
                </pt>
                <pt idx="93">
                  <v>0.0332564990134619</v>
                </pt>
                <pt idx="94">
                  <v>0.009045347657509625</v>
                </pt>
                <pt idx="95">
                  <v>0.03874056998718971</v>
                </pt>
                <pt idx="96">
                  <v>0.01075358979114294</v>
                </pt>
                <pt idx="97">
                  <v>0.01351572642220436</v>
                </pt>
                <pt idx="98">
                  <v>0.003526960181599256</v>
                </pt>
                <pt idx="99">
                  <v>0.01507176938606333</v>
                </pt>
                <pt idx="100">
                  <v>0.01018200542727023</v>
                </pt>
                <pt idx="101">
                  <v>0.001546776951863302</v>
                </pt>
                <pt idx="102">
                  <v>0.02209011404143011</v>
                </pt>
                <pt idx="103">
                  <v>0.01857568964666525</v>
                </pt>
                <pt idx="104">
                  <v>0.02611537193627693</v>
                </pt>
                <pt idx="105">
                  <v>0.03520889800050521</v>
                </pt>
                <pt idx="106">
                  <v>0.04705726469662676</v>
                </pt>
                <pt idx="107">
                  <v>0.04184793506595402</v>
                </pt>
                <pt idx="108">
                  <v>0.040503255388153</v>
                </pt>
                <pt idx="109">
                  <v>0.04535681505612659</v>
                </pt>
                <pt idx="110">
                  <v>0.05174219888724996</v>
                </pt>
                <pt idx="111">
                  <v>0.05939291282279714</v>
                </pt>
                <pt idx="112">
                  <v>0.05688486097126786</v>
                </pt>
                <pt idx="113">
                  <v>0.06582954395183833</v>
                </pt>
                <pt idx="114">
                  <v>0.0376079801277529</v>
                </pt>
                <pt idx="115">
                  <v>0.0473970112337565</v>
                </pt>
                <pt idx="116">
                  <v>0.05757642908083816</v>
                </pt>
                <pt idx="117">
                  <v>0.03231553529318097</v>
                </pt>
                <pt idx="118">
                  <v>0.03079903490154081</v>
                </pt>
                <pt idx="119">
                  <v>0.02817270706242348</v>
                </pt>
                <pt idx="120">
                  <v>0.04680572061580941</v>
                </pt>
                <pt idx="121">
                  <v>0.03445036307889415</v>
                </pt>
                <pt idx="122">
                  <v>0.03815061416919379</v>
                </pt>
                <pt idx="123">
                  <v>0.03549993591570005</v>
                </pt>
                <pt idx="124">
                  <v>0.01302024831997537</v>
                </pt>
                <pt idx="125">
                  <v>0.007878943207309398</v>
                </pt>
                <pt idx="126">
                  <v>0.02147165237211281</v>
                </pt>
                <pt idx="127">
                  <v>-0.004352916317904397</v>
                </pt>
                <pt idx="128">
                  <v>0.02946265425575243</v>
                </pt>
                <pt idx="129">
                  <v>0.01095181293573388</v>
                </pt>
                <pt idx="130">
                  <v>-0.007221461461316862</v>
                </pt>
                <pt idx="131">
                  <v>-0.01627767543942939</v>
                </pt>
                <pt idx="132">
                  <v>-0.0189962625749433</v>
                </pt>
                <pt idx="133">
                  <v>-0.01485136484042876</v>
                </pt>
                <pt idx="134">
                  <v>-0.01788254565190373</v>
                </pt>
                <pt idx="135">
                  <v>-0.01718597090495261</v>
                </pt>
                <pt idx="136">
                  <v>0.005521316354229549</v>
                </pt>
                <pt idx="137">
                  <v>-0.01042313432634651</v>
                </pt>
                <pt idx="138">
                  <v>-0.01239659399088577</v>
                </pt>
                <pt idx="139">
                  <v>-0.008926058534905806</v>
                </pt>
                <pt idx="140">
                  <v>-0.01484300632205414</v>
                </pt>
                <pt idx="141">
                  <v>-0.01182621067446416</v>
                </pt>
                <pt idx="142">
                  <v>-0.01254763327086803</v>
                </pt>
                <pt idx="143">
                  <v>0.00799772754224308</v>
                </pt>
                <pt idx="144">
                  <v>-0.022286992525637</v>
                </pt>
                <pt idx="145">
                  <v>-0.001827303384439989</v>
                </pt>
                <pt idx="146">
                  <v>0.003550589989703294</v>
                </pt>
                <pt idx="147">
                  <v>-0.00906035920700112</v>
                </pt>
                <pt idx="148">
                  <v>-0.01530278357633256</v>
                </pt>
                <pt idx="149">
                  <v>-0.03059994969622504</v>
                </pt>
                <pt idx="150">
                  <v>-0.03128953828829851</v>
                </pt>
                <pt idx="151">
                  <v>-0.003676102302251022</v>
                </pt>
                <pt idx="152">
                  <v>-0.02616362732529243</v>
                </pt>
                <pt idx="153">
                  <v>-0.01735779625418749</v>
                </pt>
                <pt idx="154">
                  <v>0.01436452184097924</v>
                </pt>
                <pt idx="155">
                  <v>-0.01495655758411455</v>
                </pt>
                <pt idx="156">
                  <v>0.01494755742898283</v>
                </pt>
                <pt idx="157">
                  <v>0.001006856694086725</v>
                </pt>
                <pt idx="158">
                  <v>0.00217724794045948</v>
                </pt>
                <pt idx="159">
                  <v>0.006674535914031884</v>
                </pt>
                <pt idx="160">
                  <v>0.006764730887121277</v>
                </pt>
                <pt idx="161">
                  <v>0.02603949573298826</v>
                </pt>
                <pt idx="162">
                  <v>0.03840343133250521</v>
                </pt>
                <pt idx="163">
                  <v>0.02425955323680548</v>
                </pt>
                <pt idx="164">
                  <v>-0.00768939299190574</v>
                </pt>
                <pt idx="165">
                  <v>0.03068029367548986</v>
                </pt>
                <pt idx="166">
                  <v>0.0137979991085766</v>
                </pt>
                <pt idx="167">
                  <v>0.01675756798619387</v>
                </pt>
                <pt idx="168">
                  <v>0.01297853754893412</v>
                </pt>
                <pt idx="169">
                  <v>0.02295153020869438</v>
                </pt>
                <pt idx="170">
                  <v>0.0009052157627030676</v>
                </pt>
                <pt idx="171">
                  <v>-0.01734772376974209</v>
                </pt>
                <pt idx="172">
                  <v>0.007536486126963443</v>
                </pt>
                <pt idx="173">
                  <v>0.001734511949418089</v>
                </pt>
                <pt idx="174">
                  <v>-0.008318948484911522</v>
                </pt>
                <pt idx="175">
                  <v>-0.01548978799703532</v>
                </pt>
                <pt idx="176">
                  <v>0.01493778877779941</v>
                </pt>
                <pt idx="177">
                  <v>0.005682797090768661</v>
                </pt>
                <pt idx="178">
                  <v>-0.03107066651504419</v>
                </pt>
                <pt idx="179">
                  <v>0.02485865623028043</v>
                </pt>
                <pt idx="180">
                  <v>0.01072231122144396</v>
                </pt>
                <pt idx="181">
                  <v>-0.01206748135574138</v>
                </pt>
                <pt idx="182">
                  <v>-0.007325616414445285</v>
                </pt>
                <pt idx="183">
                  <v>0.03327451754260288</v>
                </pt>
                <pt idx="184">
                  <v>0.002343167728452141</v>
                </pt>
                <pt idx="185">
                  <v>0.02989130682424004</v>
                </pt>
                <pt idx="186">
                  <v>0.02872229552233082</v>
                </pt>
                <pt idx="187">
                  <v>0.01774592049644681</v>
                </pt>
                <pt idx="188">
                  <v>0.01655767728903</v>
                </pt>
                <pt idx="189">
                  <v>0.006457926162583663</v>
                </pt>
                <pt idx="190">
                  <v>0.02864776099265424</v>
                </pt>
                <pt idx="191">
                  <v>-0.01661470499125289</v>
                </pt>
                <pt idx="192">
                  <v>0.01168739981426022</v>
                </pt>
                <pt idx="193">
                  <v>0.007057488674087898</v>
                </pt>
                <pt idx="194">
                  <v>0.0232323167904053</v>
                </pt>
                <pt idx="195">
                  <v>0.01216556982723996</v>
                </pt>
                <pt idx="196">
                  <v>0.0004495557939200021</v>
                </pt>
                <pt idx="197">
                  <v>0.008229294696352233</v>
                </pt>
                <pt idx="198">
                  <v>0.006115888102293209</v>
                </pt>
                <pt idx="199">
                  <v>0.02157092024242111</v>
                </pt>
                <pt idx="200">
                  <v>0.03474860850830092</v>
                </pt>
                <pt idx="201">
                  <v>-0.004366777202571184</v>
                </pt>
                <pt idx="202">
                  <v>0.02641340605457328</v>
                </pt>
                <pt idx="203">
                  <v>0.01436562225280065</v>
                </pt>
                <pt idx="204">
                  <v>-0.0007109158462253328</v>
                </pt>
                <pt idx="205">
                  <v>0.01904746502499085</v>
                </pt>
                <pt idx="206">
                  <v>0.01905514068536526</v>
                </pt>
                <pt idx="207">
                  <v>-0.0002651326679680579</v>
                </pt>
                <pt idx="208">
                  <v>0.03864532415932648</v>
                </pt>
                <pt idx="209">
                  <v>-0.03352615259314252</v>
                </pt>
                <pt idx="210">
                  <v>-0.03268408584550037</v>
                </pt>
                <pt idx="211">
                  <v>-0.02639430094254049</v>
                </pt>
                <pt idx="212">
                  <v>-0.04591214768563461</v>
                </pt>
                <pt idx="213">
                  <v>-0.0276582089832789</v>
                </pt>
                <pt idx="214">
                  <v>-0.06695871370928927</v>
                </pt>
                <pt idx="215">
                  <v>-0.09815633436625162</v>
                </pt>
                <pt idx="216">
                  <v>-0.1120495256151796</v>
                </pt>
                <pt idx="217">
                  <v>-0.1520010862195592</v>
                </pt>
                <pt idx="218">
                  <v>-0.1713415348052878</v>
                </pt>
                <pt idx="219">
                  <v>-0.176979850761442</v>
                </pt>
                <pt idx="220">
                  <v>-0.1947739484818856</v>
                </pt>
                <pt idx="221">
                  <v>-0.1449327057806466</v>
                </pt>
                <pt idx="222">
                  <v>-0.1312385417605867</v>
                </pt>
                <pt idx="223">
                  <v>-0.1414240260109939</v>
                </pt>
                <pt idx="224">
                  <v>-0.1145736652951534</v>
                </pt>
                <pt idx="225">
                  <v>-0.1062321125941145</v>
                </pt>
                <pt idx="226">
                  <v>-0.09530970188807036</v>
                </pt>
                <pt idx="227">
                  <v>-0.03822182145721319</v>
                </pt>
                <pt idx="228">
                  <v>-0.02774158211804551</v>
                </pt>
                <pt idx="229">
                  <v>0.02017055379036138</v>
                </pt>
                <pt idx="230">
                  <v>0.02804721470582439</v>
                </pt>
                <pt idx="231">
                  <v>0.06788396402264293</v>
                </pt>
                <pt idx="232">
                  <v>0.06425950867809192</v>
                </pt>
                <pt idx="233">
                  <v>0.06032299222669988</v>
                </pt>
                <pt idx="234">
                  <v>0.04224768449868169</v>
                </pt>
                <pt idx="235">
                  <v>0.05357296787028091</v>
                </pt>
                <pt idx="236">
                  <v>0.02567286961672485</v>
                </pt>
                <pt idx="237">
                  <v>0.03295873213952999</v>
                </pt>
                <pt idx="238">
                  <v>0.03836550505595145</v>
                </pt>
                <pt idx="239">
                  <v>0.04138382089859386</v>
                </pt>
                <pt idx="240">
                  <v>0.05830287159738363</v>
                </pt>
                <pt idx="241">
                  <v>0.05962118946824951</v>
                </pt>
                <pt idx="242">
                  <v>0.0697439334093737</v>
                </pt>
                <pt idx="243">
                  <v>0.03590867225711153</v>
                </pt>
                <pt idx="244">
                  <v>0.02231382979260472</v>
                </pt>
                <pt idx="245">
                  <v>0.04727584423368236</v>
                </pt>
                <pt idx="246">
                  <v>0.02283193572212182</v>
                </pt>
                <pt idx="247">
                  <v>0.027373407605134</v>
                </pt>
                <pt idx="248">
                  <v>0.02926973865681181</v>
                </pt>
                <pt idx="249">
                  <v>0.009173323973883962</v>
                </pt>
                <pt idx="250">
                  <v>0.01308158113376368</v>
                </pt>
                <pt idx="251">
                  <v>0.02179353678306464</v>
                </pt>
                <pt idx="252">
                  <v>-0.01265416207177473</v>
                </pt>
                <pt idx="253">
                  <v>-0.0300093583877796</v>
                </pt>
                <pt idx="254">
                  <v>-0.02387323599316971</v>
                </pt>
                <pt idx="255">
                  <v>-0.01932306640683787</v>
                </pt>
                <pt idx="256">
                  <v>-0.0001975293034721308</v>
                </pt>
                <pt idx="257">
                  <v>-0.04571565470457895</v>
                </pt>
                <pt idx="258">
                  <v>-0.02468246881723813</v>
                </pt>
                <pt idx="259">
                  <v>-0.03004709215885909</v>
                </pt>
                <pt idx="260">
                  <v>-0.002354362434534431</v>
                </pt>
                <pt idx="261">
                  <v>-0.01235016421172449</v>
                </pt>
                <pt idx="262">
                  <v>-0.0321336056492408</v>
                </pt>
                <pt idx="263">
                  <v>-0.05249983352779226</v>
                </pt>
                <pt idx="264">
                  <v>-0.01922273877966256</v>
                </pt>
                <pt idx="265">
                  <v>-0.02270661214387987</v>
                </pt>
                <pt idx="266">
                  <v>-0.0209218266413518</v>
                </pt>
                <pt idx="267">
                  <v>-0.01178178786702682</v>
                </pt>
                <pt idx="268">
                  <v>0.001679330796556006</v>
                </pt>
                <pt idx="269">
                  <v>0.01282781472152523</v>
                </pt>
                <pt idx="270">
                  <v>0.006856265152879459</v>
                </pt>
                <pt idx="271">
                  <v>-0.006616486298910962</v>
                </pt>
                <pt idx="272">
                  <v>-0.03105912279046352</v>
                </pt>
                <pt idx="273">
                  <v>-0.01060415364698355</v>
                </pt>
                <pt idx="274">
                  <v>0.008351188023483218</v>
                </pt>
                <pt idx="275">
                  <v>0.02658339989419529</v>
                </pt>
                <pt idx="276">
                  <v>0.0003015353274266697</v>
                </pt>
                <pt idx="277">
                  <v>-0.006493553929441777</v>
                </pt>
                <pt idx="278">
                  <v>-0.002307364415003406</v>
                </pt>
                <pt idx="279">
                  <v>-0.01092065860989223</v>
                </pt>
                <pt idx="280">
                  <v>-0.0229779252234697</v>
                </pt>
                <pt idx="281">
                  <v>-0.04155904168579706</v>
                </pt>
                <pt idx="282">
                  <v>-0.007610691799777834</v>
                </pt>
                <pt idx="283">
                  <v>0.0125134687034108</v>
                </pt>
                <pt idx="284">
                  <v>-0.002231671434666488</v>
                </pt>
                <pt idx="285">
                  <v>0.002224450492478161</v>
                </pt>
                <pt idx="286">
                  <v>-0.01434206742838126</v>
                </pt>
                <pt idx="287">
                  <v>-0.04087664747179307</v>
                </pt>
                <pt idx="288">
                  <v>-0.001708185110594453</v>
                </pt>
                <pt idx="289">
                  <v>0.01623781502624412</v>
                </pt>
                <pt idx="290">
                  <v>0.006233934900292027</v>
                </pt>
                <pt idx="291">
                  <v>0.01114253192563306</v>
                </pt>
                <pt idx="292">
                  <v>0.002927198947177446</v>
                </pt>
                <pt idx="293">
                  <v>0.03530829444849778</v>
                </pt>
                <pt idx="294">
                  <v>0.01059506873908818</v>
                </pt>
                <pt idx="295">
                  <v>-0.01186056525015241</v>
                </pt>
                <pt idx="296">
                  <v>0.01626674116787556</v>
                </pt>
                <pt idx="297">
                  <v>0.0204797518342008</v>
                </pt>
                <pt idx="298">
                  <v>0.04067995746730656</v>
                </pt>
                <pt idx="299">
                  <v>0.02782649695394092</v>
                </pt>
                <pt idx="300">
                  <v>0.003019602352592295</v>
                </pt>
                <pt idx="301">
                  <v>0.02210784494511811</v>
                </pt>
                <pt idx="302">
                  <v>0.005296250254819599</v>
                </pt>
                <pt idx="303">
                  <v>0.003005084209377961</v>
                </pt>
                <pt idx="304">
                  <v>0.0182162345278551</v>
                </pt>
                <pt idx="305">
                  <v>-0.006481499948145569</v>
                </pt>
                <pt idx="306">
                  <v>-0.00878645003334971</v>
                </pt>
                <pt idx="307">
                  <v>-0.0001007657592503465</v>
                </pt>
                <pt idx="308">
                  <v>0.01080393190012531</v>
                </pt>
                <pt idx="309">
                  <v>-0.01117143907907807</v>
                </pt>
                <pt idx="310">
                  <v>-0.01870771006136222</v>
                </pt>
                <pt idx="311">
                  <v>0.02908671647436079</v>
                </pt>
                <pt idx="312">
                  <v>0.01123894301733357</v>
                </pt>
                <pt idx="313">
                  <v>-0.003244493210160695</v>
                </pt>
                <pt idx="314">
                  <v>-0.00506954219051941</v>
                </pt>
                <pt idx="315">
                  <v>0.01078696934103601</v>
                </pt>
                <pt idx="316">
                  <v>-0.0002965282472808472</v>
                </pt>
                <pt idx="317">
                  <v>0.03673631947058948</v>
                </pt>
                <pt idx="318">
                  <v>0.02901124126795354</v>
                </pt>
                <pt idx="319">
                  <v>0.03621547403567586</v>
                </pt>
                <pt idx="320">
                  <v>0.0186073348587897</v>
                </pt>
                <pt idx="321">
                  <v>0.03769315982275686</v>
                </pt>
                <pt idx="322">
                  <v>0.04585623057724886</v>
                </pt>
                <pt idx="323">
                  <v>0.02356947469411024</v>
                </pt>
                <pt idx="324">
                  <v>0.04892389462026708</v>
                </pt>
                <pt idx="325">
                  <v>0.006313818790145707</v>
                </pt>
                <pt idx="326">
                  <v>0.03057323949853524</v>
                </pt>
                <pt idx="327">
                  <v>0.02668061912554043</v>
                </pt>
                <pt idx="328">
                  <v>0.01483179883884647</v>
                </pt>
                <pt idx="329">
                  <v>-0.01539438614631098</v>
                </pt>
                <pt idx="330">
                  <v>0.01302094550409788</v>
                </pt>
                <pt idx="331">
                  <v>0.00691193320930788</v>
                </pt>
                <pt idx="332">
                  <v>0.01195092541942394</v>
                </pt>
                <pt idx="333">
                  <v>-0.008671280430172505</v>
                </pt>
                <pt idx="334">
                  <v>-0.005564568664378917</v>
                </pt>
                <pt idx="335">
                  <v>-0.01786722644273081</v>
                </pt>
                <pt idx="336">
                  <v>-0.01892131476647786</v>
                </pt>
                <pt idx="337">
                  <v>0.02695526112786694</v>
                </pt>
                <pt idx="338">
                  <v>0.01095482443682033</v>
                </pt>
                <pt idx="339">
                  <v>-0.002598630040740706</v>
                </pt>
                <pt idx="340">
                  <v>0.01402949506483281</v>
                </pt>
                <pt idx="341">
                  <v>0.04041364473042496</v>
                </pt>
                <pt idx="342">
                  <v>-0.001256270480832788</v>
                </pt>
                <pt idx="343">
                  <v>0.002320389748131449</v>
                </pt>
                <pt idx="344">
                  <v>-0.01469022351223069</v>
                </pt>
                <pt idx="345">
                  <v>0.007678035666905354</v>
                </pt>
                <pt idx="346">
                  <v>-0.0008682992622349561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country'!$B$5:$B$351</f>
              <numCache>
                <formatCode>0.00</formatCode>
                <ptCount val="347"/>
                <pt idx="0">
                  <v>91.87076999999999</v>
                </pt>
                <pt idx="1">
                  <v>93.07078</v>
                </pt>
                <pt idx="2">
                  <v>92.66077</v>
                </pt>
                <pt idx="3">
                  <v>91.52076</v>
                </pt>
                <pt idx="4">
                  <v>91.50076</v>
                </pt>
                <pt idx="5">
                  <v>91.61076</v>
                </pt>
                <pt idx="6">
                  <v>91.97076</v>
                </pt>
                <pt idx="7">
                  <v>90.43076000000001</v>
                </pt>
                <pt idx="8">
                  <v>91.38076</v>
                </pt>
                <pt idx="9">
                  <v>91.69077</v>
                </pt>
                <pt idx="10">
                  <v>91.26076</v>
                </pt>
                <pt idx="11">
                  <v>92.72077</v>
                </pt>
                <pt idx="12">
                  <v>91.89076</v>
                </pt>
                <pt idx="13">
                  <v>92.14077</v>
                </pt>
                <pt idx="14">
                  <v>91.45076</v>
                </pt>
                <pt idx="15">
                  <v>92.34077000000001</v>
                </pt>
                <pt idx="16">
                  <v>91.69077</v>
                </pt>
                <pt idx="17">
                  <v>91.72076</v>
                </pt>
                <pt idx="18">
                  <v>90.63075000000001</v>
                </pt>
                <pt idx="19">
                  <v>90.28075</v>
                </pt>
                <pt idx="20">
                  <v>90.56075</v>
                </pt>
                <pt idx="21">
                  <v>89.29074</v>
                </pt>
                <pt idx="22">
                  <v>90.24075000000001</v>
                </pt>
                <pt idx="23">
                  <v>89.07074</v>
                </pt>
                <pt idx="24">
                  <v>87.88073</v>
                </pt>
                <pt idx="25">
                  <v>87.79073</v>
                </pt>
                <pt idx="26">
                  <v>87.93073</v>
                </pt>
                <pt idx="27">
                  <v>87.49073</v>
                </pt>
                <pt idx="28">
                  <v>86.90073</v>
                </pt>
                <pt idx="29">
                  <v>86.83073</v>
                </pt>
                <pt idx="30">
                  <v>86.16072</v>
                </pt>
                <pt idx="31">
                  <v>87.33073</v>
                </pt>
                <pt idx="32">
                  <v>86.70072</v>
                </pt>
                <pt idx="33">
                  <v>87.28072</v>
                </pt>
                <pt idx="34">
                  <v>87.67073000000001</v>
                </pt>
                <pt idx="35">
                  <v>87.05073</v>
                </pt>
                <pt idx="36">
                  <v>86.27072</v>
                </pt>
                <pt idx="37">
                  <v>87.88073</v>
                </pt>
                <pt idx="38">
                  <v>87.61073</v>
                </pt>
                <pt idx="39">
                  <v>87.55073</v>
                </pt>
                <pt idx="40">
                  <v>90.01075</v>
                </pt>
                <pt idx="41">
                  <v>89.91074999999999</v>
                </pt>
                <pt idx="42">
                  <v>90.42075</v>
                </pt>
                <pt idx="43">
                  <v>91.21075999999999</v>
                </pt>
                <pt idx="44">
                  <v>91.71075999999999</v>
                </pt>
                <pt idx="45">
                  <v>91.40076000000001</v>
                </pt>
                <pt idx="46">
                  <v>92.29076999999999</v>
                </pt>
                <pt idx="47">
                  <v>93.10078</v>
                </pt>
                <pt idx="48">
                  <v>92.96078</v>
                </pt>
                <pt idx="49">
                  <v>93.63078</v>
                </pt>
                <pt idx="50">
                  <v>93.00078000000001</v>
                </pt>
                <pt idx="51">
                  <v>93.78077999999999</v>
                </pt>
                <pt idx="52">
                  <v>93.82079</v>
                </pt>
                <pt idx="53">
                  <v>93.36078000000001</v>
                </pt>
                <pt idx="54">
                  <v>93.97078</v>
                </pt>
                <pt idx="55">
                  <v>94.41079000000001</v>
                </pt>
                <pt idx="56">
                  <v>93.84078</v>
                </pt>
                <pt idx="57">
                  <v>93.98078</v>
                </pt>
                <pt idx="58">
                  <v>92.17077</v>
                </pt>
                <pt idx="59">
                  <v>92.13077</v>
                </pt>
                <pt idx="60">
                  <v>94.09078</v>
                </pt>
                <pt idx="61">
                  <v>93.26078</v>
                </pt>
                <pt idx="62">
                  <v>93.53077999999999</v>
                </pt>
                <pt idx="63">
                  <v>94.18079</v>
                </pt>
                <pt idx="64">
                  <v>93.26078</v>
                </pt>
                <pt idx="65">
                  <v>95.11078999999999</v>
                </pt>
                <pt idx="66">
                  <v>94.35078</v>
                </pt>
                <pt idx="67">
                  <v>92.70077999999999</v>
                </pt>
                <pt idx="68">
                  <v>94.75078999999999</v>
                </pt>
                <pt idx="69">
                  <v>94.84079</v>
                </pt>
                <pt idx="70">
                  <v>93.87078</v>
                </pt>
                <pt idx="71">
                  <v>95.04079</v>
                </pt>
                <pt idx="72">
                  <v>95.1908</v>
                </pt>
                <pt idx="73">
                  <v>94.33078999999999</v>
                </pt>
                <pt idx="74">
                  <v>95.09079</v>
                </pt>
                <pt idx="75">
                  <v>95.42079</v>
                </pt>
                <pt idx="76">
                  <v>98.77082</v>
                </pt>
                <pt idx="77">
                  <v>96.93080999999999</v>
                </pt>
                <pt idx="78">
                  <v>97.65081000000001</v>
                </pt>
                <pt idx="79">
                  <v>97.82082</v>
                </pt>
                <pt idx="80">
                  <v>101.6108</v>
                </pt>
                <pt idx="81">
                  <v>99.23083</v>
                </pt>
                <pt idx="82">
                  <v>101.7208</v>
                </pt>
                <pt idx="83">
                  <v>99.38083</v>
                </pt>
                <pt idx="84">
                  <v>101.3708</v>
                </pt>
                <pt idx="85">
                  <v>101.3708</v>
                </pt>
                <pt idx="86">
                  <v>102.0709</v>
                </pt>
                <pt idx="87">
                  <v>100.8508</v>
                </pt>
                <pt idx="88">
                  <v>102.1508</v>
                </pt>
                <pt idx="89">
                  <v>103.4409</v>
                </pt>
                <pt idx="90">
                  <v>102.7609</v>
                </pt>
                <pt idx="91">
                  <v>103.3609</v>
                </pt>
                <pt idx="92">
                  <v>100.7108</v>
                </pt>
                <pt idx="93">
                  <v>102.5309</v>
                </pt>
                <pt idx="94">
                  <v>102.6409</v>
                </pt>
                <pt idx="95">
                  <v>103.2309</v>
                </pt>
                <pt idx="96">
                  <v>102.4609</v>
                </pt>
                <pt idx="97">
                  <v>102.7409</v>
                </pt>
                <pt idx="98">
                  <v>102.4309</v>
                </pt>
                <pt idx="99">
                  <v>102.3708</v>
                </pt>
                <pt idx="100">
                  <v>103.1909</v>
                </pt>
                <pt idx="101">
                  <v>103.6009</v>
                </pt>
                <pt idx="102">
                  <v>105.0309</v>
                </pt>
                <pt idx="103">
                  <v>105.2809</v>
                </pt>
                <pt idx="104">
                  <v>103.3409</v>
                </pt>
                <pt idx="105">
                  <v>106.1409</v>
                </pt>
                <pt idx="106">
                  <v>107.4709</v>
                </pt>
                <pt idx="107">
                  <v>107.5509</v>
                </pt>
                <pt idx="108">
                  <v>106.6109</v>
                </pt>
                <pt idx="109">
                  <v>107.4009</v>
                </pt>
                <pt idx="110">
                  <v>107.7309</v>
                </pt>
                <pt idx="111">
                  <v>108.4509</v>
                </pt>
                <pt idx="112">
                  <v>109.0609</v>
                </pt>
                <pt idx="113">
                  <v>110.4209</v>
                </pt>
                <pt idx="114">
                  <v>108.9809</v>
                </pt>
                <pt idx="115">
                  <v>110.2709</v>
                </pt>
                <pt idx="116">
                  <v>109.2909</v>
                </pt>
                <pt idx="117">
                  <v>109.5709</v>
                </pt>
                <pt idx="118">
                  <v>110.7809</v>
                </pt>
                <pt idx="119">
                  <v>110.5809</v>
                </pt>
                <pt idx="120">
                  <v>111.6009</v>
                </pt>
                <pt idx="121">
                  <v>111.1009</v>
                </pt>
                <pt idx="122">
                  <v>111.8409</v>
                </pt>
                <pt idx="123">
                  <v>112.3009</v>
                </pt>
                <pt idx="124">
                  <v>110.4809</v>
                </pt>
                <pt idx="125">
                  <v>111.2909</v>
                </pt>
                <pt idx="126">
                  <v>111.3209</v>
                </pt>
                <pt idx="127">
                  <v>109.7909</v>
                </pt>
                <pt idx="128">
                  <v>112.5109</v>
                </pt>
                <pt idx="129">
                  <v>110.7709</v>
                </pt>
                <pt idx="130">
                  <v>109.9809</v>
                </pt>
                <pt idx="131">
                  <v>108.7809</v>
                </pt>
                <pt idx="132">
                  <v>109.4809</v>
                </pt>
                <pt idx="133">
                  <v>109.4509</v>
                </pt>
                <pt idx="134">
                  <v>109.8409</v>
                </pt>
                <pt idx="135">
                  <v>110.3709</v>
                </pt>
                <pt idx="136">
                  <v>111.0909</v>
                </pt>
                <pt idx="137">
                  <v>110.1309</v>
                </pt>
                <pt idx="138">
                  <v>109.9409</v>
                </pt>
                <pt idx="139">
                  <v>108.8109</v>
                </pt>
                <pt idx="140">
                  <v>110.8409</v>
                </pt>
                <pt idx="141">
                  <v>109.4609</v>
                </pt>
                <pt idx="142">
                  <v>108.6009</v>
                </pt>
                <pt idx="143">
                  <v>109.6509</v>
                </pt>
                <pt idx="144">
                  <v>107.0409</v>
                </pt>
                <pt idx="145">
                  <v>109.2509</v>
                </pt>
                <pt idx="146">
                  <v>110.2309</v>
                </pt>
                <pt idx="147">
                  <v>109.3709</v>
                </pt>
                <pt idx="148">
                  <v>109.3909</v>
                </pt>
                <pt idx="149">
                  <v>106.7609</v>
                </pt>
                <pt idx="150">
                  <v>106.5009</v>
                </pt>
                <pt idx="151">
                  <v>108.4109</v>
                </pt>
                <pt idx="152">
                  <v>107.9409</v>
                </pt>
                <pt idx="153">
                  <v>107.5609</v>
                </pt>
                <pt idx="154">
                  <v>110.1609</v>
                </pt>
                <pt idx="155">
                  <v>108.0109</v>
                </pt>
                <pt idx="156">
                  <v>108.6409</v>
                </pt>
                <pt idx="157">
                  <v>109.3609</v>
                </pt>
                <pt idx="158">
                  <v>110.4709</v>
                </pt>
                <pt idx="159">
                  <v>110.1009</v>
                </pt>
                <pt idx="160">
                  <v>110.1309</v>
                </pt>
                <pt idx="161">
                  <v>109.5409</v>
                </pt>
                <pt idx="162">
                  <v>110.5909</v>
                </pt>
                <pt idx="163">
                  <v>111.0409</v>
                </pt>
                <pt idx="164">
                  <v>107.1109</v>
                </pt>
                <pt idx="165">
                  <v>110.8609</v>
                </pt>
                <pt idx="166">
                  <v>111.6809</v>
                </pt>
                <pt idx="167">
                  <v>109.8209</v>
                </pt>
                <pt idx="168">
                  <v>110.0509</v>
                </pt>
                <pt idx="169">
                  <v>111.8709</v>
                </pt>
                <pt idx="170">
                  <v>110.5709</v>
                </pt>
                <pt idx="171">
                  <v>108.1909</v>
                </pt>
                <pt idx="172">
                  <v>110.9609</v>
                </pt>
                <pt idx="173">
                  <v>109.7309</v>
                </pt>
                <pt idx="174">
                  <v>109.6709</v>
                </pt>
                <pt idx="175">
                  <v>109.3209</v>
                </pt>
                <pt idx="176">
                  <v>108.7109</v>
                </pt>
                <pt idx="177">
                  <v>111.4909</v>
                </pt>
                <pt idx="178">
                  <v>108.2109</v>
                </pt>
                <pt idx="179">
                  <v>112.5509</v>
                </pt>
                <pt idx="180">
                  <v>111.2309</v>
                </pt>
                <pt idx="181">
                  <v>110.5209</v>
                </pt>
                <pt idx="182">
                  <v>109.7609</v>
                </pt>
                <pt idx="183">
                  <v>111.7909</v>
                </pt>
                <pt idx="184">
                  <v>111.2209</v>
                </pt>
                <pt idx="185">
                  <v>113.0109</v>
                </pt>
                <pt idx="186">
                  <v>112.8209</v>
                </pt>
                <pt idx="187">
                  <v>111.2609</v>
                </pt>
                <pt idx="188">
                  <v>110.5109</v>
                </pt>
                <pt idx="189">
                  <v>112.2109</v>
                </pt>
                <pt idx="190">
                  <v>111.3109</v>
                </pt>
                <pt idx="191">
                  <v>110.6809</v>
                </pt>
                <pt idx="192">
                  <v>112.5309</v>
                </pt>
                <pt idx="193">
                  <v>111.3009</v>
                </pt>
                <pt idx="194">
                  <v>112.3109</v>
                </pt>
                <pt idx="195">
                  <v>113.1509</v>
                </pt>
                <pt idx="196">
                  <v>111.2709</v>
                </pt>
                <pt idx="197">
                  <v>113.9409</v>
                </pt>
                <pt idx="198">
                  <v>113.5109</v>
                </pt>
                <pt idx="199">
                  <v>113.6609</v>
                </pt>
                <pt idx="200">
                  <v>114.351</v>
                </pt>
                <pt idx="201">
                  <v>111.7209</v>
                </pt>
                <pt idx="202">
                  <v>114.251</v>
                </pt>
                <pt idx="203">
                  <v>112.2709</v>
                </pt>
                <pt idx="204">
                  <v>112.4509</v>
                </pt>
                <pt idx="205">
                  <v>113.4209</v>
                </pt>
                <pt idx="206">
                  <v>114.451</v>
                </pt>
                <pt idx="207">
                  <v>113.1209</v>
                </pt>
                <pt idx="208">
                  <v>115.571</v>
                </pt>
                <pt idx="209">
                  <v>110.1209</v>
                </pt>
                <pt idx="210">
                  <v>109.8009</v>
                </pt>
                <pt idx="211">
                  <v>110.6609</v>
                </pt>
                <pt idx="212">
                  <v>109.1009</v>
                </pt>
                <pt idx="213">
                  <v>108.6309</v>
                </pt>
                <pt idx="214">
                  <v>106.6009</v>
                </pt>
                <pt idx="215">
                  <v>101.2508</v>
                </pt>
                <pt idx="216">
                  <v>99.85083</v>
                </pt>
                <pt idx="217">
                  <v>96.1808</v>
                </pt>
                <pt idx="218">
                  <v>94.84079</v>
                </pt>
                <pt idx="219">
                  <v>93.10078</v>
                </pt>
                <pt idx="220">
                  <v>93.06077999999999</v>
                </pt>
                <pt idx="221">
                  <v>94.16078</v>
                </pt>
                <pt idx="222">
                  <v>95.39079</v>
                </pt>
                <pt idx="223">
                  <v>95.01079</v>
                </pt>
                <pt idx="224">
                  <v>96.60081</v>
                </pt>
                <pt idx="225">
                  <v>97.09081</v>
                </pt>
                <pt idx="226">
                  <v>96.4408</v>
                </pt>
                <pt idx="227">
                  <v>97.38081</v>
                </pt>
                <pt idx="228">
                  <v>97.08081</v>
                </pt>
                <pt idx="229">
                  <v>98.12081999999999</v>
                </pt>
                <pt idx="230">
                  <v>97.50081</v>
                </pt>
                <pt idx="231">
                  <v>99.42083</v>
                </pt>
                <pt idx="232">
                  <v>99.04082</v>
                </pt>
                <pt idx="233">
                  <v>99.84084</v>
                </pt>
                <pt idx="234">
                  <v>99.42083</v>
                </pt>
                <pt idx="235">
                  <v>100.1008</v>
                </pt>
                <pt idx="236">
                  <v>99.08083000000001</v>
                </pt>
                <pt idx="237">
                  <v>100.2908</v>
                </pt>
                <pt idx="238">
                  <v>100.1408</v>
                </pt>
                <pt idx="239">
                  <v>101.4108</v>
                </pt>
                <pt idx="240">
                  <v>102.7409</v>
                </pt>
                <pt idx="241">
                  <v>103.9709</v>
                </pt>
                <pt idx="242">
                  <v>104.3009</v>
                </pt>
                <pt idx="243">
                  <v>102.9909</v>
                </pt>
                <pt idx="244">
                  <v>101.2508</v>
                </pt>
                <pt idx="245">
                  <v>104.5609</v>
                </pt>
                <pt idx="246">
                  <v>101.6908</v>
                </pt>
                <pt idx="247">
                  <v>102.8409</v>
                </pt>
                <pt idx="248">
                  <v>101.9809</v>
                </pt>
                <pt idx="249">
                  <v>101.2108</v>
                </pt>
                <pt idx="250">
                  <v>101.4508</v>
                </pt>
                <pt idx="251">
                  <v>103.6209</v>
                </pt>
                <pt idx="252">
                  <v>101.4408</v>
                </pt>
                <pt idx="253">
                  <v>100.8508</v>
                </pt>
                <pt idx="254">
                  <v>101.8109</v>
                </pt>
                <pt idx="255">
                  <v>101.0008</v>
                </pt>
                <pt idx="256">
                  <v>101.2308</v>
                </pt>
                <pt idx="257">
                  <v>99.78082999999999</v>
                </pt>
                <pt idx="258">
                  <v>99.18082</v>
                </pt>
                <pt idx="259">
                  <v>99.75082999999999</v>
                </pt>
                <pt idx="260">
                  <v>101.7408</v>
                </pt>
                <pt idx="261">
                  <v>99.96083</v>
                </pt>
                <pt idx="262">
                  <v>98.19082</v>
                </pt>
                <pt idx="263">
                  <v>98.18082</v>
                </pt>
                <pt idx="264">
                  <v>99.49083</v>
                </pt>
                <pt idx="265">
                  <v>98.56082000000001</v>
                </pt>
                <pt idx="266">
                  <v>99.68083</v>
                </pt>
                <pt idx="267">
                  <v>99.81083</v>
                </pt>
                <pt idx="268">
                  <v>101.4008</v>
                </pt>
                <pt idx="269">
                  <v>101.0608</v>
                </pt>
                <pt idx="270">
                  <v>99.86083000000001</v>
                </pt>
                <pt idx="271">
                  <v>99.09083</v>
                </pt>
                <pt idx="272">
                  <v>98.58082</v>
                </pt>
                <pt idx="273">
                  <v>98.90083</v>
                </pt>
                <pt idx="274">
                  <v>99.01083</v>
                </pt>
                <pt idx="275">
                  <v>100.7908</v>
                </pt>
                <pt idx="276">
                  <v>99.52083</v>
                </pt>
                <pt idx="277">
                  <v>97.92081</v>
                </pt>
                <pt idx="278">
                  <v>99.45083</v>
                </pt>
                <pt idx="279">
                  <v>98.72083000000001</v>
                </pt>
                <pt idx="280">
                  <v>99.07082</v>
                </pt>
                <pt idx="281">
                  <v>96.86081</v>
                </pt>
                <pt idx="282">
                  <v>99.10082</v>
                </pt>
                <pt idx="283">
                  <v>100.3308</v>
                </pt>
                <pt idx="284">
                  <v>98.36082</v>
                </pt>
                <pt idx="285">
                  <v>99.12083</v>
                </pt>
                <pt idx="286">
                  <v>97.59081</v>
                </pt>
                <pt idx="287">
                  <v>96.67081</v>
                </pt>
                <pt idx="288">
                  <v>99.35083</v>
                </pt>
                <pt idx="289">
                  <v>99.51083</v>
                </pt>
                <pt idx="290">
                  <v>100.0708</v>
                </pt>
                <pt idx="291">
                  <v>99.82083</v>
                </pt>
                <pt idx="292">
                  <v>99.36082</v>
                </pt>
                <pt idx="293">
                  <v>100.2808</v>
                </pt>
                <pt idx="294">
                  <v>100.1508</v>
                </pt>
                <pt idx="295">
                  <v>99.14082000000001</v>
                </pt>
                <pt idx="296">
                  <v>99.96083</v>
                </pt>
                <pt idx="297">
                  <v>101.1508</v>
                </pt>
                <pt idx="298">
                  <v>101.5608</v>
                </pt>
                <pt idx="299">
                  <v>99.36082</v>
                </pt>
                <pt idx="300">
                  <v>99.65083</v>
                </pt>
                <pt idx="301">
                  <v>101.7108</v>
                </pt>
                <pt idx="302">
                  <v>100.6008</v>
                </pt>
                <pt idx="303">
                  <v>100.1208</v>
                </pt>
                <pt idx="304">
                  <v>101.1708</v>
                </pt>
                <pt idx="305">
                  <v>99.63083</v>
                </pt>
                <pt idx="306">
                  <v>99.27083</v>
                </pt>
                <pt idx="307">
                  <v>99.13083</v>
                </pt>
                <pt idx="308">
                  <v>101.0408</v>
                </pt>
                <pt idx="309">
                  <v>100.0208</v>
                </pt>
                <pt idx="310">
                  <v>99.66083</v>
                </pt>
                <pt idx="311">
                  <v>102.2509</v>
                </pt>
                <pt idx="312">
                  <v>100.7708</v>
                </pt>
                <pt idx="313">
                  <v>101.3808</v>
                </pt>
                <pt idx="314">
                  <v>100.0908</v>
                </pt>
                <pt idx="315">
                  <v>101.2008</v>
                </pt>
                <pt idx="316">
                  <v>101.1408</v>
                </pt>
                <pt idx="317">
                  <v>103.2909</v>
                </pt>
                <pt idx="318">
                  <v>102.1508</v>
                </pt>
                <pt idx="319">
                  <v>102.7209</v>
                </pt>
                <pt idx="320">
                  <v>102.9209</v>
                </pt>
                <pt idx="321">
                  <v>103.7909</v>
                </pt>
                <pt idx="322">
                  <v>104.2309</v>
                </pt>
                <pt idx="323">
                  <v>104.6609</v>
                </pt>
                <pt idx="324">
                  <v>105.7009</v>
                </pt>
                <pt idx="325">
                  <v>102.0209</v>
                </pt>
                <pt idx="326">
                  <v>103.1509</v>
                </pt>
                <pt idx="327">
                  <v>103.9009</v>
                </pt>
                <pt idx="328">
                  <v>102.6409</v>
                </pt>
                <pt idx="329">
                  <v>101.7008</v>
                </pt>
                <pt idx="330">
                  <v>103.4809</v>
                </pt>
                <pt idx="331">
                  <v>103.4309</v>
                </pt>
                <pt idx="332">
                  <v>104.1509</v>
                </pt>
                <pt idx="333">
                  <v>102.8909</v>
                </pt>
                <pt idx="334">
                  <v>103.6509</v>
                </pt>
                <pt idx="335">
                  <v>102.7909</v>
                </pt>
                <pt idx="336">
                  <v>103.7009</v>
                </pt>
                <pt idx="337">
                  <v>104.7709</v>
                </pt>
                <pt idx="338">
                  <v>104.2809</v>
                </pt>
                <pt idx="339">
                  <v>103.6309</v>
                </pt>
                <pt idx="340">
                  <v>104.0809</v>
                </pt>
                <pt idx="341">
                  <v>105.8109</v>
                </pt>
                <pt idx="342">
                  <v>103.3509</v>
                </pt>
                <pt idx="343">
                  <v>103.6709</v>
                </pt>
                <pt idx="344">
                  <v>102.6209</v>
                </pt>
                <pt idx="345">
                  <v>103.6809</v>
                </pt>
                <pt idx="346">
                  <v>103.5609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-0.0100845924346086</v>
                </pt>
                <pt idx="1">
                  <v>0.008271164188474499</v>
                </pt>
                <pt idx="2">
                  <v>0.01190436293896322</v>
                </pt>
                <pt idx="3">
                  <v>0.004053354002143301</v>
                </pt>
                <pt idx="4">
                  <v>-0.02166170412206281</v>
                </pt>
                <pt idx="5">
                  <v>0.00291875610527364</v>
                </pt>
                <pt idx="6">
                  <v>0.02067188000340797</v>
                </pt>
                <pt idx="7">
                  <v>-0.01091329534326737</v>
                </pt>
                <pt idx="8">
                  <v>-0.004771333826371202</v>
                </pt>
                <pt idx="9">
                  <v>0.010487331303785</v>
                </pt>
                <pt idx="10">
                  <v>-0.01522148683216893</v>
                </pt>
                <pt idx="11">
                  <v>-0.003613339364933519</v>
                </pt>
                <pt idx="12">
                  <v>-0.001410283363199447</v>
                </pt>
                <pt idx="13">
                  <v>0.01926716441292786</v>
                </pt>
                <pt idx="14">
                  <v>-0.01009493194828238</v>
                </pt>
                <pt idx="15">
                  <v>-0.003598951418104933</v>
                </pt>
                <pt idx="16">
                  <v>0.02598884637023389</v>
                </pt>
                <pt idx="17">
                  <v>-0.01447517821359037</v>
                </pt>
                <pt idx="18">
                  <v>0.006053340848737923</v>
                </pt>
                <pt idx="19">
                  <v>-0.01272430282657063</v>
                </pt>
                <pt idx="20">
                  <v>0.01108993034324833</v>
                </pt>
                <pt idx="21">
                  <v>-0.0005928806886902304</v>
                </pt>
                <pt idx="22">
                  <v>0.02125848322338754</v>
                </pt>
                <pt idx="23">
                  <v>-0.01103775840853347</v>
                </pt>
                <pt idx="24">
                  <v>0.00558096461310138</v>
                </pt>
                <pt idx="25">
                  <v>0.001947023439241701</v>
                </pt>
                <pt idx="26">
                  <v>0.008453093589348619</v>
                </pt>
                <pt idx="27">
                  <v>0.004239292654751158</v>
                </pt>
                <pt idx="28">
                  <v>0.00412545607876352</v>
                </pt>
                <pt idx="29">
                  <v>0.0099368532087915</v>
                </pt>
                <pt idx="30">
                  <v>-0.03481521917031933</v>
                </pt>
                <pt idx="31">
                  <v>0.01107616184526891</v>
                </pt>
                <pt idx="32">
                  <v>0.007270901174880685</v>
                </pt>
                <pt idx="33">
                  <v>-0.01212694019012339</v>
                </pt>
                <pt idx="34">
                  <v>-0.009159116882256499</v>
                </pt>
                <pt idx="35">
                  <v>0.01750330380881964</v>
                </pt>
                <pt idx="36">
                  <v>-0.0004831809541665309</v>
                </pt>
                <pt idx="37">
                  <v>0.006961169244394072</v>
                </pt>
                <pt idx="38">
                  <v>-0.0120978311277194</v>
                </pt>
                <pt idx="39">
                  <v>0.007386464692212731</v>
                </pt>
                <pt idx="40">
                  <v>-0.008297081839135014</v>
                </pt>
                <pt idx="41">
                  <v>0.008852923751032542</v>
                </pt>
                <pt idx="42">
                  <v>0.01031813610103667</v>
                </pt>
                <pt idx="43">
                  <v>-0.004676871154108583</v>
                </pt>
                <pt idx="44">
                  <v>-0.006233164462523872</v>
                </pt>
                <pt idx="45">
                  <v>0.00434233418796906</v>
                </pt>
                <pt idx="46">
                  <v>0.01662168563108125</v>
                </pt>
                <pt idx="47">
                  <v>-0.0232490225487167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China!$A$8:$A$363</f>
              <numCache>
                <formatCode>m/d/yy</formatCode>
                <ptCount val="356"/>
                <pt idx="0">
                  <v>32932</v>
                </pt>
                <pt idx="1">
                  <v>32963</v>
                </pt>
                <pt idx="2">
                  <v>32993</v>
                </pt>
                <pt idx="3">
                  <v>33024</v>
                </pt>
                <pt idx="4">
                  <v>33054</v>
                </pt>
                <pt idx="5">
                  <v>33085</v>
                </pt>
                <pt idx="6">
                  <v>33116</v>
                </pt>
                <pt idx="7">
                  <v>33146</v>
                </pt>
                <pt idx="8">
                  <v>33177</v>
                </pt>
                <pt idx="9">
                  <v>33207</v>
                </pt>
                <pt idx="10">
                  <v>33238</v>
                </pt>
                <pt idx="11">
                  <v>33269</v>
                </pt>
                <pt idx="12">
                  <v>33297</v>
                </pt>
                <pt idx="13">
                  <v>33328</v>
                </pt>
                <pt idx="14">
                  <v>33358</v>
                </pt>
                <pt idx="15">
                  <v>33389</v>
                </pt>
                <pt idx="16">
                  <v>33419</v>
                </pt>
                <pt idx="17">
                  <v>33450</v>
                </pt>
                <pt idx="18">
                  <v>33481</v>
                </pt>
                <pt idx="19">
                  <v>33511</v>
                </pt>
                <pt idx="20">
                  <v>33542</v>
                </pt>
                <pt idx="21">
                  <v>33572</v>
                </pt>
                <pt idx="22">
                  <v>33603</v>
                </pt>
                <pt idx="23">
                  <v>33634</v>
                </pt>
                <pt idx="24">
                  <v>33663</v>
                </pt>
                <pt idx="25">
                  <v>33694</v>
                </pt>
                <pt idx="26">
                  <v>33724</v>
                </pt>
                <pt idx="27">
                  <v>33755</v>
                </pt>
                <pt idx="28">
                  <v>33785</v>
                </pt>
                <pt idx="29">
                  <v>33816</v>
                </pt>
                <pt idx="30">
                  <v>33847</v>
                </pt>
                <pt idx="31">
                  <v>33877</v>
                </pt>
                <pt idx="32">
                  <v>33908</v>
                </pt>
                <pt idx="33">
                  <v>33938</v>
                </pt>
                <pt idx="34">
                  <v>33969</v>
                </pt>
                <pt idx="35">
                  <v>34000</v>
                </pt>
                <pt idx="36">
                  <v>34028</v>
                </pt>
                <pt idx="37">
                  <v>34059</v>
                </pt>
                <pt idx="38">
                  <v>34089</v>
                </pt>
                <pt idx="39">
                  <v>34120</v>
                </pt>
                <pt idx="40">
                  <v>34150</v>
                </pt>
                <pt idx="41">
                  <v>34181</v>
                </pt>
                <pt idx="42">
                  <v>34212</v>
                </pt>
                <pt idx="43">
                  <v>34242</v>
                </pt>
                <pt idx="44">
                  <v>34273</v>
                </pt>
                <pt idx="45">
                  <v>34303</v>
                </pt>
                <pt idx="46">
                  <v>34334</v>
                </pt>
                <pt idx="47">
                  <v>34365</v>
                </pt>
                <pt idx="48">
                  <v>34393</v>
                </pt>
                <pt idx="49">
                  <v>34424</v>
                </pt>
                <pt idx="50">
                  <v>34454</v>
                </pt>
                <pt idx="51">
                  <v>34485</v>
                </pt>
                <pt idx="52">
                  <v>34515</v>
                </pt>
                <pt idx="53">
                  <v>34546</v>
                </pt>
                <pt idx="54">
                  <v>34577</v>
                </pt>
                <pt idx="55">
                  <v>34607</v>
                </pt>
                <pt idx="56">
                  <v>34638</v>
                </pt>
                <pt idx="57">
                  <v>34668</v>
                </pt>
                <pt idx="58">
                  <v>34699</v>
                </pt>
                <pt idx="59">
                  <v>34730</v>
                </pt>
                <pt idx="60">
                  <v>34758</v>
                </pt>
                <pt idx="61">
                  <v>34789</v>
                </pt>
                <pt idx="62">
                  <v>34819</v>
                </pt>
                <pt idx="63">
                  <v>34850</v>
                </pt>
                <pt idx="64">
                  <v>34880</v>
                </pt>
                <pt idx="65">
                  <v>34911</v>
                </pt>
                <pt idx="66">
                  <v>34942</v>
                </pt>
                <pt idx="67">
                  <v>34972</v>
                </pt>
                <pt idx="68">
                  <v>35003</v>
                </pt>
                <pt idx="69">
                  <v>35033</v>
                </pt>
                <pt idx="70">
                  <v>35064</v>
                </pt>
                <pt idx="71">
                  <v>35095</v>
                </pt>
                <pt idx="72">
                  <v>35124</v>
                </pt>
                <pt idx="73">
                  <v>35155</v>
                </pt>
                <pt idx="74">
                  <v>35185</v>
                </pt>
                <pt idx="75">
                  <v>35216</v>
                </pt>
                <pt idx="76">
                  <v>35246</v>
                </pt>
                <pt idx="77">
                  <v>35277</v>
                </pt>
                <pt idx="78">
                  <v>35308</v>
                </pt>
                <pt idx="79">
                  <v>35338</v>
                </pt>
                <pt idx="80">
                  <v>35369</v>
                </pt>
                <pt idx="81">
                  <v>35399</v>
                </pt>
                <pt idx="82">
                  <v>35430</v>
                </pt>
                <pt idx="83">
                  <v>35461</v>
                </pt>
                <pt idx="84">
                  <v>35489</v>
                </pt>
                <pt idx="85">
                  <v>35520</v>
                </pt>
                <pt idx="86">
                  <v>35550</v>
                </pt>
                <pt idx="87">
                  <v>35581</v>
                </pt>
                <pt idx="88">
                  <v>35611</v>
                </pt>
                <pt idx="89">
                  <v>35642</v>
                </pt>
                <pt idx="90">
                  <v>35673</v>
                </pt>
                <pt idx="91">
                  <v>35703</v>
                </pt>
                <pt idx="92">
                  <v>35734</v>
                </pt>
                <pt idx="93">
                  <v>35764</v>
                </pt>
                <pt idx="94">
                  <v>35795</v>
                </pt>
                <pt idx="95">
                  <v>35826</v>
                </pt>
                <pt idx="96">
                  <v>35854</v>
                </pt>
                <pt idx="97">
                  <v>35885</v>
                </pt>
                <pt idx="98">
                  <v>35915</v>
                </pt>
                <pt idx="99">
                  <v>35946</v>
                </pt>
                <pt idx="100">
                  <v>35976</v>
                </pt>
                <pt idx="101">
                  <v>36007</v>
                </pt>
                <pt idx="102">
                  <v>36038</v>
                </pt>
                <pt idx="103">
                  <v>36068</v>
                </pt>
                <pt idx="104">
                  <v>36099</v>
                </pt>
                <pt idx="105">
                  <v>36129</v>
                </pt>
                <pt idx="106">
                  <v>36160</v>
                </pt>
                <pt idx="107">
                  <v>36191</v>
                </pt>
                <pt idx="108">
                  <v>36219</v>
                </pt>
                <pt idx="109">
                  <v>36250</v>
                </pt>
                <pt idx="110">
                  <v>36280</v>
                </pt>
                <pt idx="111">
                  <v>36311</v>
                </pt>
                <pt idx="112">
                  <v>36341</v>
                </pt>
                <pt idx="113">
                  <v>36372</v>
                </pt>
                <pt idx="114">
                  <v>36403</v>
                </pt>
                <pt idx="115">
                  <v>36433</v>
                </pt>
                <pt idx="116">
                  <v>36464</v>
                </pt>
                <pt idx="117">
                  <v>36494</v>
                </pt>
                <pt idx="118">
                  <v>36525</v>
                </pt>
                <pt idx="119">
                  <v>36556</v>
                </pt>
                <pt idx="120">
                  <v>36585</v>
                </pt>
                <pt idx="121">
                  <v>36616</v>
                </pt>
                <pt idx="122">
                  <v>36646</v>
                </pt>
                <pt idx="123">
                  <v>36677</v>
                </pt>
                <pt idx="124">
                  <v>36707</v>
                </pt>
                <pt idx="125">
                  <v>36738</v>
                </pt>
                <pt idx="126">
                  <v>36769</v>
                </pt>
                <pt idx="127">
                  <v>36799</v>
                </pt>
                <pt idx="128">
                  <v>36830</v>
                </pt>
                <pt idx="129">
                  <v>36860</v>
                </pt>
                <pt idx="130">
                  <v>36891</v>
                </pt>
                <pt idx="131">
                  <v>36922</v>
                </pt>
                <pt idx="132">
                  <v>36950</v>
                </pt>
                <pt idx="133">
                  <v>36981</v>
                </pt>
                <pt idx="134">
                  <v>37011</v>
                </pt>
                <pt idx="135">
                  <v>37042</v>
                </pt>
                <pt idx="136">
                  <v>37072</v>
                </pt>
                <pt idx="137">
                  <v>37103</v>
                </pt>
                <pt idx="138">
                  <v>37134</v>
                </pt>
                <pt idx="139">
                  <v>37164</v>
                </pt>
                <pt idx="140">
                  <v>37195</v>
                </pt>
                <pt idx="141">
                  <v>37225</v>
                </pt>
                <pt idx="142">
                  <v>37256</v>
                </pt>
                <pt idx="143">
                  <v>37287</v>
                </pt>
                <pt idx="144">
                  <v>37315</v>
                </pt>
                <pt idx="145">
                  <v>37346</v>
                </pt>
                <pt idx="146">
                  <v>37376</v>
                </pt>
                <pt idx="147">
                  <v>37407</v>
                </pt>
                <pt idx="148">
                  <v>37437</v>
                </pt>
                <pt idx="149">
                  <v>37468</v>
                </pt>
                <pt idx="150">
                  <v>37499</v>
                </pt>
                <pt idx="151">
                  <v>37529</v>
                </pt>
                <pt idx="152">
                  <v>37560</v>
                </pt>
                <pt idx="153">
                  <v>37590</v>
                </pt>
                <pt idx="154">
                  <v>37621</v>
                </pt>
                <pt idx="155">
                  <v>37652</v>
                </pt>
                <pt idx="156">
                  <v>37680</v>
                </pt>
                <pt idx="157">
                  <v>37711</v>
                </pt>
                <pt idx="158">
                  <v>37741</v>
                </pt>
                <pt idx="159">
                  <v>37772</v>
                </pt>
                <pt idx="160">
                  <v>37802</v>
                </pt>
                <pt idx="161">
                  <v>37833</v>
                </pt>
                <pt idx="162">
                  <v>37864</v>
                </pt>
                <pt idx="163">
                  <v>37894</v>
                </pt>
                <pt idx="164">
                  <v>37925</v>
                </pt>
                <pt idx="165">
                  <v>37955</v>
                </pt>
                <pt idx="166">
                  <v>37986</v>
                </pt>
                <pt idx="167">
                  <v>38017</v>
                </pt>
                <pt idx="168">
                  <v>38046</v>
                </pt>
                <pt idx="169">
                  <v>38077</v>
                </pt>
                <pt idx="170">
                  <v>38107</v>
                </pt>
                <pt idx="171">
                  <v>38138</v>
                </pt>
                <pt idx="172">
                  <v>38168</v>
                </pt>
                <pt idx="173">
                  <v>38199</v>
                </pt>
                <pt idx="174">
                  <v>38230</v>
                </pt>
                <pt idx="175">
                  <v>38260</v>
                </pt>
                <pt idx="176">
                  <v>38291</v>
                </pt>
                <pt idx="177">
                  <v>38321</v>
                </pt>
                <pt idx="178">
                  <v>38352</v>
                </pt>
                <pt idx="179">
                  <v>38383</v>
                </pt>
                <pt idx="180">
                  <v>38411</v>
                </pt>
                <pt idx="181">
                  <v>38442</v>
                </pt>
                <pt idx="182">
                  <v>38472</v>
                </pt>
                <pt idx="183">
                  <v>38503</v>
                </pt>
                <pt idx="184">
                  <v>38533</v>
                </pt>
                <pt idx="185">
                  <v>38564</v>
                </pt>
                <pt idx="186">
                  <v>38595</v>
                </pt>
                <pt idx="187">
                  <v>38625</v>
                </pt>
                <pt idx="188">
                  <v>38656</v>
                </pt>
                <pt idx="189">
                  <v>38686</v>
                </pt>
                <pt idx="190">
                  <v>38717</v>
                </pt>
                <pt idx="191">
                  <v>38776</v>
                </pt>
                <pt idx="192">
                  <v>38807</v>
                </pt>
                <pt idx="193">
                  <v>38837</v>
                </pt>
                <pt idx="194">
                  <v>38868</v>
                </pt>
                <pt idx="195">
                  <v>38898</v>
                </pt>
                <pt idx="196">
                  <v>38929</v>
                </pt>
                <pt idx="197">
                  <v>38960</v>
                </pt>
                <pt idx="198">
                  <v>38990</v>
                </pt>
                <pt idx="199">
                  <v>39021</v>
                </pt>
                <pt idx="200">
                  <v>39051</v>
                </pt>
                <pt idx="201">
                  <v>39082</v>
                </pt>
                <pt idx="202">
                  <v>39141</v>
                </pt>
                <pt idx="203">
                  <v>39172</v>
                </pt>
                <pt idx="204">
                  <v>39202</v>
                </pt>
                <pt idx="205">
                  <v>39233</v>
                </pt>
                <pt idx="206">
                  <v>39263</v>
                </pt>
                <pt idx="207">
                  <v>39294</v>
                </pt>
                <pt idx="208">
                  <v>39325</v>
                </pt>
                <pt idx="209">
                  <v>39355</v>
                </pt>
                <pt idx="210">
                  <v>39386</v>
                </pt>
                <pt idx="211">
                  <v>39416</v>
                </pt>
                <pt idx="212">
                  <v>39447</v>
                </pt>
                <pt idx="213">
                  <v>39507</v>
                </pt>
                <pt idx="214">
                  <v>39538</v>
                </pt>
                <pt idx="215">
                  <v>39568</v>
                </pt>
                <pt idx="216">
                  <v>39599</v>
                </pt>
                <pt idx="217">
                  <v>39629</v>
                </pt>
                <pt idx="218">
                  <v>39660</v>
                </pt>
                <pt idx="219">
                  <v>39691</v>
                </pt>
                <pt idx="220">
                  <v>39721</v>
                </pt>
                <pt idx="221">
                  <v>39752</v>
                </pt>
                <pt idx="222">
                  <v>39782</v>
                </pt>
                <pt idx="223">
                  <v>39813</v>
                </pt>
                <pt idx="224">
                  <v>39872</v>
                </pt>
                <pt idx="225">
                  <v>39903</v>
                </pt>
                <pt idx="226">
                  <v>39933</v>
                </pt>
                <pt idx="227">
                  <v>39964</v>
                </pt>
                <pt idx="228">
                  <v>39994</v>
                </pt>
                <pt idx="229">
                  <v>40025</v>
                </pt>
                <pt idx="230">
                  <v>40056</v>
                </pt>
                <pt idx="231">
                  <v>40086</v>
                </pt>
                <pt idx="232">
                  <v>40117</v>
                </pt>
                <pt idx="233">
                  <v>40147</v>
                </pt>
                <pt idx="234">
                  <v>40178</v>
                </pt>
                <pt idx="235">
                  <v>40237</v>
                </pt>
                <pt idx="236">
                  <v>40268</v>
                </pt>
                <pt idx="237">
                  <v>40298</v>
                </pt>
                <pt idx="238">
                  <v>40329</v>
                </pt>
                <pt idx="239">
                  <v>40359</v>
                </pt>
                <pt idx="240">
                  <v>40390</v>
                </pt>
                <pt idx="241">
                  <v>40421</v>
                </pt>
                <pt idx="242">
                  <v>40451</v>
                </pt>
                <pt idx="243">
                  <v>40482</v>
                </pt>
                <pt idx="244">
                  <v>40512</v>
                </pt>
                <pt idx="245">
                  <v>40543</v>
                </pt>
                <pt idx="246">
                  <v>40602</v>
                </pt>
                <pt idx="247">
                  <v>40633</v>
                </pt>
                <pt idx="248">
                  <v>40663</v>
                </pt>
                <pt idx="249">
                  <v>40694</v>
                </pt>
                <pt idx="250">
                  <v>40724</v>
                </pt>
                <pt idx="251">
                  <v>40755</v>
                </pt>
                <pt idx="252">
                  <v>40786</v>
                </pt>
                <pt idx="253">
                  <v>40816</v>
                </pt>
                <pt idx="254">
                  <v>40847</v>
                </pt>
                <pt idx="255">
                  <v>40877</v>
                </pt>
                <pt idx="256">
                  <v>40908</v>
                </pt>
                <pt idx="257">
                  <v>40968</v>
                </pt>
                <pt idx="258">
                  <v>40999</v>
                </pt>
                <pt idx="259">
                  <v>41029</v>
                </pt>
                <pt idx="260">
                  <v>41060</v>
                </pt>
                <pt idx="261">
                  <v>41090</v>
                </pt>
                <pt idx="262">
                  <v>41121</v>
                </pt>
                <pt idx="263">
                  <v>41152</v>
                </pt>
                <pt idx="264">
                  <v>41182</v>
                </pt>
                <pt idx="265">
                  <v>41213</v>
                </pt>
                <pt idx="266">
                  <v>41243</v>
                </pt>
                <pt idx="267">
                  <v>41274</v>
                </pt>
                <pt idx="268">
                  <v>41333</v>
                </pt>
                <pt idx="269">
                  <v>41364</v>
                </pt>
                <pt idx="270">
                  <v>41394</v>
                </pt>
                <pt idx="271">
                  <v>41425</v>
                </pt>
                <pt idx="272">
                  <v>41455</v>
                </pt>
                <pt idx="273">
                  <v>41486</v>
                </pt>
                <pt idx="274">
                  <v>41517</v>
                </pt>
                <pt idx="275">
                  <v>41547</v>
                </pt>
                <pt idx="276">
                  <v>41578</v>
                </pt>
                <pt idx="277">
                  <v>41608</v>
                </pt>
                <pt idx="278">
                  <v>41639</v>
                </pt>
                <pt idx="279">
                  <v>41698</v>
                </pt>
                <pt idx="280">
                  <v>41729</v>
                </pt>
                <pt idx="281">
                  <v>41759</v>
                </pt>
                <pt idx="282">
                  <v>41790</v>
                </pt>
                <pt idx="283">
                  <v>41820</v>
                </pt>
                <pt idx="284">
                  <v>41851</v>
                </pt>
                <pt idx="285">
                  <v>41882</v>
                </pt>
                <pt idx="286">
                  <v>41912</v>
                </pt>
                <pt idx="287">
                  <v>41943</v>
                </pt>
                <pt idx="288">
                  <v>41973</v>
                </pt>
                <pt idx="289">
                  <v>42004</v>
                </pt>
                <pt idx="290">
                  <v>42063</v>
                </pt>
                <pt idx="291">
                  <v>42094</v>
                </pt>
                <pt idx="292">
                  <v>42124</v>
                </pt>
                <pt idx="293">
                  <v>42155</v>
                </pt>
                <pt idx="294">
                  <v>42185</v>
                </pt>
                <pt idx="295">
                  <v>42216</v>
                </pt>
                <pt idx="296">
                  <v>42247</v>
                </pt>
                <pt idx="297">
                  <v>42277</v>
                </pt>
                <pt idx="298">
                  <v>42308</v>
                </pt>
                <pt idx="299">
                  <v>42338</v>
                </pt>
                <pt idx="300">
                  <v>42369</v>
                </pt>
                <pt idx="301">
                  <v>42400</v>
                </pt>
                <pt idx="302">
                  <v>42460</v>
                </pt>
                <pt idx="303">
                  <v>42490</v>
                </pt>
                <pt idx="304">
                  <v>42521</v>
                </pt>
                <pt idx="305">
                  <v>42551</v>
                </pt>
                <pt idx="306">
                  <v>42582</v>
                </pt>
                <pt idx="307">
                  <v>42613</v>
                </pt>
                <pt idx="308">
                  <v>42643</v>
                </pt>
                <pt idx="309">
                  <v>42674</v>
                </pt>
                <pt idx="310">
                  <v>42704</v>
                </pt>
                <pt idx="311">
                  <v>42735</v>
                </pt>
                <pt idx="312">
                  <v>42766</v>
                </pt>
                <pt idx="313">
                  <v>42825</v>
                </pt>
                <pt idx="314">
                  <v>42855</v>
                </pt>
                <pt idx="315">
                  <v>42886</v>
                </pt>
                <pt idx="316">
                  <v>42916</v>
                </pt>
                <pt idx="317">
                  <v>42947</v>
                </pt>
                <pt idx="318">
                  <v>42978</v>
                </pt>
                <pt idx="319">
                  <v>43008</v>
                </pt>
                <pt idx="320">
                  <v>43039</v>
                </pt>
                <pt idx="321">
                  <v>43069</v>
                </pt>
                <pt idx="322">
                  <v>43100</v>
                </pt>
                <pt idx="323">
                  <v>43159</v>
                </pt>
                <pt idx="324">
                  <v>43190</v>
                </pt>
                <pt idx="325">
                  <v>43220</v>
                </pt>
                <pt idx="326">
                  <v>43251</v>
                </pt>
                <pt idx="327">
                  <v>43281</v>
                </pt>
                <pt idx="328">
                  <v>43312</v>
                </pt>
                <pt idx="329">
                  <v>43343</v>
                </pt>
                <pt idx="330">
                  <v>43373</v>
                </pt>
                <pt idx="331">
                  <v>43404</v>
                </pt>
                <pt idx="332">
                  <v>43434</v>
                </pt>
                <pt idx="333">
                  <v>43465</v>
                </pt>
                <pt idx="334">
                  <v>43496</v>
                </pt>
                <pt idx="335">
                  <v>43524</v>
                </pt>
                <pt idx="336">
                  <v>43555</v>
                </pt>
                <pt idx="337">
                  <v>43585</v>
                </pt>
                <pt idx="338">
                  <v>43616</v>
                </pt>
                <pt idx="339">
                  <v>43646</v>
                </pt>
                <pt idx="340">
                  <v>43677</v>
                </pt>
                <pt idx="341">
                  <v>43708</v>
                </pt>
                <pt idx="342">
                  <v>43738</v>
                </pt>
                <pt idx="343">
                  <v>43769</v>
                </pt>
                <pt idx="344">
                  <v>43799</v>
                </pt>
                <pt idx="345">
                  <v>43830</v>
                </pt>
                <pt idx="346">
                  <v>43890</v>
                </pt>
                <pt idx="347">
                  <v>43921</v>
                </pt>
                <pt idx="348">
                  <v>43951</v>
                </pt>
                <pt idx="349">
                  <v>43982</v>
                </pt>
                <pt idx="350">
                  <v>44012</v>
                </pt>
                <pt idx="351">
                  <v>44043</v>
                </pt>
                <pt idx="352">
                  <v>44074</v>
                </pt>
                <pt idx="353">
                  <v>44104</v>
                </pt>
                <pt idx="354">
                  <v>44135</v>
                </pt>
                <pt idx="355">
                  <v>44165</v>
                </pt>
              </numCache>
            </numRef>
          </cat>
          <val>
            <numRef>
              <f>China!$B$8:$B$363</f>
              <numCache>
                <formatCode>0.0%</formatCode>
                <ptCount val="356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18</col>
      <colOff>419099</colOff>
      <row>315</row>
      <rowOff>142875</rowOff>
    </from>
    <to>
      <col>28</col>
      <colOff>380999</colOff>
      <row>339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0</colOff>
      <row>341</row>
      <rowOff>0</rowOff>
    </from>
    <to>
      <col>27</col>
      <colOff>571500</colOff>
      <row>355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31</col>
      <colOff>0</colOff>
      <row>316</row>
      <rowOff>0</rowOff>
    </from>
    <to>
      <col>41</col>
      <colOff>66675</colOff>
      <row>339</row>
      <rowOff>133350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95250</colOff>
      <row>308</row>
      <rowOff>114301</rowOff>
    </from>
    <to>
      <col>14</col>
      <colOff>390525</colOff>
      <row>328</row>
      <rowOff>95251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57150</colOff>
      <row>328</row>
      <rowOff>180975</rowOff>
    </from>
    <to>
      <col>12</col>
      <colOff>428626</colOff>
      <row>346</row>
      <rowOff>161925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95249</colOff>
      <row>292</row>
      <rowOff>104775</rowOff>
    </from>
    <to>
      <col>14</col>
      <colOff>390524</colOff>
      <row>308</row>
      <rowOff>104775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400050</colOff>
      <row>308</row>
      <rowOff>104775</rowOff>
    </from>
    <to>
      <col>24</col>
      <colOff>85725</colOff>
      <row>328</row>
      <rowOff>85725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319</row>
      <rowOff>47625</rowOff>
    </from>
    <to>
      <col>13</col>
      <colOff>57150</colOff>
      <row>338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57" headerRowCount="1" totalsRowShown="0" headerRowDxfId="31" dataDxfId="29" headerRowBorderDxfId="30">
  <autoFilter ref="A1:Q357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VLOOKUP(A2,Database!$A:$AS,MATCH($B$1,Database!$A$1:$AS$1,0),FALSE)</calculatedColumnFormula>
    </tableColumn>
    <tableColumn id="3" name="FRA" dataDxfId="26">
      <calculatedColumnFormula>VLOOKUP(A2,Database!$A:$AS,MATCH($C$1,Database!$A$1:$AS$1,0),FALSE)</calculatedColumnFormula>
    </tableColumn>
    <tableColumn id="4" name="DEU" dataDxfId="25">
      <calculatedColumnFormula>VLOOKUP(A2,Database!$A:$AS,MATCH($D$1,Database!$A$1:$AS$1,0),FALSE)</calculatedColumnFormula>
    </tableColumn>
    <tableColumn id="5" name="ESP" dataDxfId="24">
      <calculatedColumnFormula>VLOOKUP(A2,Database!$A:$AS,MATCH($E$1,Database!$A$1:$AS$1,0),FALSE)</calculatedColumnFormula>
    </tableColumn>
    <tableColumn id="6" name="EA19" dataDxfId="23">
      <calculatedColumnFormula>VLOOKUP(A2,Database!$A:$AS,MATCH($F$1,Database!$A$1:$AS$1,0),FALSE)</calculatedColumnFormula>
    </tableColumn>
    <tableColumn id="12" name="GBR" dataDxfId="22">
      <calculatedColumnFormula>VLOOKUP(A2,Database!$A:$AS,MATCH($G$1,Database!$A$1:$AS$1,0),FALSE)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VLOOKUP(A2,Database!$A:$AS,MATCH($N$1,Database!$A$1:$AS$1,0),FALSE)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VLOOKUP(A2,Database!$A:$AS,MATCH($P$1,Database!$A$1:$AS$1,0),FALSE)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51" headerRowCount="1" totalsRowShown="0" headerRowDxfId="11" dataDxfId="10">
  <autoFilter ref="A4:D351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63" headerRowCount="1" totalsRowShown="0" headerRowDxfId="5" dataDxfId="3" headerRowBorderDxfId="4">
  <autoFilter ref="A7:C363"/>
  <sortState ref="A8:B341">
    <sortCondition ref="A8:A341"/>
  </sortState>
  <tableColumns count="3">
    <tableColumn id="1" name="Date" dataDxfId="2"/>
    <tableColumn id="2" name="China Industrial Production YoY" dataDxfId="1"/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/>
  <cols>
    <col width="9.1640625" customWidth="1" style="94" min="1" max="1"/>
    <col width="12.83203125" customWidth="1" style="94" min="2" max="10"/>
    <col width="9.1640625" customWidth="1" style="94" min="11" max="14"/>
    <col width="19.1640625" customWidth="1" style="94" min="15" max="16"/>
    <col width="9.1640625" customWidth="1" style="94" min="17" max="26"/>
    <col width="9.1640625" customWidth="1" style="94" min="27" max="16384"/>
  </cols>
  <sheetData>
    <row r="1">
      <c r="B1" s="95" t="n"/>
    </row>
    <row r="2" ht="16" customHeight="1" s="82" thickBot="1">
      <c r="B2" s="96" t="n"/>
      <c r="C2" s="96" t="n"/>
      <c r="D2" s="96" t="n"/>
      <c r="E2" s="96" t="n"/>
      <c r="F2" s="96" t="n"/>
      <c r="G2" s="96" t="n"/>
      <c r="H2" s="96" t="n"/>
      <c r="I2" s="96" t="n"/>
      <c r="J2" s="96" t="n"/>
    </row>
    <row r="3" ht="16" customHeight="1" s="82" thickBot="1">
      <c r="B3" s="97" t="inlineStr">
        <is>
          <t>Global Industrial Production</t>
        </is>
      </c>
      <c r="C3" s="98" t="n"/>
      <c r="D3" s="98" t="n"/>
      <c r="E3" s="98" t="n"/>
      <c r="F3" s="98" t="n"/>
      <c r="G3" s="98" t="n"/>
      <c r="H3" s="98" t="n"/>
      <c r="I3" s="98" t="n"/>
      <c r="J3" s="99" t="n"/>
    </row>
    <row r="5">
      <c r="B5" s="100" t="inlineStr">
        <is>
          <t>Definition</t>
        </is>
      </c>
      <c r="C5" s="101" t="n"/>
      <c r="D5" s="101" t="n"/>
      <c r="E5" s="101" t="n"/>
      <c r="F5" s="101" t="n"/>
      <c r="G5" s="101" t="n"/>
      <c r="H5" s="101" t="n"/>
      <c r="I5" s="101" t="n"/>
      <c r="J5" s="102" t="n"/>
    </row>
    <row r="7" ht="63" customHeight="1" s="82">
      <c r="B7" s="103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2">
      <c r="B8" s="104" t="inlineStr">
        <is>
          <t>https://data.oecd.org/industry/industrial-production.htm</t>
        </is>
      </c>
    </row>
    <row r="9">
      <c r="B9" s="64" t="n"/>
      <c r="C9" s="64" t="n"/>
      <c r="D9" s="64" t="n"/>
      <c r="E9" s="64" t="n"/>
    </row>
    <row r="10">
      <c r="B10" s="100" t="inlineStr">
        <is>
          <t>Process / TO DO LIST</t>
        </is>
      </c>
      <c r="C10" s="101" t="n"/>
      <c r="D10" s="101" t="n"/>
      <c r="E10" s="101" t="n"/>
      <c r="F10" s="101" t="n"/>
      <c r="G10" s="101" t="n"/>
      <c r="H10" s="101" t="n"/>
      <c r="I10" s="101" t="n"/>
      <c r="J10" s="102" t="n"/>
    </row>
    <row r="12">
      <c r="B12" s="100" t="inlineStr">
        <is>
          <t>TO DO LIST</t>
        </is>
      </c>
      <c r="C12" s="101" t="n"/>
      <c r="D12" s="101" t="n"/>
      <c r="E12" s="101" t="n"/>
      <c r="F12" s="102" t="n"/>
      <c r="G12" s="100" t="inlineStr">
        <is>
          <t>Comments</t>
        </is>
      </c>
      <c r="H12" s="101" t="n"/>
      <c r="I12" s="101" t="n"/>
      <c r="J12" s="102" t="n"/>
      <c r="O12" s="100" t="inlineStr">
        <is>
          <t xml:space="preserve">Ticker </t>
        </is>
      </c>
      <c r="P12" s="100" t="inlineStr">
        <is>
          <t>Country</t>
        </is>
      </c>
    </row>
    <row r="13">
      <c r="O13" s="65" t="inlineStr">
        <is>
          <t>ABW</t>
        </is>
      </c>
      <c r="P13" s="65" t="inlineStr">
        <is>
          <t>Aruba</t>
        </is>
      </c>
    </row>
    <row r="14">
      <c r="B14" s="94" t="inlineStr">
        <is>
          <t>https://data.oecd.org/industry/industrial-production.htm</t>
        </is>
      </c>
      <c r="G14" s="94" t="inlineStr">
        <is>
          <t>Industrial Production</t>
        </is>
      </c>
      <c r="O14" s="65" t="inlineStr">
        <is>
          <t>AFG</t>
        </is>
      </c>
      <c r="P14" s="65" t="inlineStr">
        <is>
          <t>Afghanistan</t>
        </is>
      </c>
    </row>
    <row r="15">
      <c r="B15" s="94" t="inlineStr">
        <is>
          <t>Total</t>
        </is>
      </c>
      <c r="G15" s="94" t="inlineStr">
        <is>
          <t>In Database</t>
        </is>
      </c>
      <c r="O15" s="65" t="inlineStr">
        <is>
          <t>AFRI</t>
        </is>
      </c>
      <c r="P15" s="65" t="inlineStr">
        <is>
          <t>Africa</t>
        </is>
      </c>
    </row>
    <row r="16" ht="15.75" customHeight="1" s="82">
      <c r="B16" s="94" t="inlineStr">
        <is>
          <t>Monthly</t>
        </is>
      </c>
      <c r="G16" s="93" t="inlineStr">
        <is>
          <t>Manually or create macro</t>
        </is>
      </c>
      <c r="O16" s="65" t="inlineStr">
        <is>
          <t>AGO</t>
        </is>
      </c>
      <c r="P16" s="65" t="inlineStr">
        <is>
          <t>Angola</t>
        </is>
      </c>
    </row>
    <row r="17" ht="15.75" customHeight="1" s="82">
      <c r="B17" s="94" t="inlineStr">
        <is>
          <t>Unclik latest data available</t>
        </is>
      </c>
      <c r="G17" s="93" t="n"/>
      <c r="O17" s="65" t="inlineStr">
        <is>
          <t>AIA</t>
        </is>
      </c>
      <c r="P17" s="65" t="inlineStr">
        <is>
          <t>Anguilla</t>
        </is>
      </c>
    </row>
    <row r="18" ht="15.75" customHeight="1" s="82">
      <c r="B18" s="94" t="inlineStr">
        <is>
          <t>Table</t>
        </is>
      </c>
      <c r="G18" s="106" t="n"/>
      <c r="O18" s="65" t="inlineStr">
        <is>
          <t>ALB</t>
        </is>
      </c>
      <c r="P18" s="65" t="inlineStr">
        <is>
          <t>Albania</t>
        </is>
      </c>
    </row>
    <row r="19" ht="15.75" customHeight="1" s="82">
      <c r="B19" s="94" t="inlineStr">
        <is>
          <t>Download</t>
        </is>
      </c>
      <c r="G19" s="93" t="n"/>
      <c r="O19" s="65" t="inlineStr">
        <is>
          <t>AND</t>
        </is>
      </c>
      <c r="P19" s="65" t="inlineStr">
        <is>
          <t>Andorra</t>
        </is>
      </c>
    </row>
    <row r="20" ht="15.75" customHeight="1" s="82">
      <c r="G20" s="93" t="n"/>
      <c r="O20" s="65" t="inlineStr">
        <is>
          <t>ANT</t>
        </is>
      </c>
      <c r="P20" s="65" t="inlineStr">
        <is>
          <t>Netherlands Antilles</t>
        </is>
      </c>
    </row>
    <row r="21" ht="31.5" customHeight="1" s="82">
      <c r="B21" s="107" t="inlineStr">
        <is>
          <t>https://www.investing.com/economic-calendar/chinese-industrial-production-462</t>
        </is>
      </c>
      <c r="G21" s="93" t="inlineStr">
        <is>
          <t>China Industrial Production</t>
        </is>
      </c>
      <c r="O21" s="65" t="inlineStr">
        <is>
          <t>ARE</t>
        </is>
      </c>
      <c r="P21" s="65" t="inlineStr">
        <is>
          <t>United Arab Emirates</t>
        </is>
      </c>
    </row>
    <row r="22" ht="15.75" customHeight="1" s="82">
      <c r="G22" s="93" t="n"/>
      <c r="O22" s="65" t="inlineStr">
        <is>
          <t>ARG</t>
        </is>
      </c>
      <c r="P22" s="65" t="inlineStr">
        <is>
          <t>Argentina</t>
        </is>
      </c>
    </row>
    <row r="23" ht="15.75" customHeight="1" s="82">
      <c r="B23" s="104" t="inlineStr">
        <is>
          <t>https://tradingeconomics.com/country-list/industrial-production</t>
        </is>
      </c>
      <c r="G23" s="93" t="inlineStr">
        <is>
          <t>World Production data</t>
        </is>
      </c>
      <c r="O23" s="65" t="inlineStr">
        <is>
          <t>ASIA</t>
        </is>
      </c>
      <c r="P23" s="65" t="inlineStr">
        <is>
          <t>Asia</t>
        </is>
      </c>
    </row>
    <row r="24" ht="15.75" customHeight="1" s="82">
      <c r="G24" s="93" t="n"/>
      <c r="O24" s="65" t="inlineStr">
        <is>
          <t>ASM</t>
        </is>
      </c>
      <c r="P24" s="65" t="inlineStr">
        <is>
          <t>American Samoa</t>
        </is>
      </c>
    </row>
    <row r="25" ht="15.75" customHeight="1" s="82">
      <c r="B25" s="10" t="inlineStr">
        <is>
          <t>https://www.theglobaleconomy.com/rankings/Capital_investment/</t>
        </is>
      </c>
      <c r="G25" s="93" t="n"/>
      <c r="O25" s="65" t="inlineStr">
        <is>
          <t>ATG</t>
        </is>
      </c>
      <c r="P25" s="65" t="inlineStr">
        <is>
          <t>Antigua and Barbuda</t>
        </is>
      </c>
    </row>
    <row r="26" ht="15.75" customHeight="1" s="82">
      <c r="G26" s="93" t="n"/>
      <c r="O26" s="65" t="inlineStr">
        <is>
          <t>AUS</t>
        </is>
      </c>
      <c r="P26" s="65" t="inlineStr">
        <is>
          <t>Australia</t>
        </is>
      </c>
    </row>
    <row r="27" ht="15.75" customHeight="1" s="82">
      <c r="B27" s="94" t="n"/>
      <c r="G27" s="93" t="n"/>
      <c r="O27" s="65" t="inlineStr">
        <is>
          <t>AUT</t>
        </is>
      </c>
      <c r="P27" s="65" t="inlineStr">
        <is>
          <t>Austria</t>
        </is>
      </c>
    </row>
    <row r="28">
      <c r="O28" s="65" t="inlineStr">
        <is>
          <t>BDI</t>
        </is>
      </c>
      <c r="P28" s="65" t="inlineStr">
        <is>
          <t>Burundi</t>
        </is>
      </c>
    </row>
    <row r="29">
      <c r="O29" s="65" t="inlineStr">
        <is>
          <t>BEL</t>
        </is>
      </c>
      <c r="P29" s="65" t="inlineStr">
        <is>
          <t>Belgium</t>
        </is>
      </c>
    </row>
    <row r="30">
      <c r="B30" s="66" t="n"/>
      <c r="O30" s="65" t="inlineStr">
        <is>
          <t>BEN</t>
        </is>
      </c>
      <c r="P30" s="65" t="inlineStr">
        <is>
          <t>Benin</t>
        </is>
      </c>
    </row>
    <row r="31" ht="33.75" customHeight="1" s="82">
      <c r="B31" s="105" t="n"/>
      <c r="O31" s="65" t="inlineStr">
        <is>
          <t>BFA</t>
        </is>
      </c>
      <c r="P31" s="65" t="inlineStr">
        <is>
          <t>Burkina Faso</t>
        </is>
      </c>
    </row>
    <row r="32">
      <c r="B32" s="67" t="n"/>
      <c r="O32" s="65" t="inlineStr">
        <is>
          <t>BGD</t>
        </is>
      </c>
      <c r="P32" s="65" t="inlineStr">
        <is>
          <t>Bangladesh</t>
        </is>
      </c>
    </row>
    <row r="33">
      <c r="O33" s="65" t="inlineStr">
        <is>
          <t>BGR</t>
        </is>
      </c>
      <c r="P33" s="65" t="inlineStr">
        <is>
          <t>Bulgaria</t>
        </is>
      </c>
    </row>
    <row r="34">
      <c r="O34" s="65" t="inlineStr">
        <is>
          <t>BHR</t>
        </is>
      </c>
      <c r="P34" s="65" t="inlineStr">
        <is>
          <t>Bahrain</t>
        </is>
      </c>
    </row>
    <row r="35">
      <c r="O35" s="65" t="inlineStr">
        <is>
          <t>BHS</t>
        </is>
      </c>
      <c r="P35" s="65" t="inlineStr">
        <is>
          <t>Bahamas</t>
        </is>
      </c>
    </row>
    <row r="36">
      <c r="O36" s="65" t="inlineStr">
        <is>
          <t>BLZ</t>
        </is>
      </c>
      <c r="P36" s="65" t="inlineStr">
        <is>
          <t>Belize</t>
        </is>
      </c>
    </row>
    <row r="37">
      <c r="O37" s="65" t="inlineStr">
        <is>
          <t>BMU</t>
        </is>
      </c>
      <c r="P37" s="65" t="inlineStr">
        <is>
          <t>Bermuda</t>
        </is>
      </c>
    </row>
    <row r="38">
      <c r="O38" s="65" t="inlineStr">
        <is>
          <t>BOL</t>
        </is>
      </c>
      <c r="P38" s="65" t="inlineStr">
        <is>
          <t>Bolivia</t>
        </is>
      </c>
    </row>
    <row r="39">
      <c r="O39" s="65" t="inlineStr">
        <is>
          <t>BRA</t>
        </is>
      </c>
      <c r="P39" s="65" t="inlineStr">
        <is>
          <t>Brazil</t>
        </is>
      </c>
    </row>
    <row r="40">
      <c r="O40" s="65" t="inlineStr">
        <is>
          <t>BRB</t>
        </is>
      </c>
      <c r="P40" s="65" t="inlineStr">
        <is>
          <t>Barbados</t>
        </is>
      </c>
    </row>
    <row r="41">
      <c r="O41" s="65" t="inlineStr">
        <is>
          <t>BRN</t>
        </is>
      </c>
      <c r="P41" s="65" t="inlineStr">
        <is>
          <t>Brunei Darussalam</t>
        </is>
      </c>
    </row>
    <row r="42">
      <c r="O42" s="65" t="inlineStr">
        <is>
          <t>BTN</t>
        </is>
      </c>
      <c r="P42" s="65" t="inlineStr">
        <is>
          <t>Bhutan</t>
        </is>
      </c>
    </row>
    <row r="43">
      <c r="O43" s="65" t="inlineStr">
        <is>
          <t>BWA</t>
        </is>
      </c>
      <c r="P43" s="65" t="inlineStr">
        <is>
          <t>Botswana</t>
        </is>
      </c>
    </row>
    <row r="44">
      <c r="O44" s="65" t="inlineStr">
        <is>
          <t>CAF</t>
        </is>
      </c>
      <c r="P44" s="65" t="inlineStr">
        <is>
          <t>Central African Republic</t>
        </is>
      </c>
    </row>
    <row r="45">
      <c r="O45" s="65" t="inlineStr">
        <is>
          <t>CAN</t>
        </is>
      </c>
      <c r="P45" s="65" t="inlineStr">
        <is>
          <t>Canada</t>
        </is>
      </c>
    </row>
    <row r="46">
      <c r="O46" s="65" t="inlineStr">
        <is>
          <t>CCK</t>
        </is>
      </c>
      <c r="P46" s="65" t="inlineStr">
        <is>
          <t>Cocos (Keeling) Islands</t>
        </is>
      </c>
    </row>
    <row r="47">
      <c r="O47" s="65" t="inlineStr">
        <is>
          <t>CHE</t>
        </is>
      </c>
      <c r="P47" s="65" t="inlineStr">
        <is>
          <t>Switzerland</t>
        </is>
      </c>
    </row>
    <row r="48">
      <c r="O48" s="65" t="inlineStr">
        <is>
          <t>CHL</t>
        </is>
      </c>
      <c r="P48" s="65" t="inlineStr">
        <is>
          <t>Chile</t>
        </is>
      </c>
    </row>
    <row r="49">
      <c r="O49" s="65" t="inlineStr">
        <is>
          <t>CHN</t>
        </is>
      </c>
      <c r="P49" s="65" t="inlineStr">
        <is>
          <t>China</t>
        </is>
      </c>
    </row>
    <row r="50">
      <c r="O50" s="65" t="inlineStr">
        <is>
          <t>CIV</t>
        </is>
      </c>
      <c r="P50" s="65" t="inlineStr">
        <is>
          <t>Côte d'Ivoire</t>
        </is>
      </c>
    </row>
    <row r="51">
      <c r="O51" s="65" t="inlineStr">
        <is>
          <t>CMR</t>
        </is>
      </c>
      <c r="P51" s="65" t="inlineStr">
        <is>
          <t>Cameroon</t>
        </is>
      </c>
    </row>
    <row r="52">
      <c r="O52" s="65" t="inlineStr">
        <is>
          <t>COD</t>
        </is>
      </c>
      <c r="P52" s="65" t="inlineStr">
        <is>
          <t>Congo, Dem. Rep. Of</t>
        </is>
      </c>
    </row>
    <row r="53">
      <c r="O53" s="65" t="inlineStr">
        <is>
          <t>COG</t>
        </is>
      </c>
      <c r="P53" s="65" t="inlineStr">
        <is>
          <t>Congo</t>
        </is>
      </c>
    </row>
    <row r="54">
      <c r="O54" s="65" t="inlineStr">
        <is>
          <t>COK</t>
        </is>
      </c>
      <c r="P54" s="65" t="inlineStr">
        <is>
          <t>Cook Islands</t>
        </is>
      </c>
    </row>
    <row r="55">
      <c r="O55" s="65" t="inlineStr">
        <is>
          <t>COL</t>
        </is>
      </c>
      <c r="P55" s="65" t="inlineStr">
        <is>
          <t>Colombia</t>
        </is>
      </c>
    </row>
    <row r="56">
      <c r="O56" s="65" t="inlineStr">
        <is>
          <t>COM</t>
        </is>
      </c>
      <c r="P56" s="65" t="inlineStr">
        <is>
          <t>Comoros</t>
        </is>
      </c>
    </row>
    <row r="57">
      <c r="O57" s="65" t="inlineStr">
        <is>
          <t>CPV</t>
        </is>
      </c>
      <c r="P57" s="65" t="inlineStr">
        <is>
          <t>Cape Verde</t>
        </is>
      </c>
    </row>
    <row r="58">
      <c r="O58" s="65" t="inlineStr">
        <is>
          <t>CRI</t>
        </is>
      </c>
      <c r="P58" s="65" t="inlineStr">
        <is>
          <t>Costa Rica</t>
        </is>
      </c>
    </row>
    <row r="59">
      <c r="O59" s="65" t="inlineStr">
        <is>
          <t>CSFR</t>
        </is>
      </c>
      <c r="P59" s="65" t="inlineStr">
        <is>
          <t>Former Czechoslovakia</t>
        </is>
      </c>
    </row>
    <row r="60">
      <c r="O60" s="65" t="inlineStr">
        <is>
          <t>CSFR-CZE</t>
        </is>
      </c>
      <c r="P60" s="65" t="inlineStr">
        <is>
          <t>Czech Republic</t>
        </is>
      </c>
    </row>
    <row r="61">
      <c r="O61" s="65" t="inlineStr">
        <is>
          <t>CSFR-SVK</t>
        </is>
      </c>
      <c r="P61" s="65" t="inlineStr">
        <is>
          <t>Slovak Republic</t>
        </is>
      </c>
    </row>
    <row r="62">
      <c r="O62" s="65" t="inlineStr">
        <is>
          <t>CUB</t>
        </is>
      </c>
      <c r="P62" s="65" t="inlineStr">
        <is>
          <t>Cuba</t>
        </is>
      </c>
    </row>
    <row r="63">
      <c r="O63" s="65" t="inlineStr">
        <is>
          <t>CYM</t>
        </is>
      </c>
      <c r="P63" s="65" t="inlineStr">
        <is>
          <t>Cayman Islands</t>
        </is>
      </c>
    </row>
    <row r="64">
      <c r="O64" s="65" t="inlineStr">
        <is>
          <t>CYP</t>
        </is>
      </c>
      <c r="P64" s="65" t="inlineStr">
        <is>
          <t>Cyprus</t>
        </is>
      </c>
    </row>
    <row r="65">
      <c r="O65" s="65" t="inlineStr">
        <is>
          <t>DEU</t>
        </is>
      </c>
      <c r="P65" s="65" t="inlineStr">
        <is>
          <t>Germany</t>
        </is>
      </c>
    </row>
    <row r="66">
      <c r="O66" s="65" t="inlineStr">
        <is>
          <t>DJI</t>
        </is>
      </c>
      <c r="P66" s="65" t="inlineStr">
        <is>
          <t>Djibouti</t>
        </is>
      </c>
    </row>
    <row r="67">
      <c r="O67" s="65" t="inlineStr">
        <is>
          <t>DMA</t>
        </is>
      </c>
      <c r="P67" s="65" t="inlineStr">
        <is>
          <t>Dominica</t>
        </is>
      </c>
    </row>
    <row r="68">
      <c r="O68" s="65" t="inlineStr">
        <is>
          <t>DNK</t>
        </is>
      </c>
      <c r="P68" s="65" t="inlineStr">
        <is>
          <t>Denmark</t>
        </is>
      </c>
    </row>
    <row r="69">
      <c r="O69" s="65" t="inlineStr">
        <is>
          <t>DOM</t>
        </is>
      </c>
      <c r="P69" s="65" t="inlineStr">
        <is>
          <t>Dominican Republic</t>
        </is>
      </c>
    </row>
    <row r="70">
      <c r="O70" s="65" t="inlineStr">
        <is>
          <t>DZA</t>
        </is>
      </c>
      <c r="P70" s="65" t="inlineStr">
        <is>
          <t>Algeria</t>
        </is>
      </c>
    </row>
    <row r="71">
      <c r="O71" s="65" t="inlineStr">
        <is>
          <t>ECU</t>
        </is>
      </c>
      <c r="P71" s="65" t="inlineStr">
        <is>
          <t>Ecuador</t>
        </is>
      </c>
    </row>
    <row r="72">
      <c r="O72" s="65" t="inlineStr">
        <is>
          <t>EGY</t>
        </is>
      </c>
      <c r="P72" s="65" t="inlineStr">
        <is>
          <t>Egypt</t>
        </is>
      </c>
    </row>
    <row r="73">
      <c r="O73" s="65" t="inlineStr">
        <is>
          <t>ERI</t>
        </is>
      </c>
      <c r="P73" s="65" t="inlineStr">
        <is>
          <t>Eritrea</t>
        </is>
      </c>
    </row>
    <row r="74">
      <c r="O74" s="65" t="inlineStr">
        <is>
          <t>ESH</t>
        </is>
      </c>
      <c r="P74" s="65" t="inlineStr">
        <is>
          <t>Western Sahara</t>
        </is>
      </c>
    </row>
    <row r="75">
      <c r="O75" s="65" t="inlineStr">
        <is>
          <t>ESP</t>
        </is>
      </c>
      <c r="P75" s="65" t="inlineStr">
        <is>
          <t>Spain</t>
        </is>
      </c>
    </row>
    <row r="76">
      <c r="O76" s="65" t="inlineStr">
        <is>
          <t>ETH</t>
        </is>
      </c>
      <c r="P76" s="65" t="inlineStr">
        <is>
          <t>Ethiopia</t>
        </is>
      </c>
    </row>
    <row r="77">
      <c r="O77" s="65" t="inlineStr">
        <is>
          <t>EURO</t>
        </is>
      </c>
      <c r="P77" s="65" t="inlineStr">
        <is>
          <t>Europe</t>
        </is>
      </c>
    </row>
    <row r="78">
      <c r="O78" s="65" t="inlineStr">
        <is>
          <t>FIN</t>
        </is>
      </c>
      <c r="P78" s="65" t="inlineStr">
        <is>
          <t>Finland</t>
        </is>
      </c>
    </row>
    <row r="79">
      <c r="O79" s="65" t="inlineStr">
        <is>
          <t>FJI</t>
        </is>
      </c>
      <c r="P79" s="65" t="inlineStr">
        <is>
          <t>Fiji</t>
        </is>
      </c>
    </row>
    <row r="80">
      <c r="O80" s="65" t="inlineStr">
        <is>
          <t>FLK</t>
        </is>
      </c>
      <c r="P80" s="65" t="inlineStr">
        <is>
          <t>Falkland Islands</t>
        </is>
      </c>
    </row>
    <row r="81">
      <c r="O81" s="65" t="inlineStr">
        <is>
          <t>FRA</t>
        </is>
      </c>
      <c r="P81" s="65" t="inlineStr">
        <is>
          <t>France</t>
        </is>
      </c>
    </row>
    <row r="82">
      <c r="O82" s="65" t="inlineStr">
        <is>
          <t>FSM</t>
        </is>
      </c>
      <c r="P82" s="65" t="inlineStr">
        <is>
          <t>Micronesia, Federated states of</t>
        </is>
      </c>
    </row>
    <row r="83">
      <c r="O83" s="65" t="inlineStr">
        <is>
          <t>FYUG</t>
        </is>
      </c>
      <c r="P83" s="65" t="inlineStr">
        <is>
          <t>Former Yugoslavia</t>
        </is>
      </c>
    </row>
    <row r="84">
      <c r="O84" s="65" t="inlineStr">
        <is>
          <t>FYUG-BIH</t>
        </is>
      </c>
      <c r="P84" s="65" t="inlineStr">
        <is>
          <t>Bosnia-Herzegovina</t>
        </is>
      </c>
    </row>
    <row r="85">
      <c r="O85" s="65" t="inlineStr">
        <is>
          <t>FYUG-HRV</t>
        </is>
      </c>
      <c r="P85" s="65" t="inlineStr">
        <is>
          <t>Croatia</t>
        </is>
      </c>
    </row>
    <row r="86">
      <c r="O86" s="65" t="inlineStr">
        <is>
          <t>FYUG-MKD</t>
        </is>
      </c>
      <c r="P86" s="65" t="inlineStr">
        <is>
          <t>Macedonia</t>
        </is>
      </c>
    </row>
    <row r="87">
      <c r="O87" s="65" t="inlineStr">
        <is>
          <t>FYUG-SVN</t>
        </is>
      </c>
      <c r="P87" s="65" t="inlineStr">
        <is>
          <t>Slovenia</t>
        </is>
      </c>
    </row>
    <row r="88">
      <c r="O88" s="65" t="inlineStr">
        <is>
          <t>FYUG-YUG</t>
        </is>
      </c>
      <c r="P88" s="65" t="inlineStr">
        <is>
          <t>Serbia and Montenegro</t>
        </is>
      </c>
    </row>
    <row r="89">
      <c r="O89" s="65" t="inlineStr">
        <is>
          <t>GAB</t>
        </is>
      </c>
      <c r="P89" s="65" t="inlineStr">
        <is>
          <t>Gabon</t>
        </is>
      </c>
    </row>
    <row r="90">
      <c r="O90" s="65" t="inlineStr">
        <is>
          <t>GBR</t>
        </is>
      </c>
      <c r="P90" s="65" t="inlineStr">
        <is>
          <t>United Kingdom</t>
        </is>
      </c>
    </row>
    <row r="91">
      <c r="O91" s="65" t="inlineStr">
        <is>
          <t>GHA</t>
        </is>
      </c>
      <c r="P91" s="65" t="inlineStr">
        <is>
          <t>Ghana</t>
        </is>
      </c>
    </row>
    <row r="92">
      <c r="O92" s="65" t="inlineStr">
        <is>
          <t>GIB</t>
        </is>
      </c>
      <c r="P92" s="65" t="inlineStr">
        <is>
          <t>Gibraltar</t>
        </is>
      </c>
    </row>
    <row r="93">
      <c r="O93" s="65" t="inlineStr">
        <is>
          <t>GIN</t>
        </is>
      </c>
      <c r="P93" s="65" t="inlineStr">
        <is>
          <t>Guinea</t>
        </is>
      </c>
    </row>
    <row r="94">
      <c r="O94" s="65" t="inlineStr">
        <is>
          <t>GMB</t>
        </is>
      </c>
      <c r="P94" s="65" t="inlineStr">
        <is>
          <t>Gambia</t>
        </is>
      </c>
    </row>
    <row r="95">
      <c r="O95" s="65" t="inlineStr">
        <is>
          <t>GNB</t>
        </is>
      </c>
      <c r="P95" s="65" t="inlineStr">
        <is>
          <t>Guinea-Bissau</t>
        </is>
      </c>
    </row>
    <row r="96">
      <c r="O96" s="65" t="inlineStr">
        <is>
          <t>GNQ</t>
        </is>
      </c>
      <c r="P96" s="65" t="inlineStr">
        <is>
          <t>Equatorial Guinea</t>
        </is>
      </c>
    </row>
    <row r="97">
      <c r="O97" s="65" t="inlineStr">
        <is>
          <t>GRC</t>
        </is>
      </c>
      <c r="P97" s="65" t="inlineStr">
        <is>
          <t>Greece</t>
        </is>
      </c>
    </row>
    <row r="98">
      <c r="O98" s="65" t="inlineStr">
        <is>
          <t>GRD</t>
        </is>
      </c>
      <c r="P98" s="65" t="inlineStr">
        <is>
          <t>Grenada</t>
        </is>
      </c>
    </row>
    <row r="99">
      <c r="O99" s="65" t="inlineStr">
        <is>
          <t>GTM</t>
        </is>
      </c>
      <c r="P99" s="65" t="inlineStr">
        <is>
          <t>Guatemala</t>
        </is>
      </c>
    </row>
    <row r="100">
      <c r="O100" s="65" t="inlineStr">
        <is>
          <t>GUM</t>
        </is>
      </c>
      <c r="P100" s="65" t="inlineStr">
        <is>
          <t>Guam</t>
        </is>
      </c>
    </row>
    <row r="101">
      <c r="O101" s="65" t="inlineStr">
        <is>
          <t>GUY</t>
        </is>
      </c>
      <c r="P101" s="65" t="inlineStr">
        <is>
          <t>Guyana</t>
        </is>
      </c>
    </row>
    <row r="102">
      <c r="O102" s="65" t="inlineStr">
        <is>
          <t>HKG</t>
        </is>
      </c>
      <c r="P102" s="65" t="inlineStr">
        <is>
          <t>Hong Kong</t>
        </is>
      </c>
    </row>
    <row r="103">
      <c r="O103" s="65" t="inlineStr">
        <is>
          <t>HND</t>
        </is>
      </c>
      <c r="P103" s="65" t="inlineStr">
        <is>
          <t>Honduras</t>
        </is>
      </c>
    </row>
    <row r="104">
      <c r="O104" s="65" t="inlineStr">
        <is>
          <t>HTI</t>
        </is>
      </c>
      <c r="P104" s="65" t="inlineStr">
        <is>
          <t>Haiti</t>
        </is>
      </c>
    </row>
    <row r="105">
      <c r="O105" s="65" t="inlineStr">
        <is>
          <t>HUN</t>
        </is>
      </c>
      <c r="P105" s="65" t="inlineStr">
        <is>
          <t>Hungary</t>
        </is>
      </c>
    </row>
    <row r="106">
      <c r="O106" s="65" t="inlineStr">
        <is>
          <t>IDN</t>
        </is>
      </c>
      <c r="P106" s="65" t="inlineStr">
        <is>
          <t>Indonesia</t>
        </is>
      </c>
    </row>
    <row r="107">
      <c r="O107" s="65" t="inlineStr">
        <is>
          <t>IND</t>
        </is>
      </c>
      <c r="P107" s="65" t="inlineStr">
        <is>
          <t>India</t>
        </is>
      </c>
    </row>
    <row r="108">
      <c r="O108" s="65" t="inlineStr">
        <is>
          <t>IOT</t>
        </is>
      </c>
      <c r="P108" s="65" t="inlineStr">
        <is>
          <t>British Indian Ocean Territory</t>
        </is>
      </c>
    </row>
    <row r="109">
      <c r="O109" s="65" t="inlineStr">
        <is>
          <t>IRL</t>
        </is>
      </c>
      <c r="P109" s="65" t="inlineStr">
        <is>
          <t>Ireland</t>
        </is>
      </c>
    </row>
    <row r="110">
      <c r="O110" s="65" t="inlineStr">
        <is>
          <t>IRN</t>
        </is>
      </c>
      <c r="P110" s="65" t="inlineStr">
        <is>
          <t>Iran</t>
        </is>
      </c>
    </row>
    <row r="111">
      <c r="O111" s="65" t="inlineStr">
        <is>
          <t>IRQ</t>
        </is>
      </c>
      <c r="P111" s="65" t="inlineStr">
        <is>
          <t>Iraq</t>
        </is>
      </c>
    </row>
    <row r="112">
      <c r="O112" s="65" t="inlineStr">
        <is>
          <t>ISL</t>
        </is>
      </c>
      <c r="P112" s="65" t="inlineStr">
        <is>
          <t>Iceland</t>
        </is>
      </c>
    </row>
    <row r="113">
      <c r="O113" s="65" t="inlineStr">
        <is>
          <t>ISR</t>
        </is>
      </c>
      <c r="P113" s="65" t="inlineStr">
        <is>
          <t>Israel</t>
        </is>
      </c>
    </row>
    <row r="114">
      <c r="O114" s="65" t="inlineStr">
        <is>
          <t>ITA</t>
        </is>
      </c>
      <c r="P114" s="65" t="inlineStr">
        <is>
          <t>Italy</t>
        </is>
      </c>
    </row>
    <row r="115">
      <c r="O115" s="65" t="inlineStr">
        <is>
          <t>JAM</t>
        </is>
      </c>
      <c r="P115" s="65" t="inlineStr">
        <is>
          <t>Jamaica</t>
        </is>
      </c>
    </row>
    <row r="116">
      <c r="O116" s="65" t="inlineStr">
        <is>
          <t>JOR</t>
        </is>
      </c>
      <c r="P116" s="65" t="inlineStr">
        <is>
          <t>Jordan</t>
        </is>
      </c>
    </row>
    <row r="117">
      <c r="O117" s="65" t="inlineStr">
        <is>
          <t>JPN</t>
        </is>
      </c>
      <c r="P117" s="65" t="inlineStr">
        <is>
          <t>Japan</t>
        </is>
      </c>
    </row>
    <row r="118">
      <c r="O118" s="65" t="inlineStr">
        <is>
          <t>KEN</t>
        </is>
      </c>
      <c r="P118" s="65" t="inlineStr">
        <is>
          <t>Kenya</t>
        </is>
      </c>
    </row>
    <row r="119">
      <c r="O119" s="65" t="inlineStr">
        <is>
          <t>KHM</t>
        </is>
      </c>
      <c r="P119" s="65" t="inlineStr">
        <is>
          <t>Cambodia</t>
        </is>
      </c>
    </row>
    <row r="120">
      <c r="O120" s="65" t="inlineStr">
        <is>
          <t>KIR</t>
        </is>
      </c>
      <c r="P120" s="65" t="inlineStr">
        <is>
          <t>Kiribati</t>
        </is>
      </c>
    </row>
    <row r="121">
      <c r="O121" s="65" t="inlineStr">
        <is>
          <t>KNA</t>
        </is>
      </c>
      <c r="P121" s="65" t="inlineStr">
        <is>
          <t>Saint Kitts and Nevis</t>
        </is>
      </c>
    </row>
    <row r="122">
      <c r="O122" s="65" t="inlineStr">
        <is>
          <t>KOREA-NO</t>
        </is>
      </c>
      <c r="P122" s="65" t="inlineStr">
        <is>
          <t>North Korea</t>
        </is>
      </c>
    </row>
    <row r="123">
      <c r="O123" s="65" t="inlineStr">
        <is>
          <t>KOREA-NS</t>
        </is>
      </c>
      <c r="P123" s="65" t="inlineStr">
        <is>
          <t>South Korea</t>
        </is>
      </c>
    </row>
    <row r="124">
      <c r="O124" s="65" t="inlineStr">
        <is>
          <t>KOREA-SO</t>
        </is>
      </c>
      <c r="P124" s="65" t="inlineStr">
        <is>
          <t>North and South Korea</t>
        </is>
      </c>
    </row>
    <row r="125">
      <c r="O125" s="65" t="inlineStr">
        <is>
          <t>KWT</t>
        </is>
      </c>
      <c r="P125" s="65" t="inlineStr">
        <is>
          <t>Kuwait</t>
        </is>
      </c>
    </row>
    <row r="126">
      <c r="O126" s="65" t="inlineStr">
        <is>
          <t>LAO</t>
        </is>
      </c>
      <c r="P126" s="65" t="inlineStr">
        <is>
          <t>Laos</t>
        </is>
      </c>
    </row>
    <row r="127">
      <c r="O127" s="65" t="inlineStr">
        <is>
          <t>LBN</t>
        </is>
      </c>
      <c r="P127" s="65" t="inlineStr">
        <is>
          <t>Lebanon</t>
        </is>
      </c>
    </row>
    <row r="128">
      <c r="O128" s="65" t="inlineStr">
        <is>
          <t>LBR</t>
        </is>
      </c>
      <c r="P128" s="65" t="inlineStr">
        <is>
          <t>Liberia</t>
        </is>
      </c>
    </row>
    <row r="129">
      <c r="O129" s="65" t="inlineStr">
        <is>
          <t>LBY</t>
        </is>
      </c>
      <c r="P129" s="65" t="inlineStr">
        <is>
          <t>Libya</t>
        </is>
      </c>
    </row>
    <row r="130">
      <c r="O130" s="65" t="inlineStr">
        <is>
          <t>LCA</t>
        </is>
      </c>
      <c r="P130" s="65" t="inlineStr">
        <is>
          <t>Saint Lucia</t>
        </is>
      </c>
    </row>
    <row r="131">
      <c r="O131" s="65" t="inlineStr">
        <is>
          <t>LIE</t>
        </is>
      </c>
      <c r="P131" s="65" t="inlineStr">
        <is>
          <t>Liechtenstein</t>
        </is>
      </c>
    </row>
    <row r="132">
      <c r="O132" s="65" t="inlineStr">
        <is>
          <t>LKA</t>
        </is>
      </c>
      <c r="P132" s="65" t="inlineStr">
        <is>
          <t>Sri Lanka</t>
        </is>
      </c>
    </row>
    <row r="133">
      <c r="O133" s="65" t="inlineStr">
        <is>
          <t>LSO</t>
        </is>
      </c>
      <c r="P133" s="65" t="inlineStr">
        <is>
          <t>Lesotho</t>
        </is>
      </c>
    </row>
    <row r="134">
      <c r="O134" s="65" t="inlineStr">
        <is>
          <t>LUX</t>
        </is>
      </c>
      <c r="P134" s="65" t="inlineStr">
        <is>
          <t>Luxembourg</t>
        </is>
      </c>
    </row>
    <row r="135">
      <c r="O135" s="65" t="inlineStr">
        <is>
          <t>MAC</t>
        </is>
      </c>
      <c r="P135" s="65" t="inlineStr">
        <is>
          <t>Macau</t>
        </is>
      </c>
    </row>
    <row r="136">
      <c r="O136" s="65" t="inlineStr">
        <is>
          <t>MAR</t>
        </is>
      </c>
      <c r="P136" s="65" t="inlineStr">
        <is>
          <t>Morocco</t>
        </is>
      </c>
    </row>
    <row r="137">
      <c r="O137" s="65" t="inlineStr">
        <is>
          <t>MCO</t>
        </is>
      </c>
      <c r="P137" s="65" t="inlineStr">
        <is>
          <t>Monaco</t>
        </is>
      </c>
    </row>
    <row r="138">
      <c r="O138" s="65" t="inlineStr">
        <is>
          <t>MDG</t>
        </is>
      </c>
      <c r="P138" s="65" t="inlineStr">
        <is>
          <t>Madagascar</t>
        </is>
      </c>
    </row>
    <row r="139">
      <c r="O139" s="65" t="inlineStr">
        <is>
          <t>MDV</t>
        </is>
      </c>
      <c r="P139" s="65" t="inlineStr">
        <is>
          <t>Maldives</t>
        </is>
      </c>
    </row>
    <row r="140">
      <c r="O140" s="65" t="inlineStr">
        <is>
          <t>MEX</t>
        </is>
      </c>
      <c r="P140" s="65" t="inlineStr">
        <is>
          <t>Mexico</t>
        </is>
      </c>
    </row>
    <row r="141">
      <c r="O141" s="65" t="inlineStr">
        <is>
          <t>MHL</t>
        </is>
      </c>
      <c r="P141" s="65" t="inlineStr">
        <is>
          <t>Marshall Islands</t>
        </is>
      </c>
    </row>
    <row r="142">
      <c r="O142" s="65" t="inlineStr">
        <is>
          <t>MLI</t>
        </is>
      </c>
      <c r="P142" s="65" t="inlineStr">
        <is>
          <t>Mali</t>
        </is>
      </c>
    </row>
    <row r="143">
      <c r="O143" s="65" t="inlineStr">
        <is>
          <t>MLT</t>
        </is>
      </c>
      <c r="P143" s="65" t="inlineStr">
        <is>
          <t>Malta</t>
        </is>
      </c>
    </row>
    <row r="144">
      <c r="O144" s="65" t="inlineStr">
        <is>
          <t>MMR</t>
        </is>
      </c>
      <c r="P144" s="65" t="inlineStr">
        <is>
          <t>Myanmar</t>
        </is>
      </c>
    </row>
    <row r="145">
      <c r="O145" s="65" t="inlineStr">
        <is>
          <t>MNG</t>
        </is>
      </c>
      <c r="P145" s="65" t="inlineStr">
        <is>
          <t>Mongolia</t>
        </is>
      </c>
    </row>
    <row r="146">
      <c r="O146" s="65" t="inlineStr">
        <is>
          <t>MNP</t>
        </is>
      </c>
      <c r="P146" s="65" t="inlineStr">
        <is>
          <t>Northern Mariana Islands</t>
        </is>
      </c>
    </row>
    <row r="147">
      <c r="O147" s="65" t="inlineStr">
        <is>
          <t>MOZ</t>
        </is>
      </c>
      <c r="P147" s="65" t="inlineStr">
        <is>
          <t>Mozambique</t>
        </is>
      </c>
    </row>
    <row r="148">
      <c r="O148" s="65" t="inlineStr">
        <is>
          <t>MRT</t>
        </is>
      </c>
      <c r="P148" s="65" t="inlineStr">
        <is>
          <t>Mauritania</t>
        </is>
      </c>
    </row>
    <row r="149">
      <c r="O149" s="65" t="inlineStr">
        <is>
          <t>MSR</t>
        </is>
      </c>
      <c r="P149" s="65" t="inlineStr">
        <is>
          <t>Montserrat</t>
        </is>
      </c>
    </row>
    <row r="150">
      <c r="O150" s="65" t="inlineStr">
        <is>
          <t>MUS</t>
        </is>
      </c>
      <c r="P150" s="65" t="inlineStr">
        <is>
          <t>Mauritius</t>
        </is>
      </c>
    </row>
    <row r="151">
      <c r="O151" s="65" t="inlineStr">
        <is>
          <t>MWI</t>
        </is>
      </c>
      <c r="P151" s="65" t="inlineStr">
        <is>
          <t>Malawi</t>
        </is>
      </c>
    </row>
    <row r="152">
      <c r="O152" s="65" t="inlineStr">
        <is>
          <t>MYS</t>
        </is>
      </c>
      <c r="P152" s="65" t="inlineStr">
        <is>
          <t>Malaysia</t>
        </is>
      </c>
    </row>
    <row r="153">
      <c r="O153" s="65" t="inlineStr">
        <is>
          <t>NAM</t>
        </is>
      </c>
      <c r="P153" s="65" t="inlineStr">
        <is>
          <t>Namibia</t>
        </is>
      </c>
    </row>
    <row r="154">
      <c r="O154" s="65" t="inlineStr">
        <is>
          <t>NER</t>
        </is>
      </c>
      <c r="P154" s="65" t="inlineStr">
        <is>
          <t>Niger</t>
        </is>
      </c>
    </row>
    <row r="155">
      <c r="O155" s="65" t="inlineStr">
        <is>
          <t>NFK</t>
        </is>
      </c>
      <c r="P155" s="65" t="inlineStr">
        <is>
          <t>Norfolk Islands</t>
        </is>
      </c>
    </row>
    <row r="156">
      <c r="O156" s="65" t="inlineStr">
        <is>
          <t>NGA</t>
        </is>
      </c>
      <c r="P156" s="65" t="inlineStr">
        <is>
          <t>Nigeria</t>
        </is>
      </c>
    </row>
    <row r="157">
      <c r="O157" s="65" t="inlineStr">
        <is>
          <t>NIC</t>
        </is>
      </c>
      <c r="P157" s="65" t="inlineStr">
        <is>
          <t>Nicaragua</t>
        </is>
      </c>
    </row>
    <row r="158">
      <c r="O158" s="65" t="inlineStr">
        <is>
          <t>NIU</t>
        </is>
      </c>
      <c r="P158" s="65" t="inlineStr">
        <is>
          <t>Niue</t>
        </is>
      </c>
    </row>
    <row r="159">
      <c r="O159" s="65" t="inlineStr">
        <is>
          <t>NLD</t>
        </is>
      </c>
      <c r="P159" s="65" t="inlineStr">
        <is>
          <t>Netherlands</t>
        </is>
      </c>
    </row>
    <row r="160">
      <c r="O160" s="65" t="inlineStr">
        <is>
          <t>NOAM</t>
        </is>
      </c>
      <c r="P160" s="65" t="inlineStr">
        <is>
          <t>North America</t>
        </is>
      </c>
    </row>
    <row r="161">
      <c r="O161" s="65" t="inlineStr">
        <is>
          <t>NOR</t>
        </is>
      </c>
      <c r="P161" s="65" t="inlineStr">
        <is>
          <t>Norway</t>
        </is>
      </c>
    </row>
    <row r="162">
      <c r="O162" s="65" t="inlineStr">
        <is>
          <t>NPL</t>
        </is>
      </c>
      <c r="P162" s="65" t="inlineStr">
        <is>
          <t>Nepal</t>
        </is>
      </c>
    </row>
    <row r="163">
      <c r="O163" s="65" t="inlineStr">
        <is>
          <t>NRU</t>
        </is>
      </c>
      <c r="P163" s="65" t="inlineStr">
        <is>
          <t>Nauru</t>
        </is>
      </c>
    </row>
    <row r="164">
      <c r="O164" s="65" t="inlineStr">
        <is>
          <t>NZL</t>
        </is>
      </c>
      <c r="P164" s="65" t="inlineStr">
        <is>
          <t>New Zealand</t>
        </is>
      </c>
    </row>
    <row r="165">
      <c r="O165" s="65" t="inlineStr">
        <is>
          <t>OCEA</t>
        </is>
      </c>
      <c r="P165" s="65" t="inlineStr">
        <is>
          <t>Oceania</t>
        </is>
      </c>
    </row>
    <row r="166">
      <c r="O166" s="65" t="inlineStr">
        <is>
          <t>OMN</t>
        </is>
      </c>
      <c r="P166" s="65" t="inlineStr">
        <is>
          <t>Oman</t>
        </is>
      </c>
    </row>
    <row r="167">
      <c r="O167" s="65" t="inlineStr">
        <is>
          <t>OTH</t>
        </is>
      </c>
      <c r="P167" s="65" t="inlineStr">
        <is>
          <t>Other</t>
        </is>
      </c>
    </row>
    <row r="168">
      <c r="O168" s="65" t="inlineStr">
        <is>
          <t>PAK</t>
        </is>
      </c>
      <c r="P168" s="65" t="inlineStr">
        <is>
          <t>Pakistan</t>
        </is>
      </c>
    </row>
    <row r="169">
      <c r="O169" s="65" t="inlineStr">
        <is>
          <t>PAN</t>
        </is>
      </c>
      <c r="P169" s="65" t="inlineStr">
        <is>
          <t>Panama</t>
        </is>
      </c>
    </row>
    <row r="170">
      <c r="O170" s="65" t="inlineStr">
        <is>
          <t>PCN</t>
        </is>
      </c>
      <c r="P170" s="65" t="inlineStr">
        <is>
          <t>Pitcairn</t>
        </is>
      </c>
    </row>
    <row r="171">
      <c r="O171" s="65" t="inlineStr">
        <is>
          <t>PER</t>
        </is>
      </c>
      <c r="P171" s="65" t="inlineStr">
        <is>
          <t>Peru</t>
        </is>
      </c>
    </row>
    <row r="172">
      <c r="O172" s="65" t="inlineStr">
        <is>
          <t>PHL</t>
        </is>
      </c>
      <c r="P172" s="65" t="inlineStr">
        <is>
          <t>Philippines</t>
        </is>
      </c>
    </row>
    <row r="173">
      <c r="O173" s="65" t="inlineStr">
        <is>
          <t>PLW</t>
        </is>
      </c>
      <c r="P173" s="65" t="inlineStr">
        <is>
          <t>Pacific Islands (Palau)</t>
        </is>
      </c>
    </row>
    <row r="174">
      <c r="O174" s="65" t="inlineStr">
        <is>
          <t>PNG</t>
        </is>
      </c>
      <c r="P174" s="65" t="inlineStr">
        <is>
          <t>Papua New Guinea</t>
        </is>
      </c>
    </row>
    <row r="175">
      <c r="O175" s="65" t="inlineStr">
        <is>
          <t>POL</t>
        </is>
      </c>
      <c r="P175" s="65" t="inlineStr">
        <is>
          <t>Poland</t>
        </is>
      </c>
    </row>
    <row r="176">
      <c r="O176" s="65" t="inlineStr">
        <is>
          <t>PRI</t>
        </is>
      </c>
      <c r="P176" s="65" t="inlineStr">
        <is>
          <t>Puerto Rico</t>
        </is>
      </c>
    </row>
    <row r="177">
      <c r="O177" s="65" t="inlineStr">
        <is>
          <t>PRT</t>
        </is>
      </c>
      <c r="P177" s="65" t="inlineStr">
        <is>
          <t>Portugal</t>
        </is>
      </c>
    </row>
    <row r="178">
      <c r="O178" s="65" t="inlineStr">
        <is>
          <t>PRY</t>
        </is>
      </c>
      <c r="P178" s="65" t="inlineStr">
        <is>
          <t>Paraguay</t>
        </is>
      </c>
    </row>
    <row r="179">
      <c r="O179" s="65" t="inlineStr">
        <is>
          <t>PSE</t>
        </is>
      </c>
      <c r="P179" s="65" t="inlineStr">
        <is>
          <t>Occupied Palestinian Territory</t>
        </is>
      </c>
    </row>
    <row r="180">
      <c r="O180" s="65" t="inlineStr">
        <is>
          <t>QAT</t>
        </is>
      </c>
      <c r="P180" s="65" t="inlineStr">
        <is>
          <t>Qatar</t>
        </is>
      </c>
    </row>
    <row r="181">
      <c r="O181" s="65" t="inlineStr">
        <is>
          <t>ROU</t>
        </is>
      </c>
      <c r="P181" s="65" t="inlineStr">
        <is>
          <t>Romania</t>
        </is>
      </c>
    </row>
    <row r="182">
      <c r="O182" s="65" t="inlineStr">
        <is>
          <t>RWA</t>
        </is>
      </c>
      <c r="P182" s="65" t="inlineStr">
        <is>
          <t>Rwanda</t>
        </is>
      </c>
    </row>
    <row r="183">
      <c r="O183" s="65" t="inlineStr">
        <is>
          <t>SAU</t>
        </is>
      </c>
      <c r="P183" s="65" t="inlineStr">
        <is>
          <t>Saudi Arabia</t>
        </is>
      </c>
    </row>
    <row r="184">
      <c r="O184" s="65" t="inlineStr">
        <is>
          <t>SCAC</t>
        </is>
      </c>
      <c r="P184" s="65" t="inlineStr">
        <is>
          <t>South and Central America</t>
        </is>
      </c>
    </row>
    <row r="185">
      <c r="O185" s="65" t="inlineStr">
        <is>
          <t>SDN</t>
        </is>
      </c>
      <c r="P185" s="65" t="inlineStr">
        <is>
          <t>Sudan</t>
        </is>
      </c>
    </row>
    <row r="186">
      <c r="O186" s="65" t="inlineStr">
        <is>
          <t>SEN</t>
        </is>
      </c>
      <c r="P186" s="65" t="inlineStr">
        <is>
          <t>Senegal</t>
        </is>
      </c>
    </row>
    <row r="187">
      <c r="O187" s="65" t="inlineStr">
        <is>
          <t>SGP</t>
        </is>
      </c>
      <c r="P187" s="65" t="inlineStr">
        <is>
          <t>Singapore</t>
        </is>
      </c>
    </row>
    <row r="188">
      <c r="O188" s="65" t="inlineStr">
        <is>
          <t>SHN</t>
        </is>
      </c>
      <c r="P188" s="65" t="inlineStr">
        <is>
          <t>Saint Helena</t>
        </is>
      </c>
    </row>
    <row r="189">
      <c r="O189" s="65" t="inlineStr">
        <is>
          <t>SJM</t>
        </is>
      </c>
      <c r="P189" s="65" t="inlineStr">
        <is>
          <t>Svalbard and Jan Mayen Islands</t>
        </is>
      </c>
    </row>
    <row r="190">
      <c r="O190" s="65" t="inlineStr">
        <is>
          <t>SLB</t>
        </is>
      </c>
      <c r="P190" s="65" t="inlineStr">
        <is>
          <t>Solomon Islands</t>
        </is>
      </c>
    </row>
    <row r="191">
      <c r="O191" s="65" t="inlineStr">
        <is>
          <t>SLE</t>
        </is>
      </c>
      <c r="P191" s="65" t="inlineStr">
        <is>
          <t>Sierra Leone</t>
        </is>
      </c>
    </row>
    <row r="192">
      <c r="O192" s="65" t="inlineStr">
        <is>
          <t>SLV</t>
        </is>
      </c>
      <c r="P192" s="65" t="inlineStr">
        <is>
          <t>El Salvador</t>
        </is>
      </c>
    </row>
    <row r="193">
      <c r="O193" s="65" t="inlineStr">
        <is>
          <t>SMR</t>
        </is>
      </c>
      <c r="P193" s="65" t="inlineStr">
        <is>
          <t>San Marino</t>
        </is>
      </c>
    </row>
    <row r="194">
      <c r="O194" s="65" t="inlineStr">
        <is>
          <t>SOM</t>
        </is>
      </c>
      <c r="P194" s="65" t="inlineStr">
        <is>
          <t>Somalia</t>
        </is>
      </c>
    </row>
    <row r="195">
      <c r="O195" s="65" t="inlineStr">
        <is>
          <t>STP</t>
        </is>
      </c>
      <c r="P195" s="65" t="inlineStr">
        <is>
          <t>Sao Tome and Principe</t>
        </is>
      </c>
    </row>
    <row r="196">
      <c r="O196" s="65" t="inlineStr">
        <is>
          <t>SUR</t>
        </is>
      </c>
      <c r="P196" s="65" t="inlineStr">
        <is>
          <t>Suriname</t>
        </is>
      </c>
    </row>
    <row r="197">
      <c r="O197" s="65" t="inlineStr">
        <is>
          <t>SWE</t>
        </is>
      </c>
      <c r="P197" s="65" t="inlineStr">
        <is>
          <t>Sweden</t>
        </is>
      </c>
    </row>
    <row r="198">
      <c r="O198" s="65" t="inlineStr">
        <is>
          <t>SWZ</t>
        </is>
      </c>
      <c r="P198" s="65" t="inlineStr">
        <is>
          <t>Swaziland</t>
        </is>
      </c>
    </row>
    <row r="199">
      <c r="O199" s="65" t="inlineStr">
        <is>
          <t>SYC</t>
        </is>
      </c>
      <c r="P199" s="65" t="inlineStr">
        <is>
          <t>Seychelles</t>
        </is>
      </c>
    </row>
    <row r="200">
      <c r="O200" s="65" t="inlineStr">
        <is>
          <t>SYR</t>
        </is>
      </c>
      <c r="P200" s="65" t="inlineStr">
        <is>
          <t>Syria</t>
        </is>
      </c>
    </row>
    <row r="201">
      <c r="O201" s="65" t="inlineStr">
        <is>
          <t>TCA</t>
        </is>
      </c>
      <c r="P201" s="65" t="inlineStr">
        <is>
          <t>Turks and Caicos Islands</t>
        </is>
      </c>
    </row>
    <row r="202">
      <c r="O202" s="65" t="inlineStr">
        <is>
          <t>TCD</t>
        </is>
      </c>
      <c r="P202" s="65" t="inlineStr">
        <is>
          <t>Chad</t>
        </is>
      </c>
    </row>
    <row r="203">
      <c r="O203" s="65" t="inlineStr">
        <is>
          <t>TGO</t>
        </is>
      </c>
      <c r="P203" s="65" t="inlineStr">
        <is>
          <t>Togo</t>
        </is>
      </c>
    </row>
    <row r="204">
      <c r="O204" s="65" t="inlineStr">
        <is>
          <t>THA</t>
        </is>
      </c>
      <c r="P204" s="65" t="inlineStr">
        <is>
          <t>Thailand</t>
        </is>
      </c>
    </row>
    <row r="205">
      <c r="O205" s="65" t="inlineStr">
        <is>
          <t>TKL</t>
        </is>
      </c>
      <c r="P205" s="65" t="inlineStr">
        <is>
          <t>Tokelau</t>
        </is>
      </c>
    </row>
    <row r="206">
      <c r="O206" s="65" t="inlineStr">
        <is>
          <t>TLS</t>
        </is>
      </c>
      <c r="P206" s="65" t="inlineStr">
        <is>
          <t>Timor-Leste</t>
        </is>
      </c>
    </row>
    <row r="207">
      <c r="O207" s="65" t="inlineStr">
        <is>
          <t>TMP</t>
        </is>
      </c>
      <c r="P207" s="65" t="inlineStr">
        <is>
          <t>East Timor</t>
        </is>
      </c>
    </row>
    <row r="208">
      <c r="O208" s="65" t="inlineStr">
        <is>
          <t>TON</t>
        </is>
      </c>
      <c r="P208" s="65" t="inlineStr">
        <is>
          <t>Tonga</t>
        </is>
      </c>
    </row>
    <row r="209">
      <c r="O209" s="65" t="inlineStr">
        <is>
          <t>TTO</t>
        </is>
      </c>
      <c r="P209" s="65" t="inlineStr">
        <is>
          <t>Trinidad and Tobago</t>
        </is>
      </c>
    </row>
    <row r="210">
      <c r="O210" s="65" t="inlineStr">
        <is>
          <t>TUN</t>
        </is>
      </c>
      <c r="P210" s="65" t="inlineStr">
        <is>
          <t>Tunisia</t>
        </is>
      </c>
    </row>
    <row r="211">
      <c r="O211" s="65" t="inlineStr">
        <is>
          <t>TUR</t>
        </is>
      </c>
      <c r="P211" s="65" t="inlineStr">
        <is>
          <t>Turkey</t>
        </is>
      </c>
    </row>
    <row r="212">
      <c r="O212" s="65" t="inlineStr">
        <is>
          <t>TUV</t>
        </is>
      </c>
      <c r="P212" s="65" t="inlineStr">
        <is>
          <t>Tuvalu</t>
        </is>
      </c>
    </row>
    <row r="213">
      <c r="O213" s="65" t="inlineStr">
        <is>
          <t>TWN</t>
        </is>
      </c>
      <c r="P213" s="65" t="inlineStr">
        <is>
          <t>Chinese Taipei</t>
        </is>
      </c>
    </row>
    <row r="214">
      <c r="O214" s="65" t="inlineStr">
        <is>
          <t>TZA</t>
        </is>
      </c>
      <c r="P214" s="65" t="inlineStr">
        <is>
          <t>United Republic of Tanzania</t>
        </is>
      </c>
    </row>
    <row r="215">
      <c r="O215" s="65" t="inlineStr">
        <is>
          <t>UGA</t>
        </is>
      </c>
      <c r="P215" s="65" t="inlineStr">
        <is>
          <t>Unknown</t>
        </is>
      </c>
    </row>
    <row r="216">
      <c r="O216" s="65" t="inlineStr">
        <is>
          <t>UNK</t>
        </is>
      </c>
      <c r="P216" s="65" t="inlineStr">
        <is>
          <t>Unknown</t>
        </is>
      </c>
    </row>
    <row r="217">
      <c r="O217" s="65" t="inlineStr">
        <is>
          <t>URY</t>
        </is>
      </c>
      <c r="P217" s="65" t="inlineStr">
        <is>
          <t>Uruguay</t>
        </is>
      </c>
    </row>
    <row r="218">
      <c r="O218" s="65" t="inlineStr">
        <is>
          <t>USA</t>
        </is>
      </c>
      <c r="P218" s="65" t="inlineStr">
        <is>
          <t>United States</t>
        </is>
      </c>
    </row>
    <row r="219">
      <c r="O219" s="65" t="inlineStr">
        <is>
          <t>USSR</t>
        </is>
      </c>
      <c r="P219" s="65" t="inlineStr">
        <is>
          <t>Former USSR</t>
        </is>
      </c>
    </row>
    <row r="220">
      <c r="O220" s="65" t="inlineStr">
        <is>
          <t>USSR-ARM</t>
        </is>
      </c>
      <c r="P220" s="65" t="inlineStr">
        <is>
          <t>Armenia</t>
        </is>
      </c>
    </row>
    <row r="221">
      <c r="O221" s="65" t="inlineStr">
        <is>
          <t>USSR-AZE</t>
        </is>
      </c>
      <c r="P221" s="65" t="inlineStr">
        <is>
          <t>Azerbaidjan</t>
        </is>
      </c>
    </row>
    <row r="222">
      <c r="O222" s="65" t="inlineStr">
        <is>
          <t>USSR-BLR</t>
        </is>
      </c>
      <c r="P222" s="65" t="inlineStr">
        <is>
          <t>Belarus</t>
        </is>
      </c>
    </row>
    <row r="223">
      <c r="O223" s="65" t="inlineStr">
        <is>
          <t>USSR-EST</t>
        </is>
      </c>
      <c r="P223" s="65" t="inlineStr">
        <is>
          <t>Estonia</t>
        </is>
      </c>
    </row>
    <row r="224">
      <c r="O224" s="65" t="inlineStr">
        <is>
          <t>USSR-GEO</t>
        </is>
      </c>
      <c r="P224" s="65" t="inlineStr">
        <is>
          <t>Georgia</t>
        </is>
      </c>
    </row>
    <row r="225">
      <c r="O225" s="65" t="inlineStr">
        <is>
          <t>USSR-KAZ</t>
        </is>
      </c>
      <c r="P225" s="65" t="inlineStr">
        <is>
          <t>Kazakhstan</t>
        </is>
      </c>
    </row>
    <row r="226">
      <c r="O226" s="65" t="inlineStr">
        <is>
          <t>USSR-KGZ</t>
        </is>
      </c>
      <c r="P226" s="65" t="inlineStr">
        <is>
          <t>Kirghizistan</t>
        </is>
      </c>
    </row>
    <row r="227">
      <c r="O227" s="65" t="inlineStr">
        <is>
          <t>USSR-LTU</t>
        </is>
      </c>
      <c r="P227" s="65" t="inlineStr">
        <is>
          <t>Lithuania</t>
        </is>
      </c>
    </row>
    <row r="228">
      <c r="O228" s="65" t="inlineStr">
        <is>
          <t>USSR-LVA</t>
        </is>
      </c>
      <c r="P228" s="65" t="inlineStr">
        <is>
          <t>Latvia</t>
        </is>
      </c>
    </row>
    <row r="229">
      <c r="O229" s="65" t="inlineStr">
        <is>
          <t>USSR-MDA</t>
        </is>
      </c>
      <c r="P229" s="65" t="inlineStr">
        <is>
          <t>Moldova</t>
        </is>
      </c>
    </row>
    <row r="230">
      <c r="O230" s="65" t="inlineStr">
        <is>
          <t>USSR-RUS</t>
        </is>
      </c>
      <c r="P230" s="65" t="inlineStr">
        <is>
          <t>Russia</t>
        </is>
      </c>
    </row>
    <row r="231">
      <c r="O231" s="65" t="inlineStr">
        <is>
          <t>USSR-TJK</t>
        </is>
      </c>
      <c r="P231" s="65" t="inlineStr">
        <is>
          <t>Tadjikistan</t>
        </is>
      </c>
    </row>
    <row r="232">
      <c r="O232" s="65" t="inlineStr">
        <is>
          <t>USSR-TKM</t>
        </is>
      </c>
      <c r="P232" s="65" t="inlineStr">
        <is>
          <t>Turkménistan</t>
        </is>
      </c>
    </row>
    <row r="233">
      <c r="O233" s="65" t="inlineStr">
        <is>
          <t>USSR-UKR</t>
        </is>
      </c>
      <c r="P233" s="65" t="inlineStr">
        <is>
          <t>Ukraine</t>
        </is>
      </c>
    </row>
    <row r="234">
      <c r="O234" s="65" t="inlineStr">
        <is>
          <t>USSR-UZB</t>
        </is>
      </c>
      <c r="P234" s="65" t="inlineStr">
        <is>
          <t>Uzbekistan</t>
        </is>
      </c>
    </row>
    <row r="235">
      <c r="O235" s="65" t="inlineStr">
        <is>
          <t>VAT</t>
        </is>
      </c>
      <c r="P235" s="65" t="inlineStr">
        <is>
          <t>Holy See</t>
        </is>
      </c>
    </row>
    <row r="236">
      <c r="O236" s="65" t="inlineStr">
        <is>
          <t>VCT</t>
        </is>
      </c>
      <c r="P236" s="65" t="inlineStr">
        <is>
          <t>Saint Vincent and the Grenadines</t>
        </is>
      </c>
    </row>
    <row r="237">
      <c r="O237" s="65" t="inlineStr">
        <is>
          <t>VEN</t>
        </is>
      </c>
      <c r="P237" s="65" t="inlineStr">
        <is>
          <t>Venezuela</t>
        </is>
      </c>
    </row>
    <row r="238">
      <c r="O238" s="65" t="inlineStr">
        <is>
          <t>VGB</t>
        </is>
      </c>
      <c r="P238" s="65" t="inlineStr">
        <is>
          <t>British Virgin Islands</t>
        </is>
      </c>
    </row>
    <row r="239">
      <c r="O239" s="65" t="inlineStr">
        <is>
          <t>VIR</t>
        </is>
      </c>
      <c r="P239" s="65" t="inlineStr">
        <is>
          <t>United States Virgin Islands</t>
        </is>
      </c>
    </row>
    <row r="240">
      <c r="O240" s="65" t="inlineStr">
        <is>
          <t>VNM</t>
        </is>
      </c>
      <c r="P240" s="65" t="inlineStr">
        <is>
          <t>Vietnam</t>
        </is>
      </c>
    </row>
    <row r="241">
      <c r="O241" s="65" t="inlineStr">
        <is>
          <t>VUT</t>
        </is>
      </c>
      <c r="P241" s="65" t="inlineStr">
        <is>
          <t>Vanuatu</t>
        </is>
      </c>
    </row>
    <row r="242">
      <c r="O242" s="65" t="inlineStr">
        <is>
          <t>WSM</t>
        </is>
      </c>
      <c r="P242" s="65" t="inlineStr">
        <is>
          <t>Samoa</t>
        </is>
      </c>
    </row>
    <row r="243">
      <c r="O243" s="65" t="inlineStr">
        <is>
          <t>YEM</t>
        </is>
      </c>
      <c r="P243" s="65" t="inlineStr">
        <is>
          <t>Yemen</t>
        </is>
      </c>
    </row>
    <row r="244">
      <c r="O244" s="65" t="inlineStr">
        <is>
          <t>ZAF</t>
        </is>
      </c>
      <c r="P244" s="65" t="inlineStr">
        <is>
          <t>South Africa</t>
        </is>
      </c>
    </row>
    <row r="245">
      <c r="O245" s="65" t="inlineStr">
        <is>
          <t>ZMB</t>
        </is>
      </c>
      <c r="P245" s="65" t="inlineStr">
        <is>
          <t>Zambia</t>
        </is>
      </c>
    </row>
    <row r="246">
      <c r="O246" s="65" t="inlineStr">
        <is>
          <t>ZWE</t>
        </is>
      </c>
      <c r="P246" s="65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0">
    <outlinePr summaryBelow="1" summaryRight="1"/>
    <pageSetUpPr/>
  </sheetPr>
  <dimension ref="B1:M221"/>
  <sheetViews>
    <sheetView showGridLines="0" zoomScale="150" zoomScaleNormal="150" workbookViewId="0">
      <selection activeCell="G26" sqref="G26"/>
    </sheetView>
  </sheetViews>
  <sheetFormatPr baseColWidth="10" defaultColWidth="9.1640625" defaultRowHeight="15"/>
  <cols>
    <col width="9.1640625" customWidth="1" style="94" min="1" max="1"/>
    <col width="2.1640625" customWidth="1" style="94" min="2" max="2"/>
    <col width="27.33203125" customWidth="1" style="94" min="3" max="3"/>
    <col width="32.6640625" customWidth="1" style="109" min="4" max="6"/>
    <col width="9.1640625" customWidth="1" style="94" min="7" max="16"/>
    <col width="9.1640625" customWidth="1" style="94" min="17" max="16384"/>
  </cols>
  <sheetData>
    <row r="1">
      <c r="B1" s="108" t="inlineStr">
        <is>
          <t>https://www.theglobaleconomy.com/rankings/Capital_investment/</t>
        </is>
      </c>
    </row>
    <row r="2" ht="16" customHeight="1" s="82" thickBot="1">
      <c r="B2" s="96" t="n"/>
      <c r="C2" s="96" t="n"/>
      <c r="D2" s="96" t="n"/>
      <c r="E2" s="96" t="n"/>
      <c r="F2" s="96" t="n"/>
    </row>
    <row r="3" ht="16" customHeight="1" s="82" thickBot="1">
      <c r="B3" s="97" t="inlineStr">
        <is>
          <t>Global Industrial Production</t>
        </is>
      </c>
      <c r="C3" s="98" t="n"/>
      <c r="D3" s="98" t="n"/>
      <c r="E3" s="98" t="n"/>
      <c r="F3" s="99" t="n"/>
    </row>
    <row r="7" ht="20" customHeight="1" s="82">
      <c r="D7" s="69" t="inlineStr">
        <is>
          <t>% World GDP</t>
        </is>
      </c>
      <c r="E7" s="69" t="inlineStr">
        <is>
          <t>Investment as % of GDP</t>
        </is>
      </c>
      <c r="F7" s="69" t="inlineStr">
        <is>
          <t>Industrial Production yoy %</t>
        </is>
      </c>
    </row>
    <row r="8" ht="19" customHeight="1" s="82">
      <c r="C8" s="70" t="inlineStr">
        <is>
          <t>United States</t>
        </is>
      </c>
      <c r="D8" s="11">
        <f>VLOOKUP(C8,$C$32:$M$212,2,FALSE)/$D$29</f>
        <v/>
      </c>
      <c r="E8" s="12" t="n">
        <v>20.586</v>
      </c>
      <c r="F8" s="12">
        <f>VLOOKUP(C8,'World Production data'!$A$2:$B$114,2,)</f>
        <v/>
      </c>
    </row>
    <row r="9" ht="19" customHeight="1" s="82">
      <c r="C9" s="70" t="inlineStr">
        <is>
          <t>Euro Area</t>
        </is>
      </c>
      <c r="D9" s="11">
        <f>VLOOKUP(C9,$C$32:$M$212,2,FALSE)/$D$29</f>
        <v/>
      </c>
      <c r="E9" s="12" t="n">
        <v>21.3</v>
      </c>
      <c r="F9" s="12">
        <f>VLOOKUP(C9,'World Production data'!$A$2:$B$114,2,)</f>
        <v/>
      </c>
    </row>
    <row r="10" ht="19" customHeight="1" s="82">
      <c r="C10" s="70" t="inlineStr">
        <is>
          <t>China</t>
        </is>
      </c>
      <c r="D10" s="11">
        <f>VLOOKUP(C10,$C$32:$M$212,2,FALSE)/$D$29</f>
        <v/>
      </c>
      <c r="E10" s="12" t="n">
        <v>44.643</v>
      </c>
      <c r="F10" s="12">
        <f>VLOOKUP(C10,'World Production data'!$A$2:$B$114,2,)</f>
        <v/>
      </c>
    </row>
    <row r="11" ht="19" customHeight="1" s="82">
      <c r="C11" s="70" t="inlineStr">
        <is>
          <t>Japan</t>
        </is>
      </c>
      <c r="D11" s="11">
        <f>VLOOKUP(C11,$C$32:$M$212,2,FALSE)/$D$29</f>
        <v/>
      </c>
      <c r="E11" s="12" t="n">
        <v>23.903</v>
      </c>
      <c r="F11" s="12">
        <f>VLOOKUP(C11,'World Production data'!$A$2:$B$114,2,)</f>
        <v/>
      </c>
    </row>
    <row r="12" ht="19" customHeight="1" s="82">
      <c r="C12" s="70" t="inlineStr">
        <is>
          <t>Germany</t>
        </is>
      </c>
      <c r="D12" s="11">
        <f>VLOOKUP(C12,$C$32:$M$212,2,FALSE)/$D$29</f>
        <v/>
      </c>
      <c r="E12" s="12" t="n">
        <v>20.092</v>
      </c>
      <c r="F12" s="12">
        <f>VLOOKUP(C12,'World Production data'!$A$2:$B$114,2,)</f>
        <v/>
      </c>
    </row>
    <row r="13" ht="19" customHeight="1" s="82">
      <c r="C13" s="70" t="inlineStr">
        <is>
          <t>United Kingdom</t>
        </is>
      </c>
      <c r="D13" s="11">
        <f>VLOOKUP(C13,$C$32:$M$212,2,FALSE)/$D$29</f>
        <v/>
      </c>
      <c r="E13" s="12" t="n">
        <v>17.218</v>
      </c>
      <c r="F13" s="12">
        <f>VLOOKUP(C13,'World Production data'!$A$2:$B$114,2,)</f>
        <v/>
      </c>
    </row>
    <row r="14" ht="19" customHeight="1" s="82">
      <c r="C14" s="70" t="inlineStr">
        <is>
          <t>India</t>
        </is>
      </c>
      <c r="D14" s="11">
        <f>VLOOKUP(C14,$C$32:$M$212,2,FALSE)/$D$29</f>
        <v/>
      </c>
      <c r="E14" s="12" t="n">
        <v>13.7193333333333</v>
      </c>
      <c r="F14" s="12">
        <f>VLOOKUP(C14,'World Production data'!$A$2:$B$114,2,)</f>
        <v/>
      </c>
    </row>
    <row r="15" ht="19" customHeight="1" s="82">
      <c r="C15" s="70" t="inlineStr">
        <is>
          <t>France</t>
        </is>
      </c>
      <c r="D15" s="11">
        <f>VLOOKUP(C15,$C$32:$M$212,2,FALSE)/$D$29</f>
        <v/>
      </c>
      <c r="E15" s="12" t="n">
        <v>23.459</v>
      </c>
      <c r="F15" s="12">
        <f>VLOOKUP(C15,'World Production data'!$A$2:$B$114,2,)</f>
        <v/>
      </c>
    </row>
    <row r="16" ht="19" customHeight="1" s="82">
      <c r="C16" s="70" t="inlineStr">
        <is>
          <t>Brazil</t>
        </is>
      </c>
      <c r="D16" s="11">
        <f>VLOOKUP(C16,$C$32:$M$212,2,FALSE)/$D$29</f>
        <v/>
      </c>
      <c r="E16" s="12" t="n">
        <v>15</v>
      </c>
      <c r="F16" s="12">
        <f>VLOOKUP(C16,'World Production data'!$A$2:$B$114,2,)</f>
        <v/>
      </c>
    </row>
    <row r="17" ht="19" customHeight="1" s="82">
      <c r="C17" s="70" t="inlineStr">
        <is>
          <t>Italy</t>
        </is>
      </c>
      <c r="D17" s="11">
        <f>VLOOKUP(C17,$C$32:$M$212,2,FALSE)/$D$29</f>
        <v/>
      </c>
      <c r="E17" s="12" t="n">
        <v>17.65</v>
      </c>
      <c r="F17" s="12">
        <f>VLOOKUP(C17,'World Production data'!$A$2:$B$114,2,)</f>
        <v/>
      </c>
    </row>
    <row r="18" ht="19" customHeight="1" s="82">
      <c r="C18" s="70" t="inlineStr">
        <is>
          <t>Canada</t>
        </is>
      </c>
      <c r="D18" s="11">
        <f>VLOOKUP(C18,$C$32:$M$212,2,FALSE)/$D$29</f>
        <v/>
      </c>
      <c r="E18" s="12" t="n">
        <v>23.546</v>
      </c>
      <c r="F18" s="12">
        <f>VLOOKUP(C18,'World Production data'!$A$2:$B$114,2,)</f>
        <v/>
      </c>
    </row>
    <row r="19" ht="19" customHeight="1" s="82">
      <c r="C19" s="70" t="inlineStr">
        <is>
          <t>Russia</t>
        </is>
      </c>
      <c r="D19" s="11">
        <f>VLOOKUP(C19,$C$32:$M$212,2,FALSE)/$D$29</f>
        <v/>
      </c>
      <c r="E19" s="12" t="n">
        <v>24.2</v>
      </c>
      <c r="F19" s="12">
        <f>VLOOKUP(C19,'World Production data'!$A$2:$B$114,2,)</f>
        <v/>
      </c>
    </row>
    <row r="20" ht="19" customHeight="1" s="82">
      <c r="C20" s="70" t="inlineStr">
        <is>
          <t>South Korea</t>
        </is>
      </c>
      <c r="D20" s="11">
        <f>VLOOKUP(C20,$C$32:$M$212,2,FALSE)/$D$29</f>
        <v/>
      </c>
      <c r="E20" s="12" t="n">
        <v>31.08</v>
      </c>
      <c r="F20" s="12">
        <f>VLOOKUP(C20,'World Production data'!$A$2:$B$114,2,)</f>
        <v/>
      </c>
    </row>
    <row r="21" ht="19" customHeight="1" s="82">
      <c r="C21" s="70" t="inlineStr">
        <is>
          <t>Australia</t>
        </is>
      </c>
      <c r="D21" s="11">
        <f>VLOOKUP(C21,$C$32:$M$212,2,FALSE)/$D$29</f>
        <v/>
      </c>
      <c r="E21" s="12" t="n">
        <v>24.142</v>
      </c>
      <c r="F21" s="12">
        <f>VLOOKUP(C21,'World Production data'!$A$2:$B$114,2,)</f>
        <v/>
      </c>
    </row>
    <row r="22" ht="19" customHeight="1" s="82">
      <c r="C22" s="70" t="inlineStr">
        <is>
          <t>Spain</t>
        </is>
      </c>
      <c r="D22" s="11">
        <f>VLOOKUP(C22,$C$32:$M$212,2,FALSE)/$D$29</f>
        <v/>
      </c>
      <c r="E22" s="12" t="n">
        <v>21.104</v>
      </c>
      <c r="F22" s="12">
        <f>VLOOKUP(C22,'World Production data'!$A$2:$B$114,2,)</f>
        <v/>
      </c>
    </row>
    <row r="23" ht="19" customHeight="1" s="82">
      <c r="C23" s="70" t="inlineStr">
        <is>
          <t>Mexico</t>
        </is>
      </c>
      <c r="D23" s="11">
        <f>VLOOKUP(C23,$C$32:$M$212,2,FALSE)/$D$29</f>
        <v/>
      </c>
      <c r="E23" s="12" t="n">
        <v>22.957</v>
      </c>
      <c r="F23" s="12">
        <f>VLOOKUP(C23,'World Production data'!$A$2:$B$114,2,)</f>
        <v/>
      </c>
    </row>
    <row r="24" ht="19" customHeight="1" s="82">
      <c r="C24" s="70" t="inlineStr">
        <is>
          <t>Indonesia</t>
        </is>
      </c>
      <c r="D24" s="11">
        <f>VLOOKUP(C24,$C$32:$M$212,2,FALSE)/$D$29</f>
        <v/>
      </c>
      <c r="E24" s="12" t="n">
        <v>33.717</v>
      </c>
      <c r="F24" s="12">
        <f>VLOOKUP(C24,'World Production data'!$A$2:$B$114,2,)</f>
        <v/>
      </c>
    </row>
    <row r="25" ht="19" customHeight="1" s="82">
      <c r="C25" s="70" t="inlineStr">
        <is>
          <t>Turkey</t>
        </is>
      </c>
      <c r="D25" s="11">
        <f>VLOOKUP(C25,$C$32:$M$212,2,FALSE)/$D$29</f>
        <v/>
      </c>
      <c r="E25" s="12" t="n">
        <v>30.97</v>
      </c>
      <c r="F25" s="12">
        <f>VLOOKUP(C25,'World Production data'!$A$2:$B$114,2,)</f>
        <v/>
      </c>
    </row>
    <row r="26" ht="19" customHeight="1" s="82">
      <c r="C26" s="70" t="inlineStr">
        <is>
          <t>Netherlands</t>
        </is>
      </c>
      <c r="D26" s="11">
        <f>VLOOKUP(C26,$C$32:$M$212,2,FALSE)/$D$29</f>
        <v/>
      </c>
      <c r="E26" s="12" t="n">
        <v>20.671</v>
      </c>
      <c r="F26" s="12">
        <f>VLOOKUP(C26,'World Production data'!$A$2:$B$114,2,)</f>
        <v/>
      </c>
    </row>
    <row r="28">
      <c r="D28" s="111">
        <f>SUM(D32:D212)</f>
        <v/>
      </c>
      <c r="E28" s="78" t="n"/>
      <c r="F28" s="78" t="n"/>
    </row>
    <row r="29">
      <c r="C29" s="66" t="inlineStr">
        <is>
          <t>World GDP</t>
        </is>
      </c>
      <c r="D29" s="94">
        <f>D28-VLOOKUP("Euro Area",C32:D212,2,)</f>
        <v/>
      </c>
    </row>
    <row r="30">
      <c r="C30" s="110" t="n"/>
      <c r="D30" s="111" t="inlineStr">
        <is>
          <t>GDP</t>
        </is>
      </c>
      <c r="E30" s="109" t="n"/>
      <c r="F30" s="109" t="n"/>
      <c r="G30" s="94" t="n"/>
      <c r="H30" s="94" t="n"/>
      <c r="I30" s="94" t="n"/>
      <c r="J30" s="94" t="n"/>
      <c r="K30" s="94" t="n"/>
      <c r="L30" s="94" t="n"/>
      <c r="M30" s="94" t="n"/>
    </row>
    <row r="31"/>
    <row r="32">
      <c r="C32" t="inlineStr">
        <is>
          <t>United States</t>
        </is>
      </c>
      <c r="D32" t="n">
        <v>20937</v>
      </c>
    </row>
    <row r="33">
      <c r="C33" t="inlineStr">
        <is>
          <t>China</t>
        </is>
      </c>
      <c r="D33" t="n">
        <v>14723</v>
      </c>
    </row>
    <row r="34">
      <c r="C34" t="inlineStr">
        <is>
          <t>Euro Area</t>
        </is>
      </c>
      <c r="D34" t="n">
        <v>12933</v>
      </c>
    </row>
    <row r="35">
      <c r="C35" t="inlineStr">
        <is>
          <t>Japan</t>
        </is>
      </c>
      <c r="D35" t="n">
        <v>5065</v>
      </c>
    </row>
    <row r="36">
      <c r="C36" t="inlineStr">
        <is>
          <t>Germany</t>
        </is>
      </c>
      <c r="D36" t="n">
        <v>3806</v>
      </c>
    </row>
    <row r="37">
      <c r="C37" t="inlineStr">
        <is>
          <t>United Kingdom</t>
        </is>
      </c>
      <c r="D37" t="n">
        <v>2708</v>
      </c>
    </row>
    <row r="38">
      <c r="C38" t="inlineStr">
        <is>
          <t>India</t>
        </is>
      </c>
      <c r="D38" t="n">
        <v>2623</v>
      </c>
    </row>
    <row r="39">
      <c r="C39" t="inlineStr">
        <is>
          <t>France</t>
        </is>
      </c>
      <c r="D39" t="n">
        <v>2603</v>
      </c>
    </row>
    <row r="40">
      <c r="C40" t="inlineStr">
        <is>
          <t>Italy</t>
        </is>
      </c>
      <c r="D40" t="n">
        <v>1886</v>
      </c>
    </row>
    <row r="41">
      <c r="C41" t="inlineStr">
        <is>
          <t>Canada</t>
        </is>
      </c>
      <c r="D41" t="n">
        <v>1643</v>
      </c>
    </row>
    <row r="42">
      <c r="C42" t="inlineStr">
        <is>
          <t>South Korea</t>
        </is>
      </c>
      <c r="D42" t="n">
        <v>1631</v>
      </c>
    </row>
    <row r="43">
      <c r="C43" t="inlineStr">
        <is>
          <t>Russia</t>
        </is>
      </c>
      <c r="D43" t="n">
        <v>1484</v>
      </c>
    </row>
    <row r="44">
      <c r="C44" t="inlineStr">
        <is>
          <t>Brazil</t>
        </is>
      </c>
      <c r="D44" t="n">
        <v>1445</v>
      </c>
    </row>
    <row r="45">
      <c r="C45" t="inlineStr">
        <is>
          <t>Australia</t>
        </is>
      </c>
      <c r="D45" t="n">
        <v>1331</v>
      </c>
    </row>
    <row r="46">
      <c r="C46" t="inlineStr">
        <is>
          <t>Spain</t>
        </is>
      </c>
      <c r="D46" t="n">
        <v>1281</v>
      </c>
    </row>
    <row r="47">
      <c r="C47" t="inlineStr">
        <is>
          <t>Mexico</t>
        </is>
      </c>
      <c r="D47" t="n">
        <v>1076</v>
      </c>
    </row>
    <row r="48">
      <c r="C48" t="inlineStr">
        <is>
          <t>Indonesia</t>
        </is>
      </c>
      <c r="D48" t="n">
        <v>1058</v>
      </c>
    </row>
    <row r="49">
      <c r="C49" t="inlineStr">
        <is>
          <t>Netherlands</t>
        </is>
      </c>
      <c r="D49" t="n">
        <v>912</v>
      </c>
    </row>
    <row r="50">
      <c r="C50" t="inlineStr">
        <is>
          <t>Switzerland</t>
        </is>
      </c>
      <c r="D50" t="n">
        <v>748</v>
      </c>
    </row>
    <row r="51">
      <c r="C51" t="inlineStr">
        <is>
          <t>Turkey</t>
        </is>
      </c>
      <c r="D51" t="n">
        <v>720</v>
      </c>
    </row>
    <row r="52">
      <c r="C52" t="inlineStr">
        <is>
          <t>Saudi Arabia</t>
        </is>
      </c>
      <c r="D52" t="n">
        <v>700</v>
      </c>
    </row>
    <row r="53">
      <c r="C53" t="inlineStr">
        <is>
          <t>Taiwan</t>
        </is>
      </c>
      <c r="D53" t="n">
        <v>611</v>
      </c>
    </row>
    <row r="54">
      <c r="C54" t="inlineStr">
        <is>
          <t>Poland</t>
        </is>
      </c>
      <c r="D54" t="n">
        <v>594</v>
      </c>
    </row>
    <row r="55">
      <c r="C55" t="inlineStr">
        <is>
          <t>Sweden</t>
        </is>
      </c>
      <c r="D55" t="n">
        <v>538</v>
      </c>
    </row>
    <row r="56">
      <c r="C56" t="inlineStr">
        <is>
          <t>Belgium</t>
        </is>
      </c>
      <c r="D56" t="n">
        <v>515</v>
      </c>
    </row>
    <row r="57">
      <c r="C57" t="inlineStr">
        <is>
          <t>Thailand</t>
        </is>
      </c>
      <c r="D57" t="n">
        <v>502</v>
      </c>
    </row>
    <row r="58">
      <c r="C58" t="inlineStr">
        <is>
          <t>Venezuela</t>
        </is>
      </c>
      <c r="D58" t="n">
        <v>482</v>
      </c>
    </row>
    <row r="59">
      <c r="C59" t="inlineStr">
        <is>
          <t>Nigeria</t>
        </is>
      </c>
      <c r="D59" t="n">
        <v>432</v>
      </c>
    </row>
    <row r="60">
      <c r="C60" t="inlineStr">
        <is>
          <t>Austria</t>
        </is>
      </c>
      <c r="D60" t="n">
        <v>429</v>
      </c>
    </row>
    <row r="61">
      <c r="C61" t="inlineStr">
        <is>
          <t>United Arab Emirates</t>
        </is>
      </c>
      <c r="D61" t="n">
        <v>421</v>
      </c>
    </row>
    <row r="62">
      <c r="C62" t="inlineStr">
        <is>
          <t>Ireland</t>
        </is>
      </c>
      <c r="D62" t="n">
        <v>419</v>
      </c>
    </row>
    <row r="63">
      <c r="C63" t="inlineStr">
        <is>
          <t>Israel</t>
        </is>
      </c>
      <c r="D63" t="n">
        <v>402</v>
      </c>
    </row>
    <row r="64">
      <c r="C64" t="inlineStr">
        <is>
          <t>Argentina</t>
        </is>
      </c>
      <c r="D64" t="n">
        <v>383</v>
      </c>
    </row>
    <row r="65">
      <c r="C65" t="inlineStr">
        <is>
          <t>Egypt</t>
        </is>
      </c>
      <c r="D65" t="n">
        <v>363</v>
      </c>
    </row>
    <row r="66">
      <c r="C66" t="inlineStr">
        <is>
          <t>Norway</t>
        </is>
      </c>
      <c r="D66" t="n">
        <v>362</v>
      </c>
    </row>
    <row r="67">
      <c r="C67" t="inlineStr">
        <is>
          <t>Philippines</t>
        </is>
      </c>
      <c r="D67" t="n">
        <v>361</v>
      </c>
    </row>
    <row r="68">
      <c r="C68" t="inlineStr">
        <is>
          <t>Denmark</t>
        </is>
      </c>
      <c r="D68" t="n">
        <v>352</v>
      </c>
    </row>
    <row r="69">
      <c r="C69" t="inlineStr">
        <is>
          <t>Hong Kong</t>
        </is>
      </c>
      <c r="D69" t="n">
        <v>347</v>
      </c>
    </row>
    <row r="70">
      <c r="C70" t="inlineStr">
        <is>
          <t>Singapore</t>
        </is>
      </c>
      <c r="D70" t="n">
        <v>340</v>
      </c>
    </row>
    <row r="71">
      <c r="C71" t="inlineStr">
        <is>
          <t>Malaysia</t>
        </is>
      </c>
      <c r="D71" t="n">
        <v>337</v>
      </c>
    </row>
    <row r="72">
      <c r="C72" t="inlineStr">
        <is>
          <t>Bangladesh</t>
        </is>
      </c>
      <c r="D72" t="n">
        <v>324</v>
      </c>
    </row>
    <row r="73">
      <c r="C73" t="inlineStr">
        <is>
          <t>South Africa</t>
        </is>
      </c>
      <c r="D73" t="n">
        <v>302</v>
      </c>
    </row>
    <row r="74">
      <c r="C74" t="inlineStr">
        <is>
          <t>Vietnam</t>
        </is>
      </c>
      <c r="D74" t="n">
        <v>271</v>
      </c>
    </row>
    <row r="75">
      <c r="C75" t="inlineStr">
        <is>
          <t>Colombia</t>
        </is>
      </c>
      <c r="D75" t="n">
        <v>271</v>
      </c>
    </row>
    <row r="76">
      <c r="C76" t="inlineStr">
        <is>
          <t>Finland</t>
        </is>
      </c>
      <c r="D76" t="n">
        <v>271</v>
      </c>
    </row>
    <row r="77">
      <c r="C77" t="inlineStr">
        <is>
          <t>Pakistan</t>
        </is>
      </c>
      <c r="D77" t="n">
        <v>264</v>
      </c>
    </row>
    <row r="78">
      <c r="C78" t="inlineStr">
        <is>
          <t>Chile</t>
        </is>
      </c>
      <c r="D78" t="n">
        <v>253</v>
      </c>
    </row>
    <row r="79">
      <c r="C79" t="inlineStr">
        <is>
          <t>Romania</t>
        </is>
      </c>
      <c r="D79" t="n">
        <v>249</v>
      </c>
    </row>
    <row r="80">
      <c r="C80" t="inlineStr">
        <is>
          <t>Czech Republic</t>
        </is>
      </c>
      <c r="D80" t="n">
        <v>244</v>
      </c>
    </row>
    <row r="81">
      <c r="C81" t="inlineStr">
        <is>
          <t>Portugal</t>
        </is>
      </c>
      <c r="D81" t="n">
        <v>231</v>
      </c>
    </row>
    <row r="82">
      <c r="C82" t="inlineStr">
        <is>
          <t>New Zealand</t>
        </is>
      </c>
      <c r="D82" t="n">
        <v>212</v>
      </c>
    </row>
    <row r="83">
      <c r="C83" t="inlineStr">
        <is>
          <t>Peru</t>
        </is>
      </c>
      <c r="D83" t="n">
        <v>202</v>
      </c>
    </row>
    <row r="84">
      <c r="C84" t="inlineStr">
        <is>
          <t>Iran</t>
        </is>
      </c>
      <c r="D84" t="n">
        <v>192</v>
      </c>
    </row>
    <row r="85">
      <c r="C85" t="inlineStr">
        <is>
          <t>Greece</t>
        </is>
      </c>
      <c r="D85" t="n">
        <v>189</v>
      </c>
    </row>
    <row r="86">
      <c r="C86" t="inlineStr">
        <is>
          <t>Kazakhstan</t>
        </is>
      </c>
      <c r="D86" t="n">
        <v>170</v>
      </c>
    </row>
    <row r="87">
      <c r="C87" t="inlineStr">
        <is>
          <t>Iraq</t>
        </is>
      </c>
      <c r="D87" t="n">
        <v>167</v>
      </c>
    </row>
    <row r="88">
      <c r="C88" t="inlineStr">
        <is>
          <t>Ukraine</t>
        </is>
      </c>
      <c r="D88" t="n">
        <v>156</v>
      </c>
    </row>
    <row r="89">
      <c r="C89" t="inlineStr">
        <is>
          <t>Hungary</t>
        </is>
      </c>
      <c r="D89" t="n">
        <v>155</v>
      </c>
    </row>
    <row r="90">
      <c r="C90" t="inlineStr">
        <is>
          <t>Qatar</t>
        </is>
      </c>
      <c r="D90" t="n">
        <v>146</v>
      </c>
    </row>
    <row r="91">
      <c r="C91" t="inlineStr">
        <is>
          <t>Algeria</t>
        </is>
      </c>
      <c r="D91" t="n">
        <v>145</v>
      </c>
    </row>
    <row r="92">
      <c r="C92" t="inlineStr">
        <is>
          <t>Kuwait</t>
        </is>
      </c>
      <c r="D92" t="n">
        <v>136</v>
      </c>
      <c r="F92" s="79" t="n"/>
    </row>
    <row r="93">
      <c r="C93" t="inlineStr">
        <is>
          <t>Morocco</t>
        </is>
      </c>
      <c r="D93" t="n">
        <v>113</v>
      </c>
    </row>
    <row r="94">
      <c r="C94" t="inlineStr">
        <is>
          <t>Ethiopia</t>
        </is>
      </c>
      <c r="D94" t="n">
        <v>108</v>
      </c>
      <c r="F94" s="80" t="n"/>
    </row>
    <row r="95">
      <c r="C95" t="inlineStr">
        <is>
          <t>Slovakia</t>
        </is>
      </c>
      <c r="D95" t="n">
        <v>105</v>
      </c>
    </row>
    <row r="96">
      <c r="C96" t="inlineStr">
        <is>
          <t>Cuba</t>
        </is>
      </c>
      <c r="D96" t="n">
        <v>103</v>
      </c>
      <c r="F96" s="80" t="n"/>
    </row>
    <row r="97">
      <c r="C97" t="inlineStr">
        <is>
          <t>Puerto Rico</t>
        </is>
      </c>
      <c r="D97" t="n">
        <v>103</v>
      </c>
      <c r="F97" s="80" t="n"/>
      <c r="G97" s="80" t="n"/>
      <c r="J97" s="80" t="n"/>
      <c r="K97" s="80" t="n"/>
      <c r="L97" s="80" t="n"/>
    </row>
    <row r="98">
      <c r="C98" t="inlineStr">
        <is>
          <t>Kenya</t>
        </is>
      </c>
      <c r="D98" t="n">
        <v>99</v>
      </c>
    </row>
    <row r="99">
      <c r="C99" t="inlineStr">
        <is>
          <t>Ecuador</t>
        </is>
      </c>
      <c r="D99" t="n">
        <v>99</v>
      </c>
    </row>
    <row r="100">
      <c r="C100" t="inlineStr">
        <is>
          <t>Sri Lanka</t>
        </is>
      </c>
      <c r="D100" t="n">
        <v>81</v>
      </c>
    </row>
    <row r="101">
      <c r="C101" t="inlineStr">
        <is>
          <t>Dominican Republic</t>
        </is>
      </c>
      <c r="D101" t="n">
        <v>79</v>
      </c>
      <c r="F101" s="79" t="n"/>
    </row>
    <row r="102">
      <c r="C102" t="inlineStr">
        <is>
          <t>Guatemala</t>
        </is>
      </c>
      <c r="D102" t="n">
        <v>78</v>
      </c>
    </row>
    <row r="103">
      <c r="C103" t="inlineStr">
        <is>
          <t>Myanmar</t>
        </is>
      </c>
      <c r="D103" t="n">
        <v>76</v>
      </c>
      <c r="F103" s="80" t="n"/>
    </row>
    <row r="104">
      <c r="C104" t="inlineStr">
        <is>
          <t>Oman</t>
        </is>
      </c>
      <c r="D104" t="n">
        <v>76</v>
      </c>
      <c r="F104" s="80" t="n"/>
    </row>
    <row r="105">
      <c r="C105" t="inlineStr">
        <is>
          <t>Luxembourg</t>
        </is>
      </c>
      <c r="D105" t="n">
        <v>73</v>
      </c>
    </row>
    <row r="106">
      <c r="C106" t="inlineStr">
        <is>
          <t>Ghana</t>
        </is>
      </c>
      <c r="D106" t="n">
        <v>72</v>
      </c>
    </row>
    <row r="107">
      <c r="C107" t="inlineStr">
        <is>
          <t>Bulgaria</t>
        </is>
      </c>
      <c r="D107" t="n">
        <v>69</v>
      </c>
    </row>
    <row r="108">
      <c r="C108" t="inlineStr">
        <is>
          <t>Syria</t>
        </is>
      </c>
      <c r="D108" t="n">
        <v>65</v>
      </c>
      <c r="F108" s="80" t="n"/>
      <c r="G108" s="80" t="n"/>
    </row>
    <row r="109">
      <c r="C109" t="inlineStr">
        <is>
          <t>Tanzania</t>
        </is>
      </c>
      <c r="D109" t="n">
        <v>62</v>
      </c>
    </row>
    <row r="110">
      <c r="C110" t="inlineStr">
        <is>
          <t>Angola</t>
        </is>
      </c>
      <c r="D110" t="n">
        <v>62</v>
      </c>
    </row>
    <row r="111">
      <c r="C111" t="inlineStr">
        <is>
          <t>Costa Rica</t>
        </is>
      </c>
      <c r="D111" t="n">
        <v>62</v>
      </c>
      <c r="F111" s="79" t="n"/>
    </row>
    <row r="112">
      <c r="C112" t="inlineStr">
        <is>
          <t>Ivory Coast</t>
        </is>
      </c>
      <c r="D112" t="n">
        <v>61</v>
      </c>
      <c r="F112" s="80" t="n"/>
    </row>
    <row r="113">
      <c r="C113" t="inlineStr">
        <is>
          <t>Belarus</t>
        </is>
      </c>
      <c r="D113" t="n">
        <v>60</v>
      </c>
      <c r="F113" s="80" t="n"/>
    </row>
    <row r="114">
      <c r="C114" t="inlineStr">
        <is>
          <t>Uzbekistan</t>
        </is>
      </c>
      <c r="D114" t="n">
        <v>58</v>
      </c>
    </row>
    <row r="115">
      <c r="C115" t="inlineStr">
        <is>
          <t>Croatia</t>
        </is>
      </c>
      <c r="D115" t="n">
        <v>56</v>
      </c>
    </row>
    <row r="116">
      <c r="C116" t="inlineStr">
        <is>
          <t>Lithuania</t>
        </is>
      </c>
      <c r="D116" t="n">
        <v>56</v>
      </c>
    </row>
    <row r="117">
      <c r="C117" t="inlineStr">
        <is>
          <t>Macau</t>
        </is>
      </c>
      <c r="D117" t="n">
        <v>55</v>
      </c>
    </row>
    <row r="118">
      <c r="C118" t="inlineStr">
        <is>
          <t>Uruguay</t>
        </is>
      </c>
      <c r="D118" t="n">
        <v>54</v>
      </c>
    </row>
    <row r="119">
      <c r="C119" t="inlineStr">
        <is>
          <t>Slovenia</t>
        </is>
      </c>
      <c r="D119" t="n">
        <v>53</v>
      </c>
    </row>
    <row r="120">
      <c r="C120" t="inlineStr">
        <is>
          <t>Panama</t>
        </is>
      </c>
      <c r="D120" t="n">
        <v>53</v>
      </c>
      <c r="F120" s="80" t="n"/>
    </row>
    <row r="121">
      <c r="C121" t="inlineStr">
        <is>
          <t>Serbia</t>
        </is>
      </c>
      <c r="D121" t="n">
        <v>53</v>
      </c>
    </row>
    <row r="122">
      <c r="C122" t="inlineStr">
        <is>
          <t>Congo</t>
        </is>
      </c>
      <c r="D122" t="n">
        <v>50</v>
      </c>
    </row>
    <row r="123">
      <c r="C123" t="inlineStr">
        <is>
          <t>Turkmenistan</t>
        </is>
      </c>
      <c r="D123" t="n">
        <v>45</v>
      </c>
      <c r="F123" s="80" t="n"/>
      <c r="G123" s="80" t="n"/>
    </row>
    <row r="124">
      <c r="C124" t="inlineStr">
        <is>
          <t>Jordan</t>
        </is>
      </c>
      <c r="D124" t="n">
        <v>44</v>
      </c>
      <c r="F124" s="80" t="n"/>
    </row>
    <row r="125">
      <c r="C125" t="inlineStr">
        <is>
          <t>Azerbaijan</t>
        </is>
      </c>
      <c r="D125" t="n">
        <v>43</v>
      </c>
    </row>
    <row r="126">
      <c r="C126" t="inlineStr">
        <is>
          <t>Cameroon</t>
        </is>
      </c>
      <c r="D126" t="n">
        <v>40</v>
      </c>
      <c r="F126" s="79" t="n"/>
    </row>
    <row r="127">
      <c r="C127" t="inlineStr">
        <is>
          <t>Tunisia</t>
        </is>
      </c>
      <c r="D127" t="n">
        <v>39</v>
      </c>
    </row>
    <row r="128">
      <c r="C128" t="inlineStr">
        <is>
          <t>Bahrain</t>
        </is>
      </c>
      <c r="D128" t="n">
        <v>38</v>
      </c>
    </row>
    <row r="129">
      <c r="C129" t="inlineStr">
        <is>
          <t>Bolivia</t>
        </is>
      </c>
      <c r="D129" t="n">
        <v>37</v>
      </c>
    </row>
    <row r="130">
      <c r="C130" t="inlineStr">
        <is>
          <t>Uganda</t>
        </is>
      </c>
      <c r="D130" t="n">
        <v>37</v>
      </c>
    </row>
    <row r="131">
      <c r="C131" t="inlineStr">
        <is>
          <t>Paraguay</t>
        </is>
      </c>
      <c r="D131" t="n">
        <v>35</v>
      </c>
    </row>
    <row r="132">
      <c r="C132" t="inlineStr">
        <is>
          <t>Nepal</t>
        </is>
      </c>
      <c r="D132" t="n">
        <v>34</v>
      </c>
      <c r="F132" s="80" t="n"/>
    </row>
    <row r="133">
      <c r="C133" t="inlineStr">
        <is>
          <t>Latvia</t>
        </is>
      </c>
      <c r="D133" t="n">
        <v>34</v>
      </c>
    </row>
    <row r="134">
      <c r="C134" t="inlineStr">
        <is>
          <t>Lebanon</t>
        </is>
      </c>
      <c r="D134" t="n">
        <v>33</v>
      </c>
      <c r="F134" s="80" t="n"/>
    </row>
    <row r="135">
      <c r="C135" t="inlineStr">
        <is>
          <t>Estonia</t>
        </is>
      </c>
      <c r="D135" t="n">
        <v>31</v>
      </c>
    </row>
    <row r="136">
      <c r="C136" t="inlineStr">
        <is>
          <t>Sudan</t>
        </is>
      </c>
      <c r="D136" t="n">
        <v>26</v>
      </c>
    </row>
    <row r="137">
      <c r="C137" t="inlineStr">
        <is>
          <t>El Salvador</t>
        </is>
      </c>
      <c r="D137" t="n">
        <v>25</v>
      </c>
    </row>
    <row r="138">
      <c r="C138" t="inlineStr">
        <is>
          <t>Cambodia</t>
        </is>
      </c>
      <c r="D138" t="n">
        <v>25</v>
      </c>
    </row>
    <row r="139">
      <c r="C139" t="inlineStr">
        <is>
          <t>Libya</t>
        </is>
      </c>
      <c r="D139" t="n">
        <v>25</v>
      </c>
      <c r="F139" s="80" t="n"/>
    </row>
    <row r="140">
      <c r="C140" t="inlineStr">
        <is>
          <t>Senegal</t>
        </is>
      </c>
      <c r="D140" t="n">
        <v>25</v>
      </c>
    </row>
    <row r="141">
      <c r="C141" t="inlineStr">
        <is>
          <t>Papua New Guinea</t>
        </is>
      </c>
      <c r="D141" t="n">
        <v>24</v>
      </c>
      <c r="F141" s="80" t="n"/>
    </row>
    <row r="142">
      <c r="C142" t="inlineStr">
        <is>
          <t>Honduras</t>
        </is>
      </c>
      <c r="D142" t="n">
        <v>24</v>
      </c>
    </row>
    <row r="143">
      <c r="C143" t="inlineStr">
        <is>
          <t>Cyprus</t>
        </is>
      </c>
      <c r="D143" t="n">
        <v>24</v>
      </c>
    </row>
    <row r="144">
      <c r="C144" t="inlineStr">
        <is>
          <t>Yemen</t>
        </is>
      </c>
      <c r="D144" t="n">
        <v>23</v>
      </c>
      <c r="F144" s="80" t="n"/>
    </row>
    <row r="145">
      <c r="C145" t="inlineStr">
        <is>
          <t>Trinidad and Tobago</t>
        </is>
      </c>
      <c r="D145" t="n">
        <v>22</v>
      </c>
      <c r="F145" s="79" t="n"/>
    </row>
    <row r="146">
      <c r="C146" t="inlineStr">
        <is>
          <t>Iceland</t>
        </is>
      </c>
      <c r="D146" t="n">
        <v>22</v>
      </c>
    </row>
    <row r="147">
      <c r="C147" t="inlineStr">
        <is>
          <t>Bosnia and Herzegovina</t>
        </is>
      </c>
      <c r="D147" t="n">
        <v>20</v>
      </c>
      <c r="F147" s="79" t="n"/>
    </row>
    <row r="148">
      <c r="C148" t="inlineStr">
        <is>
          <t>Afghanistan</t>
        </is>
      </c>
      <c r="D148" t="n">
        <v>20</v>
      </c>
      <c r="F148" s="80" t="n"/>
    </row>
    <row r="149">
      <c r="C149" t="inlineStr">
        <is>
          <t>Laos</t>
        </is>
      </c>
      <c r="D149" t="n">
        <v>19</v>
      </c>
      <c r="F149" s="80" t="n"/>
    </row>
    <row r="150">
      <c r="C150" t="inlineStr">
        <is>
          <t>Zambia</t>
        </is>
      </c>
      <c r="D150" t="n">
        <v>19</v>
      </c>
      <c r="F150" s="80" t="n"/>
    </row>
    <row r="151">
      <c r="C151" t="inlineStr">
        <is>
          <t>Zimbabwe</t>
        </is>
      </c>
      <c r="D151" t="n">
        <v>17</v>
      </c>
      <c r="F151" s="80" t="n"/>
    </row>
    <row r="152">
      <c r="C152" t="inlineStr">
        <is>
          <t>Mali</t>
        </is>
      </c>
      <c r="D152" t="n">
        <v>17</v>
      </c>
      <c r="F152" s="80" t="n"/>
      <c r="K152" s="80" t="n"/>
    </row>
    <row r="153">
      <c r="C153" t="inlineStr">
        <is>
          <t>Burkina Faso</t>
        </is>
      </c>
      <c r="D153" t="n">
        <v>17</v>
      </c>
      <c r="F153" s="80" t="n"/>
    </row>
    <row r="154">
      <c r="C154" t="inlineStr">
        <is>
          <t>Botswana</t>
        </is>
      </c>
      <c r="D154" t="n">
        <v>16</v>
      </c>
    </row>
    <row r="155">
      <c r="C155" t="inlineStr">
        <is>
          <t>Benin</t>
        </is>
      </c>
      <c r="D155" t="n">
        <v>16</v>
      </c>
      <c r="F155" s="80" t="n"/>
    </row>
    <row r="156">
      <c r="C156" t="inlineStr">
        <is>
          <t>Guinea</t>
        </is>
      </c>
      <c r="D156" t="n">
        <v>16</v>
      </c>
      <c r="F156" s="80" t="n"/>
    </row>
    <row r="157">
      <c r="C157" t="inlineStr">
        <is>
          <t>Georgia</t>
        </is>
      </c>
      <c r="D157" t="n">
        <v>16</v>
      </c>
      <c r="F157" s="80" t="n"/>
    </row>
    <row r="158">
      <c r="C158" t="inlineStr">
        <is>
          <t>Gabon</t>
        </is>
      </c>
      <c r="D158" t="n">
        <v>16</v>
      </c>
    </row>
    <row r="159">
      <c r="C159" t="inlineStr">
        <is>
          <t>Palestine</t>
        </is>
      </c>
      <c r="D159" t="n">
        <v>16</v>
      </c>
      <c r="F159" s="80" t="n"/>
      <c r="G159" s="80" t="n"/>
    </row>
    <row r="160">
      <c r="C160" t="inlineStr">
        <is>
          <t>Malta</t>
        </is>
      </c>
      <c r="D160" t="n">
        <v>15</v>
      </c>
    </row>
    <row r="161">
      <c r="C161" t="inlineStr">
        <is>
          <t>Albania</t>
        </is>
      </c>
      <c r="D161" t="n">
        <v>15</v>
      </c>
    </row>
    <row r="162">
      <c r="C162" t="inlineStr">
        <is>
          <t>Madagascar</t>
        </is>
      </c>
      <c r="D162" t="n">
        <v>14</v>
      </c>
      <c r="F162" s="80" t="n"/>
    </row>
    <row r="163">
      <c r="C163" t="inlineStr">
        <is>
          <t>Jamaica</t>
        </is>
      </c>
      <c r="D163" t="n">
        <v>14</v>
      </c>
    </row>
    <row r="164">
      <c r="C164" t="inlineStr">
        <is>
          <t>Mozambique</t>
        </is>
      </c>
      <c r="D164" t="n">
        <v>14</v>
      </c>
    </row>
    <row r="165">
      <c r="C165" t="inlineStr">
        <is>
          <t>Niger</t>
        </is>
      </c>
      <c r="D165" t="n">
        <v>14</v>
      </c>
    </row>
    <row r="166">
      <c r="C166" t="inlineStr">
        <is>
          <t>Mongolia</t>
        </is>
      </c>
      <c r="D166" t="n">
        <v>13</v>
      </c>
    </row>
    <row r="167">
      <c r="C167" t="inlineStr">
        <is>
          <t>Nicaragua</t>
        </is>
      </c>
      <c r="D167" t="n">
        <v>13</v>
      </c>
      <c r="F167" s="80" t="n"/>
      <c r="G167" s="79" t="n"/>
    </row>
    <row r="168">
      <c r="C168" t="inlineStr">
        <is>
          <t>Armenia</t>
        </is>
      </c>
      <c r="D168" t="n">
        <v>13</v>
      </c>
    </row>
    <row r="169">
      <c r="C169" t="inlineStr">
        <is>
          <t>Haiti</t>
        </is>
      </c>
      <c r="D169" t="n">
        <v>13</v>
      </c>
      <c r="F169" s="80" t="n"/>
    </row>
    <row r="170">
      <c r="C170" t="inlineStr">
        <is>
          <t>Brunei</t>
        </is>
      </c>
      <c r="D170" t="n">
        <v>12</v>
      </c>
      <c r="F170" s="80" t="n"/>
    </row>
    <row r="171">
      <c r="C171" t="inlineStr">
        <is>
          <t>Malawi</t>
        </is>
      </c>
      <c r="D171" t="n">
        <v>12</v>
      </c>
    </row>
    <row r="172">
      <c r="C172" t="inlineStr">
        <is>
          <t>Moldova</t>
        </is>
      </c>
      <c r="D172" t="n">
        <v>12</v>
      </c>
    </row>
    <row r="173">
      <c r="C173" t="inlineStr">
        <is>
          <t>Macedonia</t>
        </is>
      </c>
      <c r="D173" t="n">
        <v>12</v>
      </c>
    </row>
    <row r="174">
      <c r="C174" t="inlineStr">
        <is>
          <t>Mauritius</t>
        </is>
      </c>
      <c r="D174" t="n">
        <v>11</v>
      </c>
    </row>
    <row r="175">
      <c r="C175" t="inlineStr">
        <is>
          <t>Namibia</t>
        </is>
      </c>
      <c r="D175" t="n">
        <v>11</v>
      </c>
    </row>
    <row r="176">
      <c r="C176" t="inlineStr">
        <is>
          <t>Republic of the Congo</t>
        </is>
      </c>
      <c r="D176" t="n">
        <v>11</v>
      </c>
      <c r="F176" s="80" t="n"/>
    </row>
    <row r="177">
      <c r="C177" t="inlineStr">
        <is>
          <t>Bahamas</t>
        </is>
      </c>
      <c r="D177" t="n">
        <v>11</v>
      </c>
      <c r="F177" s="80" t="n"/>
    </row>
    <row r="178">
      <c r="C178" t="inlineStr">
        <is>
          <t>Chad</t>
        </is>
      </c>
      <c r="D178" t="n">
        <v>10</v>
      </c>
      <c r="F178" s="80" t="n"/>
    </row>
    <row r="179">
      <c r="C179" t="inlineStr">
        <is>
          <t>Equatorial Guinea</t>
        </is>
      </c>
      <c r="D179" t="n">
        <v>10</v>
      </c>
      <c r="F179" s="80" t="n"/>
    </row>
    <row r="180">
      <c r="C180" t="inlineStr">
        <is>
          <t>Rwanda</t>
        </is>
      </c>
      <c r="D180" t="n">
        <v>10</v>
      </c>
    </row>
    <row r="181">
      <c r="C181" t="inlineStr">
        <is>
          <t>New Caledonia</t>
        </is>
      </c>
      <c r="D181" t="n">
        <v>10</v>
      </c>
      <c r="E181" s="79" t="n"/>
      <c r="F181" s="80" t="n"/>
      <c r="J181" s="80" t="n"/>
      <c r="K181" s="80" t="n"/>
      <c r="L181" s="80" t="n"/>
    </row>
    <row r="182">
      <c r="C182" t="inlineStr">
        <is>
          <t>Mauritania</t>
        </is>
      </c>
      <c r="D182" t="n">
        <v>8</v>
      </c>
      <c r="F182" s="80" t="n"/>
    </row>
    <row r="183">
      <c r="C183" t="inlineStr">
        <is>
          <t>Kyrgyzstan</t>
        </is>
      </c>
      <c r="D183" t="n">
        <v>8</v>
      </c>
      <c r="F183" s="80" t="n"/>
    </row>
    <row r="184">
      <c r="C184" t="inlineStr">
        <is>
          <t>Kosovo</t>
        </is>
      </c>
      <c r="D184" t="n">
        <v>8</v>
      </c>
      <c r="F184" s="80" t="n"/>
      <c r="G184" s="80" t="n"/>
      <c r="K184" s="79" t="n"/>
    </row>
    <row r="185">
      <c r="C185" t="inlineStr">
        <is>
          <t>Togo</t>
        </is>
      </c>
      <c r="D185" t="n">
        <v>8</v>
      </c>
      <c r="F185" s="80" t="n"/>
    </row>
    <row r="186">
      <c r="C186" t="inlineStr">
        <is>
          <t>Tajikistan</t>
        </is>
      </c>
      <c r="D186" t="n">
        <v>8</v>
      </c>
      <c r="F186" s="80" t="n"/>
    </row>
    <row r="187">
      <c r="C187" t="inlineStr">
        <is>
          <t>Monaco</t>
        </is>
      </c>
      <c r="D187" t="n">
        <v>7</v>
      </c>
      <c r="F187" s="80" t="n"/>
      <c r="G187" s="80" t="n"/>
      <c r="H187" s="80" t="n"/>
      <c r="I187" s="80" t="n"/>
      <c r="J187" s="80" t="n"/>
      <c r="K187" s="80" t="n"/>
      <c r="L187" s="80" t="n"/>
    </row>
    <row r="188">
      <c r="C188" t="inlineStr">
        <is>
          <t>Liechtenstein</t>
        </is>
      </c>
      <c r="D188" t="n">
        <v>7</v>
      </c>
      <c r="F188" s="80" t="n"/>
      <c r="G188" s="80" t="n"/>
      <c r="I188" s="79" t="n"/>
      <c r="J188" s="80" t="n"/>
      <c r="K188" s="80" t="n"/>
      <c r="L188" s="80" t="n"/>
    </row>
    <row r="189">
      <c r="C189" t="inlineStr">
        <is>
          <t>Eritrea</t>
        </is>
      </c>
      <c r="D189" t="n">
        <v>7</v>
      </c>
      <c r="F189" s="80" t="n"/>
      <c r="G189" s="80" t="n"/>
    </row>
    <row r="190">
      <c r="C190" t="inlineStr">
        <is>
          <t>Cayman Islands</t>
        </is>
      </c>
      <c r="D190" t="n">
        <v>6</v>
      </c>
      <c r="F190" s="80" t="n"/>
      <c r="G190" s="80" t="n"/>
    </row>
    <row r="191">
      <c r="C191" t="inlineStr">
        <is>
          <t>Guyana</t>
        </is>
      </c>
      <c r="D191" t="n">
        <v>5</v>
      </c>
      <c r="F191" s="80" t="n"/>
      <c r="J191" s="79" t="n"/>
      <c r="K191" s="79" t="n"/>
    </row>
    <row r="192">
      <c r="C192" t="inlineStr">
        <is>
          <t>Montenegro</t>
        </is>
      </c>
      <c r="D192" t="n">
        <v>5</v>
      </c>
      <c r="F192" s="80" t="n"/>
      <c r="G192" s="80" t="n"/>
    </row>
    <row r="193">
      <c r="C193" t="inlineStr">
        <is>
          <t>Somalia</t>
        </is>
      </c>
      <c r="D193" t="n">
        <v>5</v>
      </c>
      <c r="F193" s="80" t="n"/>
      <c r="G193" s="80" t="n"/>
      <c r="I193" s="80" t="n"/>
      <c r="J193" s="80" t="n"/>
      <c r="K193" s="80" t="n"/>
      <c r="L193" s="80" t="n"/>
    </row>
    <row r="194">
      <c r="C194" t="inlineStr">
        <is>
          <t>Sierra Leone</t>
        </is>
      </c>
      <c r="D194" t="n">
        <v>4</v>
      </c>
      <c r="F194" s="80" t="n"/>
    </row>
    <row r="195">
      <c r="C195" t="inlineStr">
        <is>
          <t>Suriname</t>
        </is>
      </c>
      <c r="D195" t="n">
        <v>4</v>
      </c>
      <c r="F195" s="80" t="n"/>
    </row>
    <row r="196">
      <c r="C196" t="inlineStr">
        <is>
          <t>Swaziland</t>
        </is>
      </c>
      <c r="D196" t="n">
        <v>4</v>
      </c>
      <c r="F196" s="80" t="n"/>
    </row>
    <row r="197">
      <c r="C197" t="inlineStr">
        <is>
          <t>Maldives</t>
        </is>
      </c>
      <c r="D197" t="n">
        <v>4</v>
      </c>
      <c r="F197" s="80" t="n"/>
    </row>
    <row r="198">
      <c r="C198" t="inlineStr">
        <is>
          <t>Fiji</t>
        </is>
      </c>
      <c r="D198" t="n">
        <v>4</v>
      </c>
      <c r="F198" s="80" t="n"/>
    </row>
    <row r="199">
      <c r="C199" t="inlineStr">
        <is>
          <t>Djibouti</t>
        </is>
      </c>
      <c r="D199" t="n">
        <v>3</v>
      </c>
      <c r="F199" s="80" t="n"/>
    </row>
    <row r="200">
      <c r="C200" t="inlineStr">
        <is>
          <t>Burundi</t>
        </is>
      </c>
      <c r="D200" t="n">
        <v>3</v>
      </c>
      <c r="F200" s="80" t="n"/>
    </row>
    <row r="201">
      <c r="C201" t="inlineStr">
        <is>
          <t>Liberia</t>
        </is>
      </c>
      <c r="D201" t="n">
        <v>3</v>
      </c>
      <c r="F201" s="80" t="n"/>
    </row>
    <row r="202">
      <c r="C202" t="inlineStr">
        <is>
          <t>Lesotho</t>
        </is>
      </c>
      <c r="D202" t="n">
        <v>2</v>
      </c>
      <c r="F202" s="80" t="n"/>
    </row>
    <row r="203">
      <c r="C203" t="inlineStr">
        <is>
          <t>Cape Verde</t>
        </is>
      </c>
      <c r="D203" t="n">
        <v>2</v>
      </c>
      <c r="F203" s="79" t="n"/>
    </row>
    <row r="204">
      <c r="C204" t="inlineStr">
        <is>
          <t>Central African Republic</t>
        </is>
      </c>
      <c r="D204" t="n">
        <v>2</v>
      </c>
      <c r="F204" s="80" t="n"/>
    </row>
    <row r="205">
      <c r="C205" t="inlineStr">
        <is>
          <t>Bhutan</t>
        </is>
      </c>
      <c r="D205" t="n">
        <v>2</v>
      </c>
      <c r="F205" s="80" t="n"/>
    </row>
    <row r="206">
      <c r="C206" t="inlineStr">
        <is>
          <t>East Timor</t>
        </is>
      </c>
      <c r="D206" t="n">
        <v>2</v>
      </c>
      <c r="F206" s="80" t="n"/>
      <c r="G206" s="80" t="n"/>
      <c r="K206" s="80" t="n"/>
    </row>
    <row r="207">
      <c r="C207" t="inlineStr">
        <is>
          <t>Gambia</t>
        </is>
      </c>
      <c r="D207" t="n">
        <v>2</v>
      </c>
      <c r="F207" s="80" t="n"/>
    </row>
    <row r="208">
      <c r="C208" t="inlineStr">
        <is>
          <t>Guinea Bissau</t>
        </is>
      </c>
      <c r="D208" t="n">
        <v>1</v>
      </c>
      <c r="F208" s="80" t="n"/>
    </row>
    <row r="209">
      <c r="C209" t="inlineStr">
        <is>
          <t>Comoros</t>
        </is>
      </c>
      <c r="D209" t="n">
        <v>1</v>
      </c>
      <c r="F209" s="80" t="n"/>
    </row>
    <row r="210">
      <c r="C210" t="inlineStr">
        <is>
          <t>Seychelles</t>
        </is>
      </c>
      <c r="D210" t="n">
        <v>1</v>
      </c>
    </row>
    <row r="211">
      <c r="C211" t="inlineStr">
        <is>
          <t>South Sudan</t>
        </is>
      </c>
      <c r="D211" t="n">
        <v>1</v>
      </c>
      <c r="F211" s="80" t="n"/>
      <c r="G211" s="79" t="n"/>
      <c r="J211" s="80" t="n"/>
      <c r="K211" s="80" t="n"/>
      <c r="L211" s="80" t="n"/>
    </row>
    <row r="212">
      <c r="C212" t="inlineStr">
        <is>
          <t>Sao Tome and Principe</t>
        </is>
      </c>
      <c r="D212" t="n">
        <v>0</v>
      </c>
      <c r="F212" s="80" t="n"/>
    </row>
    <row r="213">
      <c r="E213" s="78" t="n"/>
      <c r="F213" s="78" t="n"/>
    </row>
    <row r="214">
      <c r="E214" s="78" t="n"/>
      <c r="F214" s="78" t="n"/>
    </row>
    <row r="215">
      <c r="E215" s="78" t="n"/>
      <c r="F215" s="78" t="n"/>
    </row>
    <row r="216">
      <c r="E216" s="78" t="n"/>
      <c r="F216" s="78" t="n"/>
    </row>
    <row r="217">
      <c r="E217" s="78" t="n"/>
      <c r="F217" s="78" t="n"/>
    </row>
    <row r="218">
      <c r="E218" s="78" t="n"/>
      <c r="F218" s="78" t="n"/>
    </row>
    <row r="219">
      <c r="E219" s="78" t="n"/>
      <c r="F219" s="78" t="n"/>
    </row>
    <row r="220">
      <c r="E220" s="78" t="n"/>
      <c r="F220" s="78" t="n"/>
    </row>
    <row r="221">
      <c r="E221" s="78" t="n"/>
      <c r="F221" s="78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74" zoomScaleNormal="174" workbookViewId="0">
      <selection activeCell="K10" sqref="K10"/>
    </sheetView>
  </sheetViews>
  <sheetFormatPr baseColWidth="10" defaultColWidth="9.1640625" defaultRowHeight="15"/>
  <cols>
    <col width="29.6640625" customWidth="1" style="94" min="1" max="1"/>
    <col width="15.33203125" customWidth="1" style="94" min="2" max="2"/>
    <col width="17.1640625" customWidth="1" style="94" min="3" max="3"/>
    <col width="15.33203125" customWidth="1" style="94" min="4" max="5"/>
    <col width="9.1640625" customWidth="1" style="94" min="6" max="14"/>
    <col width="9.1640625" customWidth="1" style="94" min="15" max="16384"/>
  </cols>
  <sheetData>
    <row r="1" ht="20" customHeight="1" s="82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Algeria</t>
        </is>
      </c>
      <c r="B2" t="n">
        <v>11.6</v>
      </c>
      <c r="C2" t="inlineStr">
        <is>
          <t>Jun-21</t>
        </is>
      </c>
      <c r="D2" t="n">
        <v>0.4</v>
      </c>
      <c r="E2" t="inlineStr">
        <is>
          <t>%</t>
        </is>
      </c>
    </row>
    <row r="3">
      <c r="A3" t="inlineStr">
        <is>
          <t>Angola</t>
        </is>
      </c>
      <c r="B3" t="n">
        <v>3</v>
      </c>
      <c r="C3" t="inlineStr">
        <is>
          <t>Jun-21</t>
        </is>
      </c>
      <c r="D3" t="n">
        <v>-3.94</v>
      </c>
      <c r="E3" t="inlineStr">
        <is>
          <t>%</t>
        </is>
      </c>
    </row>
    <row r="4">
      <c r="A4" t="inlineStr">
        <is>
          <t>Argentina</t>
        </is>
      </c>
      <c r="B4" t="n">
        <v>4.3</v>
      </c>
      <c r="C4" t="inlineStr">
        <is>
          <t>Oct-21</t>
        </is>
      </c>
      <c r="D4" t="n">
        <v>10.1</v>
      </c>
      <c r="E4" t="inlineStr">
        <is>
          <t>%</t>
        </is>
      </c>
    </row>
    <row r="5">
      <c r="A5" t="inlineStr">
        <is>
          <t>Armenia</t>
        </is>
      </c>
      <c r="B5" t="n">
        <v>3.9</v>
      </c>
      <c r="C5" t="inlineStr">
        <is>
          <t>Oct-21</t>
        </is>
      </c>
      <c r="D5" t="n">
        <v>-1.2</v>
      </c>
      <c r="E5" t="inlineStr">
        <is>
          <t>%</t>
        </is>
      </c>
    </row>
    <row r="6">
      <c r="A6" t="inlineStr">
        <is>
          <t>Australia</t>
        </is>
      </c>
      <c r="B6" t="n">
        <v>0.8</v>
      </c>
      <c r="C6" t="inlineStr">
        <is>
          <t>Jun-21</t>
        </is>
      </c>
      <c r="D6" t="n">
        <v>-1.7</v>
      </c>
      <c r="E6" t="inlineStr">
        <is>
          <t>%</t>
        </is>
      </c>
    </row>
    <row r="7">
      <c r="A7" t="inlineStr">
        <is>
          <t>Austria</t>
        </is>
      </c>
      <c r="B7" t="n">
        <v>3.3</v>
      </c>
      <c r="C7" t="inlineStr">
        <is>
          <t>Oct-21</t>
        </is>
      </c>
      <c r="D7" t="n">
        <v>5</v>
      </c>
      <c r="E7" t="inlineStr">
        <is>
          <t>%</t>
        </is>
      </c>
    </row>
    <row r="8">
      <c r="A8" t="inlineStr">
        <is>
          <t>Azerbaijan</t>
        </is>
      </c>
      <c r="B8" t="n">
        <v>4.5</v>
      </c>
      <c r="C8" t="inlineStr">
        <is>
          <t>Sep-21</t>
        </is>
      </c>
      <c r="D8" t="n">
        <v>2.6</v>
      </c>
      <c r="E8" t="inlineStr">
        <is>
          <t>%</t>
        </is>
      </c>
    </row>
    <row r="9">
      <c r="A9" t="inlineStr">
        <is>
          <t>Belarus</t>
        </is>
      </c>
      <c r="B9" t="n">
        <v>6.7</v>
      </c>
      <c r="C9" t="inlineStr">
        <is>
          <t>Nov-21</t>
        </is>
      </c>
      <c r="D9" t="n">
        <v>7.1</v>
      </c>
      <c r="E9" t="inlineStr">
        <is>
          <t>%</t>
        </is>
      </c>
    </row>
    <row r="10">
      <c r="A10" t="inlineStr">
        <is>
          <t>Belgium</t>
        </is>
      </c>
      <c r="B10" t="n">
        <v>10.9</v>
      </c>
      <c r="C10" t="inlineStr">
        <is>
          <t>Oct-21</t>
        </is>
      </c>
      <c r="D10" t="n">
        <v>18.1</v>
      </c>
      <c r="E10" t="inlineStr">
        <is>
          <t>%</t>
        </is>
      </c>
    </row>
    <row r="11">
      <c r="A11" t="inlineStr">
        <is>
          <t>Benin</t>
        </is>
      </c>
      <c r="B11" t="n">
        <v>38.6</v>
      </c>
      <c r="C11" t="inlineStr">
        <is>
          <t>Jun-21</t>
        </is>
      </c>
      <c r="D11" t="n">
        <v>3</v>
      </c>
      <c r="E11" t="inlineStr">
        <is>
          <t>%</t>
        </is>
      </c>
    </row>
    <row r="12">
      <c r="A12" t="inlineStr">
        <is>
          <t>Bosnia and Herzegovina</t>
        </is>
      </c>
      <c r="B12" t="n">
        <v>8.199999999999999</v>
      </c>
      <c r="C12" t="inlineStr">
        <is>
          <t>Oct-21</t>
        </is>
      </c>
      <c r="D12" t="n">
        <v>9.300000000000001</v>
      </c>
      <c r="E12" t="inlineStr">
        <is>
          <t>%</t>
        </is>
      </c>
    </row>
    <row r="13">
      <c r="A13" t="inlineStr">
        <is>
          <t>Botswana</t>
        </is>
      </c>
      <c r="B13" t="n">
        <v>186</v>
      </c>
      <c r="C13" t="inlineStr">
        <is>
          <t>Jun-21</t>
        </is>
      </c>
      <c r="D13" t="n">
        <v>-12</v>
      </c>
      <c r="E13" t="inlineStr">
        <is>
          <t>%</t>
        </is>
      </c>
    </row>
    <row r="14">
      <c r="A14" t="inlineStr">
        <is>
          <t>Brazil</t>
        </is>
      </c>
      <c r="B14" t="n">
        <v>-7.8</v>
      </c>
      <c r="C14" t="inlineStr">
        <is>
          <t>Oct-21</t>
        </is>
      </c>
      <c r="D14" t="n">
        <v>-4</v>
      </c>
      <c r="E14" t="inlineStr">
        <is>
          <t>%</t>
        </is>
      </c>
    </row>
    <row r="15">
      <c r="A15" t="inlineStr">
        <is>
          <t>Bulgaria</t>
        </is>
      </c>
      <c r="B15" t="n">
        <v>9.699999999999999</v>
      </c>
      <c r="C15" t="inlineStr">
        <is>
          <t>Oct-21</t>
        </is>
      </c>
      <c r="D15" t="n">
        <v>9.699999999999999</v>
      </c>
      <c r="E15" t="inlineStr">
        <is>
          <t>%</t>
        </is>
      </c>
    </row>
    <row r="16">
      <c r="A16" t="inlineStr">
        <is>
          <t>Burkina Faso</t>
        </is>
      </c>
      <c r="B16" t="n">
        <v>20.9</v>
      </c>
      <c r="C16" t="inlineStr">
        <is>
          <t>Jun-21</t>
        </is>
      </c>
      <c r="D16" t="n">
        <v>9.9</v>
      </c>
      <c r="E16" t="inlineStr">
        <is>
          <t>%</t>
        </is>
      </c>
    </row>
    <row r="17">
      <c r="A17" t="inlineStr">
        <is>
          <t>Burundi</t>
        </is>
      </c>
      <c r="B17" t="n">
        <v>6.6</v>
      </c>
      <c r="C17" t="inlineStr">
        <is>
          <t>Jun-21</t>
        </is>
      </c>
      <c r="D17" t="n">
        <v>11.1</v>
      </c>
      <c r="E17" t="inlineStr">
        <is>
          <t>%</t>
        </is>
      </c>
    </row>
    <row r="18">
      <c r="A18" t="inlineStr">
        <is>
          <t>CEB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-12.6</v>
      </c>
      <c r="C50" t="inlineStr">
        <is>
          <t>Sep-21</t>
        </is>
      </c>
      <c r="D50" t="n">
        <v>8.24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22.6</v>
      </c>
      <c r="C59" t="inlineStr">
        <is>
          <t>Oct-21</t>
        </is>
      </c>
      <c r="D59" t="n">
        <v>20.2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7.1</v>
      </c>
      <c r="C88" t="inlineStr">
        <is>
          <t>Oct-21</t>
        </is>
      </c>
      <c r="D88" t="n">
        <v>6.9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16.9</v>
      </c>
      <c r="C94" t="inlineStr">
        <is>
          <t>Oct-21</t>
        </is>
      </c>
      <c r="D94" t="n">
        <v>-2.2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11.25</v>
      </c>
      <c r="C103" t="inlineStr">
        <is>
          <t>Oct-21</t>
        </is>
      </c>
      <c r="D103" t="n">
        <v>11.61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1.4</v>
      </c>
      <c r="C110" t="inlineStr">
        <is>
          <t>Oct-21</t>
        </is>
      </c>
      <c r="D110" t="n">
        <v>-0.7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autoFilter ref="A1:E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38"/>
  <sheetViews>
    <sheetView tabSelected="1" workbookViewId="0">
      <pane xSplit="1" ySplit="1" topLeftCell="B2" activePane="bottomRight" state="frozen"/>
      <selection activeCell="C371" sqref="C371"/>
      <selection pane="topRight" activeCell="C371" sqref="C371"/>
      <selection pane="bottomLeft" activeCell="C371" sqref="C371"/>
      <selection pane="bottomRight" activeCell="AW1" sqref="AW1"/>
    </sheetView>
  </sheetViews>
  <sheetFormatPr baseColWidth="10" defaultColWidth="9.1640625" defaultRowHeight="15"/>
  <cols>
    <col width="11.1640625" customWidth="1" style="94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94" min="46" max="55"/>
    <col width="9.1640625" customWidth="1" style="94" min="56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13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13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13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13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13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13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13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13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13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13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13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13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13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13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13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13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13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13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13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13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13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13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13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13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13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13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13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13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13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13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13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13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13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13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13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13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13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13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13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13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13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13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13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13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13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13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13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13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13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13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13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13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13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13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13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13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13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13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13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13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13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13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13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13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13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13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13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13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13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13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13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13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13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13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13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13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13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13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13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13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13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13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13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13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13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13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13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13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13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13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13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13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13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13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13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13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13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13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13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13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13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13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13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13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13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13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13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13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13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13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13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13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13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13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13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13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13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13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13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13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13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13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13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13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13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13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13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13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13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13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13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13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13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13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13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13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13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13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13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13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13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13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13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13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13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13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13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13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13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13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13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13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13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13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13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13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13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13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13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13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13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13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13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13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13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13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13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13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13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13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13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13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13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13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13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13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13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13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13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13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13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13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13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13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13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13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13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13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13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13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13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13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13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13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13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13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13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13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13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13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13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13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13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13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13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13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13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13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13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13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13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13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13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13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13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13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13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13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13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13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13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13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13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13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13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13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13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13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13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13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13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13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13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13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13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13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13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13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13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13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13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13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13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13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13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13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13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13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13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13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13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13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13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13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13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13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13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13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13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13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13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13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13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13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13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13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13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13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13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13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13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13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13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13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13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13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13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13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13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13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13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13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13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13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13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13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13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13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13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13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13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13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13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13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13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13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13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13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13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13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13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13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13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13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13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13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13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13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13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13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13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13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13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13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13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13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13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13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13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13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13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13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13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13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13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13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13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13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13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13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13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13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13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13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13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13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13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13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13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13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13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13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13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13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13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13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13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13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13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13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13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13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13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13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13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13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13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13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13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13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13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13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13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13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13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13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13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13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13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13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13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13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13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13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13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13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13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13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13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13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13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13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13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13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13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13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13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13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13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13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13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13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13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13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13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13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13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13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13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13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13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13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13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13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13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13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13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13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13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13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13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13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13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13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13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13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13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13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13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13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13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13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13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13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13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13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13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13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13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13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13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13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13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13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13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13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13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13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13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13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13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13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13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13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13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13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13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13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13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13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13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13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13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13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13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13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13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13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13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13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13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13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13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13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13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13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13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13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13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13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13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13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13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13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13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13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13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13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13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13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13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13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13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13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13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13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13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13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13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13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13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13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13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13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13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13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13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13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13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13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13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13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13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13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13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13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13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13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13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13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13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13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13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13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13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13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13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13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13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13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13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13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13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13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13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13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13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13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13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13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13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13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13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13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13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13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13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13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13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13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13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13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13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13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13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13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13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13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13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13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13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13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13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13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13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13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13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13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13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13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13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13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13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13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13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13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13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13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13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13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13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13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13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13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13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13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13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13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13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13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13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13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13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13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13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13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13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13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13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13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13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13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13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13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13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13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13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13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13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13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13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13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13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13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13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13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13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13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13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13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13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13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13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13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13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13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13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13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13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13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13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13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13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13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13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13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13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13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13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13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13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13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13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13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13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13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13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13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13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13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13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13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13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13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13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13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13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13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13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13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13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13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13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13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13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13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13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13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13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13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13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13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13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13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13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13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13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13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13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13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13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13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13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13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13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13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13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13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13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13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13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13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13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13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13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13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13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13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13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13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13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13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13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13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13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13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13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13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13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13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13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13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13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13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13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13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13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13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13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13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13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13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13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13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13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13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13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13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13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13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13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13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13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13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13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13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13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13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13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13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13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13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13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13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13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13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13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13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13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13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13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13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13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13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13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13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13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13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13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13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13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13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13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13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13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13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13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13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13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13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13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13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13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13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13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13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13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13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13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13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13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13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13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13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13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13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13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13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13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13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13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13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13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13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13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13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13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13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13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13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13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13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13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13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13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13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13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13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13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13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13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13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13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13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13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13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13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13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13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13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13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13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13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13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13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13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13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13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13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13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13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13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13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13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13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13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13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13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13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13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13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13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13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13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13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13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13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13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13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13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13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13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13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13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13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13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13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13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13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13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13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13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13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13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13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13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13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13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13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13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13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13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13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13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13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13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13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13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13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13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13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13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13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13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13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13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13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13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13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13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13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13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13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13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13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13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13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13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13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13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13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13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13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13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13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13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13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13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13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13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13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13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13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13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13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13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13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13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13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13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13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13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13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13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13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13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13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13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13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13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13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13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13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13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13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13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13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13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13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13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13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13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13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13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13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13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13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13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13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13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13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13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13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13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13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13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13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13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13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13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13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13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13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13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13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13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13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13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13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13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13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13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13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13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13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13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13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13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13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13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13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13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13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13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13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13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13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13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13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13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13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13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13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13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13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13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13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13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13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13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13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13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13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13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13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13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13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13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13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13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13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13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13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13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13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13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13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13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13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13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13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13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13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13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13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13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13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13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13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13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13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13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13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13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13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13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13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13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13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13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13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13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13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13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13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13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13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13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13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13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13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13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13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13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13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13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13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13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13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13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13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13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13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13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13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13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13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13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13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13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13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13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13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13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13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13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13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13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13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13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13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13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13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13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13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13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13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13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13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13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13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13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13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13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13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13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13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13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13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13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13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13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13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13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13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13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13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13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13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13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13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13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13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13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13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13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13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13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13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13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13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13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13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13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13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13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13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13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13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13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13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13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13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13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13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13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13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13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13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13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13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13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13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13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13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13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13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13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13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13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13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13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13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13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13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13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13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13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13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13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13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13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13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13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13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13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13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13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13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13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13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13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13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13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13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13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13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13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13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13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13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13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13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13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13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13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13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13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13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13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13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13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13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13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13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13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13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13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13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13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13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13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13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13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13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13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13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13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13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13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13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13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13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13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13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13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13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13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13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13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13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13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13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13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13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13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13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13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13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13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13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13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13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13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13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13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13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13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13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13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13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13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13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13" t="n">
        <v>44470</v>
      </c>
      <c r="B1235" t="n">
        <v/>
      </c>
      <c r="C1235" t="n">
        <v/>
      </c>
      <c r="D1235" t="n">
        <v/>
      </c>
      <c r="E1235" t="n">
        <v>130.989084243</v>
      </c>
      <c r="F1235" t="n">
        <v/>
      </c>
      <c r="G1235" t="n">
        <v/>
      </c>
      <c r="H1235" t="n">
        <v/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/>
      </c>
      <c r="P1235" t="n">
        <v>120.110009167</v>
      </c>
      <c r="Q1235" t="n">
        <v/>
      </c>
      <c r="R1235" t="n">
        <v/>
      </c>
      <c r="S1235" t="n">
        <v>98.54000000000001</v>
      </c>
      <c r="T1235" t="n">
        <v/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/>
      </c>
      <c r="Z1235" t="n">
        <v/>
      </c>
      <c r="AA1235" t="n">
        <v/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/>
      </c>
      <c r="AL1235" t="n">
        <v>139.3</v>
      </c>
      <c r="AM1235" t="n">
        <v/>
      </c>
      <c r="AN1235" t="n">
        <v/>
      </c>
      <c r="AO1235" t="n">
        <v>111.52788197</v>
      </c>
      <c r="AP1235" t="n">
        <v/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13" t="n">
        <v>44501</v>
      </c>
      <c r="B1236" t="n">
        <v/>
      </c>
      <c r="C1236" t="n">
        <v/>
      </c>
      <c r="D1236" t="n">
        <v/>
      </c>
      <c r="E1236" t="n">
        <v/>
      </c>
      <c r="F1236" t="n">
        <v/>
      </c>
      <c r="G1236" t="n">
        <v/>
      </c>
      <c r="H1236" t="n">
        <v/>
      </c>
      <c r="I1236" t="n">
        <v/>
      </c>
      <c r="J1236" t="n">
        <v/>
      </c>
      <c r="K1236" t="n">
        <v/>
      </c>
      <c r="L1236" t="n">
        <v/>
      </c>
      <c r="M1236" t="n">
        <v/>
      </c>
      <c r="N1236" t="n">
        <v/>
      </c>
      <c r="O1236" t="n">
        <v/>
      </c>
      <c r="P1236" t="n">
        <v/>
      </c>
      <c r="Q1236" t="n">
        <v/>
      </c>
      <c r="R1236" t="n">
        <v/>
      </c>
      <c r="S1236" t="n">
        <v/>
      </c>
      <c r="T1236" t="n">
        <v/>
      </c>
      <c r="U1236" t="n">
        <v/>
      </c>
      <c r="V1236" t="n">
        <v/>
      </c>
      <c r="W1236" t="n">
        <v/>
      </c>
      <c r="X1236" t="n">
        <v/>
      </c>
      <c r="Y1236" t="n">
        <v/>
      </c>
      <c r="Z1236" t="n">
        <v/>
      </c>
      <c r="AA1236" t="n">
        <v/>
      </c>
      <c r="AB1236" t="n">
        <v/>
      </c>
      <c r="AC1236" t="n">
        <v/>
      </c>
      <c r="AD1236" t="n">
        <v/>
      </c>
      <c r="AE1236" t="n">
        <v/>
      </c>
      <c r="AF1236" t="n">
        <v/>
      </c>
      <c r="AG1236" t="n">
        <v/>
      </c>
      <c r="AH1236" t="n">
        <v/>
      </c>
      <c r="AI1236" t="n">
        <v/>
      </c>
      <c r="AJ1236" t="n">
        <v/>
      </c>
      <c r="AK1236" t="n">
        <v/>
      </c>
      <c r="AL1236" t="n">
        <v/>
      </c>
      <c r="AM1236" t="n">
        <v/>
      </c>
      <c r="AN1236" t="n">
        <v/>
      </c>
      <c r="AO1236" t="n">
        <v/>
      </c>
      <c r="AP1236" t="n">
        <v/>
      </c>
      <c r="AQ1236" t="n">
        <v/>
      </c>
      <c r="AR1236" t="n">
        <v/>
      </c>
      <c r="AS1236" t="n">
        <v>101.383838535</v>
      </c>
      <c r="AT1236" t="n">
        <v/>
      </c>
    </row>
    <row r="1237">
      <c r="A1237" s="113" t="n">
        <v>44531</v>
      </c>
      <c r="B1237" t="n">
        <v/>
      </c>
      <c r="C1237" t="n">
        <v/>
      </c>
      <c r="D1237" t="n">
        <v/>
      </c>
      <c r="E1237" t="n">
        <v/>
      </c>
      <c r="F1237" t="n">
        <v/>
      </c>
      <c r="G1237" t="n">
        <v/>
      </c>
      <c r="H1237" t="n">
        <v/>
      </c>
      <c r="I1237" t="n">
        <v/>
      </c>
      <c r="J1237" t="n">
        <v/>
      </c>
      <c r="K1237" t="n">
        <v/>
      </c>
      <c r="L1237" t="n">
        <v/>
      </c>
      <c r="M1237" t="n">
        <v/>
      </c>
      <c r="N1237" t="n">
        <v/>
      </c>
      <c r="O1237" t="n">
        <v/>
      </c>
      <c r="P1237" t="n">
        <v/>
      </c>
      <c r="Q1237" t="n">
        <v/>
      </c>
      <c r="R1237" t="n">
        <v/>
      </c>
      <c r="S1237" t="n">
        <v/>
      </c>
      <c r="T1237" t="n">
        <v/>
      </c>
      <c r="U1237" t="n">
        <v/>
      </c>
      <c r="V1237" t="n">
        <v/>
      </c>
      <c r="W1237" t="n">
        <v/>
      </c>
      <c r="X1237" t="n">
        <v/>
      </c>
      <c r="Y1237" t="n">
        <v/>
      </c>
      <c r="Z1237" t="n">
        <v/>
      </c>
      <c r="AA1237" t="n">
        <v/>
      </c>
      <c r="AB1237" t="n">
        <v/>
      </c>
      <c r="AC1237" t="n">
        <v/>
      </c>
      <c r="AD1237" t="n">
        <v/>
      </c>
      <c r="AE1237" t="n">
        <v/>
      </c>
      <c r="AF1237" t="n">
        <v/>
      </c>
      <c r="AG1237" t="n">
        <v/>
      </c>
      <c r="AH1237" t="n">
        <v/>
      </c>
      <c r="AI1237" t="n">
        <v/>
      </c>
      <c r="AJ1237" t="n">
        <v/>
      </c>
      <c r="AK1237" t="n">
        <v/>
      </c>
      <c r="AL1237" t="n">
        <v/>
      </c>
      <c r="AM1237" t="n">
        <v/>
      </c>
      <c r="AN1237" t="n">
        <v/>
      </c>
      <c r="AO1237" t="n">
        <v/>
      </c>
      <c r="AP1237" t="n">
        <v/>
      </c>
      <c r="AQ1237" t="n">
        <v/>
      </c>
      <c r="AR1237" t="n">
        <v/>
      </c>
      <c r="AS1237" t="n">
        <v/>
      </c>
      <c r="AT1237" t="n">
        <v/>
      </c>
    </row>
    <row r="1238">
      <c r="A1238" s="113" t="n">
        <v>44562</v>
      </c>
      <c r="B1238" t="n">
        <v/>
      </c>
      <c r="C1238" t="n">
        <v/>
      </c>
      <c r="D1238" t="n">
        <v/>
      </c>
      <c r="E1238" t="n">
        <v/>
      </c>
      <c r="F1238" t="n">
        <v/>
      </c>
      <c r="G1238" t="n">
        <v/>
      </c>
      <c r="H1238" t="n">
        <v/>
      </c>
      <c r="I1238" t="n">
        <v/>
      </c>
      <c r="J1238" t="n">
        <v/>
      </c>
      <c r="K1238" t="n">
        <v/>
      </c>
      <c r="L1238" t="n">
        <v/>
      </c>
      <c r="M1238" t="n">
        <v/>
      </c>
      <c r="N1238" t="n">
        <v/>
      </c>
      <c r="O1238" t="n">
        <v/>
      </c>
      <c r="P1238" t="n">
        <v/>
      </c>
      <c r="Q1238" t="n">
        <v/>
      </c>
      <c r="R1238" t="n">
        <v/>
      </c>
      <c r="S1238" t="n">
        <v/>
      </c>
      <c r="T1238" t="n">
        <v/>
      </c>
      <c r="U1238" t="n">
        <v/>
      </c>
      <c r="V1238" t="n">
        <v/>
      </c>
      <c r="W1238" t="n">
        <v/>
      </c>
      <c r="X1238" t="n">
        <v/>
      </c>
      <c r="Y1238" t="n">
        <v/>
      </c>
      <c r="Z1238" t="n">
        <v/>
      </c>
      <c r="AA1238" t="n">
        <v/>
      </c>
      <c r="AB1238" t="n">
        <v/>
      </c>
      <c r="AC1238" t="n">
        <v/>
      </c>
      <c r="AD1238" t="n">
        <v/>
      </c>
      <c r="AE1238" t="n">
        <v/>
      </c>
      <c r="AF1238" t="n">
        <v/>
      </c>
      <c r="AG1238" t="n">
        <v/>
      </c>
      <c r="AH1238" t="n">
        <v/>
      </c>
      <c r="AI1238" t="n">
        <v/>
      </c>
      <c r="AJ1238" t="n">
        <v/>
      </c>
      <c r="AK1238" t="n">
        <v/>
      </c>
      <c r="AL1238" t="n">
        <v/>
      </c>
      <c r="AM1238" t="n">
        <v/>
      </c>
      <c r="AN1238" t="n">
        <v/>
      </c>
      <c r="AO1238" t="n">
        <v/>
      </c>
      <c r="AP1238" t="n">
        <v/>
      </c>
      <c r="AQ1238" t="n">
        <v/>
      </c>
      <c r="AR1238" t="n">
        <v/>
      </c>
      <c r="AS1238" t="n">
        <v/>
      </c>
      <c r="AT1238" t="n"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D19"/>
  <sheetViews>
    <sheetView zoomScale="190" zoomScaleNormal="190" workbookViewId="0">
      <selection activeCell="G26" sqref="G26"/>
    </sheetView>
  </sheetViews>
  <sheetFormatPr baseColWidth="10" defaultRowHeight="15"/>
  <sheetData>
    <row r="1">
      <c r="A1" t="inlineStr">
        <is>
          <t>Code</t>
        </is>
      </c>
      <c r="B1" t="inlineStr">
        <is>
          <t>Country</t>
        </is>
      </c>
      <c r="C1" t="inlineStr">
        <is>
          <t>GDP</t>
        </is>
      </c>
      <c r="D1" t="inlineStr">
        <is>
          <t>Investment_Percentage</t>
        </is>
      </c>
    </row>
    <row r="2">
      <c r="A2" t="inlineStr">
        <is>
          <t>USA</t>
        </is>
      </c>
      <c r="B2" t="inlineStr">
        <is>
          <t>United States</t>
        </is>
      </c>
      <c r="C2" t="n">
        <v>20937</v>
      </c>
      <c r="D2" t="n">
        <v>21.1516738070808</v>
      </c>
    </row>
    <row r="3">
      <c r="A3" t="inlineStr">
        <is>
          <t>CHN</t>
        </is>
      </c>
      <c r="B3" t="inlineStr">
        <is>
          <t>China</t>
        </is>
      </c>
      <c r="C3" t="n">
        <v>14723</v>
      </c>
      <c r="D3" t="n">
        <v>43.5439575852507</v>
      </c>
    </row>
    <row r="4">
      <c r="A4" t="inlineStr">
        <is>
          <t>JPN</t>
        </is>
      </c>
      <c r="B4" t="inlineStr">
        <is>
          <t>Japan</t>
        </is>
      </c>
      <c r="C4" t="n">
        <v>4975</v>
      </c>
      <c r="D4" t="n">
        <v>25.5064392440487</v>
      </c>
    </row>
    <row r="5">
      <c r="A5" t="inlineStr">
        <is>
          <t>DEU</t>
        </is>
      </c>
      <c r="B5" t="inlineStr">
        <is>
          <t>Germany</t>
        </is>
      </c>
      <c r="C5" t="n">
        <v>3846</v>
      </c>
      <c r="D5" t="n">
        <v>21.1490218437088</v>
      </c>
    </row>
    <row r="6">
      <c r="A6" t="inlineStr">
        <is>
          <t>GBR</t>
        </is>
      </c>
      <c r="B6" t="inlineStr">
        <is>
          <t>United Kingdom</t>
        </is>
      </c>
      <c r="C6" t="n">
        <v>2708</v>
      </c>
      <c r="D6" t="n">
        <v>16.741455414543</v>
      </c>
    </row>
    <row r="7">
      <c r="A7" t="inlineStr">
        <is>
          <t>FRA</t>
        </is>
      </c>
      <c r="B7" t="inlineStr">
        <is>
          <t>France</t>
        </is>
      </c>
      <c r="C7" t="n">
        <v>2630</v>
      </c>
      <c r="D7" t="n">
        <v>23.8118687197659</v>
      </c>
    </row>
    <row r="8">
      <c r="A8" t="inlineStr">
        <is>
          <t>IND</t>
        </is>
      </c>
      <c r="B8" t="inlineStr">
        <is>
          <t>India</t>
        </is>
      </c>
      <c r="C8" t="n">
        <v>2623</v>
      </c>
      <c r="D8" t="n">
        <v>29.2776504852473</v>
      </c>
    </row>
    <row r="9">
      <c r="A9" t="inlineStr">
        <is>
          <t>ITA</t>
        </is>
      </c>
      <c r="B9" t="inlineStr">
        <is>
          <t>Italy</t>
        </is>
      </c>
      <c r="C9" t="n">
        <v>1886</v>
      </c>
      <c r="D9" t="n">
        <v>17.5841623844354</v>
      </c>
    </row>
    <row r="10">
      <c r="A10" t="inlineStr">
        <is>
          <t>CAN</t>
        </is>
      </c>
      <c r="B10" t="inlineStr">
        <is>
          <t>Canada</t>
        </is>
      </c>
      <c r="C10" t="n">
        <v>1644</v>
      </c>
      <c r="D10" t="n">
        <v>22.078003360689</v>
      </c>
    </row>
    <row r="11">
      <c r="A11" t="inlineStr">
        <is>
          <t>KOR</t>
        </is>
      </c>
      <c r="B11" t="inlineStr">
        <is>
          <t>South Korea</t>
        </is>
      </c>
      <c r="C11" t="n">
        <v>1631</v>
      </c>
      <c r="D11" t="n">
        <v>31.861011061518</v>
      </c>
    </row>
    <row r="12">
      <c r="A12" t="inlineStr">
        <is>
          <t>RUS</t>
        </is>
      </c>
      <c r="B12" t="inlineStr">
        <is>
          <t>Russia</t>
        </is>
      </c>
      <c r="C12" t="n">
        <v>1484</v>
      </c>
      <c r="D12" t="n">
        <v>23.9879493606627</v>
      </c>
    </row>
    <row r="13">
      <c r="A13" t="inlineStr">
        <is>
          <t>BRA</t>
        </is>
      </c>
      <c r="B13" t="inlineStr">
        <is>
          <t>Brazil</t>
        </is>
      </c>
      <c r="C13" t="n">
        <v>1445</v>
      </c>
      <c r="D13" t="n">
        <v>15.4048651869991</v>
      </c>
    </row>
    <row r="14">
      <c r="A14" t="inlineStr">
        <is>
          <t>AUS</t>
        </is>
      </c>
      <c r="B14" t="inlineStr">
        <is>
          <t>Australia</t>
        </is>
      </c>
      <c r="C14" t="n">
        <v>1331</v>
      </c>
      <c r="D14" t="n">
        <v>22.2689470161031</v>
      </c>
    </row>
    <row r="15">
      <c r="A15" t="inlineStr">
        <is>
          <t>ESP</t>
        </is>
      </c>
      <c r="B15" t="inlineStr">
        <is>
          <t>Spain</t>
        </is>
      </c>
      <c r="C15" t="n">
        <v>1281</v>
      </c>
      <c r="D15" t="n">
        <v>20.6911550267927</v>
      </c>
    </row>
    <row r="16">
      <c r="A16" t="inlineStr">
        <is>
          <t>MEX</t>
        </is>
      </c>
      <c r="B16" t="inlineStr">
        <is>
          <t>Mexico</t>
        </is>
      </c>
      <c r="C16" t="n">
        <v>1076</v>
      </c>
      <c r="D16" t="n">
        <v>19.3065996427008</v>
      </c>
    </row>
    <row r="17">
      <c r="A17" t="inlineStr">
        <is>
          <t>IDN</t>
        </is>
      </c>
      <c r="B17" t="inlineStr">
        <is>
          <t>Indonesia</t>
        </is>
      </c>
      <c r="C17" t="n">
        <v>1058</v>
      </c>
      <c r="D17" t="n">
        <v>32.3674628282469</v>
      </c>
    </row>
    <row r="18">
      <c r="A18" t="inlineStr">
        <is>
          <t>NLD</t>
        </is>
      </c>
      <c r="B18" t="inlineStr">
        <is>
          <t>Netherlands</t>
        </is>
      </c>
      <c r="C18" t="n">
        <v>914</v>
      </c>
      <c r="D18" t="n">
        <v>21.742168117536</v>
      </c>
    </row>
    <row r="19">
      <c r="A19" t="inlineStr">
        <is>
          <t>CEB</t>
        </is>
      </c>
      <c r="B19" t="inlineStr">
        <is>
          <t>Euro Area</t>
        </is>
      </c>
      <c r="C19" t="n">
        <v>13011</v>
      </c>
      <c r="D19" t="n">
        <v>21.2522841069834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AL358"/>
  <sheetViews>
    <sheetView tabSelected="1" workbookViewId="0">
      <selection activeCell="AW1" sqref="AW1"/>
    </sheetView>
  </sheetViews>
  <sheetFormatPr baseColWidth="10" defaultRowHeight="15"/>
  <cols>
    <col width="20.1640625" customWidth="1" style="82" min="1" max="1"/>
  </cols>
  <sheetData>
    <row r="1">
      <c r="A1" t="inlineStr">
        <is>
          <t>Date</t>
        </is>
      </c>
      <c r="B1" t="inlineStr">
        <is>
          <t>YoY</t>
        </is>
      </c>
      <c r="C1" t="inlineStr">
        <is>
          <t>HSBC China PMI</t>
        </is>
      </c>
      <c r="D1" t="inlineStr">
        <is>
          <t>Unnamed: 3</t>
        </is>
      </c>
      <c r="E1" t="inlineStr">
        <is>
          <t>Unnamed: 4</t>
        </is>
      </c>
      <c r="F1" t="inlineStr">
        <is>
          <t>Unnamed: 5</t>
        </is>
      </c>
      <c r="G1" t="inlineStr">
        <is>
          <t>Unnamed: 6</t>
        </is>
      </c>
      <c r="H1" t="inlineStr">
        <is>
          <t>Unnamed: 7</t>
        </is>
      </c>
      <c r="I1" t="inlineStr">
        <is>
          <t>Unnamed: 8</t>
        </is>
      </c>
      <c r="J1" t="inlineStr">
        <is>
          <t>Unnamed: 9</t>
        </is>
      </c>
      <c r="K1" t="inlineStr">
        <is>
          <t>Unnamed: 10</t>
        </is>
      </c>
      <c r="L1" t="inlineStr">
        <is>
          <t>Unnamed: 11</t>
        </is>
      </c>
      <c r="M1" t="inlineStr">
        <is>
          <t>Unnamed: 12</t>
        </is>
      </c>
      <c r="N1" t="inlineStr">
        <is>
          <t>Unnamed: 13</t>
        </is>
      </c>
      <c r="O1" t="inlineStr">
        <is>
          <t>Unnamed: 14</t>
        </is>
      </c>
      <c r="P1" t="inlineStr">
        <is>
          <t>Unnamed: 15</t>
        </is>
      </c>
      <c r="Q1" t="inlineStr">
        <is>
          <t>Unnamed: 16</t>
        </is>
      </c>
      <c r="R1" t="inlineStr">
        <is>
          <t>Unnamed: 17</t>
        </is>
      </c>
      <c r="S1" t="inlineStr">
        <is>
          <t>Unnamed: 18</t>
        </is>
      </c>
      <c r="T1" t="inlineStr">
        <is>
          <t>Unnamed: 19</t>
        </is>
      </c>
      <c r="U1" t="inlineStr">
        <is>
          <t>Unnamed: 20</t>
        </is>
      </c>
      <c r="V1" t="inlineStr">
        <is>
          <t>Unnamed: 21</t>
        </is>
      </c>
      <c r="W1" t="inlineStr">
        <is>
          <t>Unnamed: 22</t>
        </is>
      </c>
      <c r="X1" t="inlineStr">
        <is>
          <t>Unnamed: 23</t>
        </is>
      </c>
      <c r="Y1" t="inlineStr">
        <is>
          <t>Unnamed: 24</t>
        </is>
      </c>
      <c r="Z1" t="inlineStr">
        <is>
          <t>Unnamed: 25</t>
        </is>
      </c>
      <c r="AA1" t="inlineStr">
        <is>
          <t>Unnamed: 26</t>
        </is>
      </c>
      <c r="AB1" t="inlineStr">
        <is>
          <t>Unnamed: 27</t>
        </is>
      </c>
      <c r="AC1" t="inlineStr">
        <is>
          <t>Unnamed: 28</t>
        </is>
      </c>
      <c r="AD1" t="inlineStr">
        <is>
          <t>Unnamed: 29</t>
        </is>
      </c>
      <c r="AE1" t="inlineStr">
        <is>
          <t>Unnamed: 30</t>
        </is>
      </c>
      <c r="AF1" t="inlineStr">
        <is>
          <t>Unnamed: 31</t>
        </is>
      </c>
      <c r="AG1" t="inlineStr">
        <is>
          <t>Unnamed: 32</t>
        </is>
      </c>
      <c r="AH1" t="inlineStr">
        <is>
          <t>Unnamed: 33</t>
        </is>
      </c>
      <c r="AI1" t="inlineStr">
        <is>
          <t>Unnamed: 34</t>
        </is>
      </c>
      <c r="AJ1" t="inlineStr">
        <is>
          <t>Unnamed: 35</t>
        </is>
      </c>
      <c r="AK1" t="inlineStr">
        <is>
          <t>EU27_2020</t>
        </is>
      </c>
      <c r="AL1" t="inlineStr">
        <is>
          <t>G-7</t>
        </is>
      </c>
    </row>
    <row r="2">
      <c r="A2" s="113" t="n">
        <v>32932</v>
      </c>
      <c r="B2" t="n">
        <v>0.05</v>
      </c>
    </row>
    <row r="3">
      <c r="A3" s="113" t="n">
        <v>32963</v>
      </c>
      <c r="B3" t="n">
        <v>0.008</v>
      </c>
    </row>
    <row r="4">
      <c r="A4" s="113" t="n">
        <v>32993</v>
      </c>
      <c r="B4" t="n">
        <v>0.017</v>
      </c>
    </row>
    <row r="5">
      <c r="A5" s="113" t="n">
        <v>33024</v>
      </c>
      <c r="B5" t="n">
        <v>0.033</v>
      </c>
    </row>
    <row r="6">
      <c r="A6" s="113" t="n">
        <v>33054</v>
      </c>
      <c r="B6" t="n">
        <v>0.05</v>
      </c>
    </row>
    <row r="7">
      <c r="A7" s="113" t="n">
        <v>33085</v>
      </c>
      <c r="B7" t="n">
        <v>0.025</v>
      </c>
    </row>
    <row r="8">
      <c r="A8" s="113" t="n">
        <v>33116</v>
      </c>
      <c r="B8" t="n">
        <v>0.042</v>
      </c>
    </row>
    <row r="9">
      <c r="A9" s="113" t="n">
        <v>33146</v>
      </c>
      <c r="B9" t="n">
        <v>0.067</v>
      </c>
    </row>
    <row r="10">
      <c r="A10" s="113" t="n">
        <v>33177</v>
      </c>
      <c r="B10" t="n">
        <v>0.109</v>
      </c>
    </row>
    <row r="11">
      <c r="A11" s="113" t="n">
        <v>33207</v>
      </c>
      <c r="B11" t="n">
        <v>0.126</v>
      </c>
    </row>
    <row r="12">
      <c r="A12" s="113" t="n">
        <v>33238</v>
      </c>
      <c r="B12" t="n">
        <v>0.126</v>
      </c>
    </row>
    <row r="13">
      <c r="A13" s="113" t="n">
        <v>33269</v>
      </c>
      <c r="B13" t="n">
        <v>0.235</v>
      </c>
    </row>
    <row r="14">
      <c r="A14" s="113" t="n">
        <v>33297</v>
      </c>
      <c r="B14" t="n">
        <v>0.092</v>
      </c>
    </row>
    <row r="15">
      <c r="A15" s="113" t="n">
        <v>33328</v>
      </c>
      <c r="B15" t="n">
        <v>0.109</v>
      </c>
    </row>
    <row r="16">
      <c r="A16" s="113" t="n">
        <v>33358</v>
      </c>
      <c r="B16" t="n">
        <v>0.109</v>
      </c>
    </row>
    <row r="17">
      <c r="A17" s="113" t="n">
        <v>33389</v>
      </c>
      <c r="B17" t="n">
        <v>0.109</v>
      </c>
    </row>
    <row r="18">
      <c r="A18" s="113" t="n">
        <v>33419</v>
      </c>
      <c r="B18" t="n">
        <v>0.092</v>
      </c>
    </row>
    <row r="19">
      <c r="A19" s="113" t="n">
        <v>33450</v>
      </c>
      <c r="B19" t="n">
        <v>0.109</v>
      </c>
    </row>
    <row r="20">
      <c r="A20" s="113" t="n">
        <v>33481</v>
      </c>
      <c r="B20" t="n">
        <v>0.118</v>
      </c>
    </row>
    <row r="21">
      <c r="A21" s="113" t="n">
        <v>33511</v>
      </c>
      <c r="B21" t="n">
        <v>0.126</v>
      </c>
    </row>
    <row r="22">
      <c r="A22" s="113" t="n">
        <v>33542</v>
      </c>
      <c r="B22" t="n">
        <v>0.118</v>
      </c>
    </row>
    <row r="23">
      <c r="A23" s="113" t="n">
        <v>33572</v>
      </c>
      <c r="B23" t="n">
        <v>0.076</v>
      </c>
    </row>
    <row r="24">
      <c r="A24" s="113" t="n">
        <v>33603</v>
      </c>
      <c r="B24" t="n">
        <v>0.05</v>
      </c>
    </row>
    <row r="25">
      <c r="A25" s="113" t="n">
        <v>33634</v>
      </c>
      <c r="B25" t="n">
        <v>0.109</v>
      </c>
    </row>
    <row r="26">
      <c r="A26" s="113" t="n">
        <v>33663</v>
      </c>
      <c r="B26" t="n">
        <v>0.185</v>
      </c>
    </row>
    <row r="27">
      <c r="A27" s="113" t="n">
        <v>33694</v>
      </c>
      <c r="B27" t="n">
        <v>0.168</v>
      </c>
    </row>
    <row r="28">
      <c r="A28" s="113" t="n">
        <v>33724</v>
      </c>
      <c r="B28" t="n">
        <v>0.151</v>
      </c>
    </row>
    <row r="29">
      <c r="A29" s="113" t="n">
        <v>33755</v>
      </c>
      <c r="B29" t="n">
        <v>0.143</v>
      </c>
    </row>
    <row r="30">
      <c r="A30" s="113" t="n">
        <v>33785</v>
      </c>
      <c r="B30" t="n">
        <v>0.168</v>
      </c>
    </row>
    <row r="31">
      <c r="A31" s="113" t="n">
        <v>33816</v>
      </c>
      <c r="B31" t="n">
        <v>0.193</v>
      </c>
    </row>
    <row r="32">
      <c r="A32" s="113" t="n">
        <v>33847</v>
      </c>
      <c r="B32" t="n">
        <v>0.176</v>
      </c>
    </row>
    <row r="33">
      <c r="A33" s="113" t="n">
        <v>33877</v>
      </c>
      <c r="B33" t="n">
        <v>0.176</v>
      </c>
    </row>
    <row r="34">
      <c r="A34" s="113" t="n">
        <v>33908</v>
      </c>
      <c r="B34" t="n">
        <v>0.185</v>
      </c>
    </row>
    <row r="35">
      <c r="A35" s="113" t="n">
        <v>33938</v>
      </c>
      <c r="B35" t="n">
        <v>0.218</v>
      </c>
    </row>
    <row r="36">
      <c r="A36" s="113" t="n">
        <v>33969</v>
      </c>
      <c r="B36" t="n">
        <v>0.269</v>
      </c>
    </row>
    <row r="37">
      <c r="A37" s="113" t="n">
        <v>34000</v>
      </c>
      <c r="B37" t="n">
        <v>0.08400000000000001</v>
      </c>
    </row>
    <row r="38">
      <c r="A38" s="113" t="n">
        <v>34028</v>
      </c>
      <c r="B38" t="n">
        <v>0.277</v>
      </c>
    </row>
    <row r="39">
      <c r="A39" s="113" t="n">
        <v>34059</v>
      </c>
      <c r="B39" t="n">
        <v>0.218</v>
      </c>
    </row>
    <row r="40">
      <c r="A40" s="113" t="n">
        <v>34089</v>
      </c>
      <c r="B40" t="n">
        <v>0.21</v>
      </c>
    </row>
    <row r="41">
      <c r="A41" s="113" t="n">
        <v>34120</v>
      </c>
      <c r="B41" t="n">
        <v>0.227</v>
      </c>
    </row>
    <row r="42">
      <c r="A42" s="113" t="n">
        <v>34150</v>
      </c>
      <c r="B42" t="n">
        <v>0.252</v>
      </c>
    </row>
    <row r="43">
      <c r="A43" s="113" t="n">
        <v>34181</v>
      </c>
      <c r="B43" t="n">
        <v>0.21</v>
      </c>
    </row>
    <row r="44">
      <c r="A44" s="113" t="n">
        <v>34212</v>
      </c>
      <c r="B44" t="n">
        <v>0.193</v>
      </c>
    </row>
    <row r="45">
      <c r="A45" s="113" t="n">
        <v>34242</v>
      </c>
      <c r="B45" t="n">
        <v>0.16</v>
      </c>
    </row>
    <row r="46">
      <c r="A46" s="113" t="n">
        <v>34273</v>
      </c>
      <c r="B46" t="n">
        <v>0.134</v>
      </c>
    </row>
    <row r="47">
      <c r="A47" s="113" t="n">
        <v>34303</v>
      </c>
      <c r="B47" t="n">
        <v>0.16</v>
      </c>
    </row>
    <row r="48">
      <c r="A48" s="113" t="n">
        <v>34334</v>
      </c>
      <c r="B48" t="n">
        <v>0.252</v>
      </c>
    </row>
    <row r="49">
      <c r="A49" s="113" t="n">
        <v>34365</v>
      </c>
      <c r="B49" t="n">
        <v>0.277</v>
      </c>
    </row>
    <row r="50">
      <c r="A50" s="113" t="n">
        <v>34393</v>
      </c>
      <c r="B50" t="n">
        <v>0.034</v>
      </c>
    </row>
    <row r="51">
      <c r="A51" s="113" t="n">
        <v>34424</v>
      </c>
      <c r="B51" t="n">
        <v>0.16</v>
      </c>
    </row>
    <row r="52">
      <c r="A52" s="113" t="n">
        <v>34454</v>
      </c>
      <c r="B52" t="n">
        <v>0.168</v>
      </c>
    </row>
    <row r="53">
      <c r="A53" s="113" t="n">
        <v>34485</v>
      </c>
      <c r="B53" t="n">
        <v>0.176</v>
      </c>
    </row>
    <row r="54">
      <c r="A54" s="113" t="n">
        <v>34515</v>
      </c>
      <c r="B54" t="n">
        <v>0.151</v>
      </c>
    </row>
    <row r="55">
      <c r="A55" s="113" t="n">
        <v>34546</v>
      </c>
      <c r="B55" t="n">
        <v>0.151</v>
      </c>
    </row>
    <row r="56">
      <c r="A56" s="113" t="n">
        <v>34577</v>
      </c>
      <c r="B56" t="n">
        <v>0.294</v>
      </c>
    </row>
    <row r="57">
      <c r="A57" s="113" t="n">
        <v>34607</v>
      </c>
      <c r="B57" t="n">
        <v>0.218</v>
      </c>
    </row>
    <row r="58">
      <c r="A58" s="113" t="n">
        <v>34638</v>
      </c>
      <c r="B58" t="n">
        <v>0.244</v>
      </c>
    </row>
    <row r="59">
      <c r="A59" s="113" t="n">
        <v>34668</v>
      </c>
      <c r="B59" t="n">
        <v>0.235</v>
      </c>
    </row>
    <row r="60">
      <c r="A60" s="113" t="n">
        <v>34699</v>
      </c>
      <c r="B60" t="n">
        <v>0.185</v>
      </c>
    </row>
    <row r="61">
      <c r="A61" s="113" t="n">
        <v>34730</v>
      </c>
      <c r="B61" t="n">
        <v>0.114</v>
      </c>
    </row>
    <row r="62">
      <c r="A62" s="113" t="n">
        <v>34758</v>
      </c>
      <c r="B62" t="n">
        <v>0.155</v>
      </c>
    </row>
    <row r="63">
      <c r="A63" s="113" t="n">
        <v>34789</v>
      </c>
      <c r="B63" t="n">
        <v>0.164</v>
      </c>
    </row>
    <row r="64">
      <c r="A64" s="113" t="n">
        <v>34819</v>
      </c>
      <c r="B64" t="n">
        <v>0.154</v>
      </c>
    </row>
    <row r="65">
      <c r="A65" s="113" t="n">
        <v>34850</v>
      </c>
      <c r="B65" t="n">
        <v>0.131</v>
      </c>
    </row>
    <row r="66">
      <c r="A66" s="113" t="n">
        <v>34880</v>
      </c>
      <c r="B66" t="n">
        <v>0.139</v>
      </c>
    </row>
    <row r="67">
      <c r="A67" s="113" t="n">
        <v>34911</v>
      </c>
      <c r="B67" t="n">
        <v>0.136</v>
      </c>
    </row>
    <row r="68">
      <c r="A68" s="113" t="n">
        <v>34942</v>
      </c>
      <c r="B68" t="n">
        <v>0.118</v>
      </c>
    </row>
    <row r="69">
      <c r="A69" s="113" t="n">
        <v>34972</v>
      </c>
      <c r="B69" t="n">
        <v>0.114</v>
      </c>
    </row>
    <row r="70">
      <c r="A70" s="113" t="n">
        <v>35003</v>
      </c>
      <c r="B70" t="n">
        <v>0.129</v>
      </c>
    </row>
    <row r="71">
      <c r="A71" s="113" t="n">
        <v>35033</v>
      </c>
      <c r="B71" t="n">
        <v>0.121</v>
      </c>
    </row>
    <row r="72">
      <c r="A72" s="113" t="n">
        <v>35064</v>
      </c>
      <c r="B72" t="n">
        <v>0.149</v>
      </c>
    </row>
    <row r="73">
      <c r="A73" s="113" t="n">
        <v>35095</v>
      </c>
      <c r="B73" t="n">
        <v>0.169</v>
      </c>
    </row>
    <row r="74">
      <c r="A74" s="113" t="n">
        <v>35124</v>
      </c>
      <c r="B74" t="n">
        <v>0.122</v>
      </c>
    </row>
    <row r="75">
      <c r="A75" s="113" t="n">
        <v>35155</v>
      </c>
      <c r="B75" t="n">
        <v>0.122</v>
      </c>
    </row>
    <row r="76">
      <c r="A76" s="113" t="n">
        <v>35185</v>
      </c>
      <c r="B76" t="n">
        <v>0.137</v>
      </c>
    </row>
    <row r="77">
      <c r="A77" s="113" t="n">
        <v>35216</v>
      </c>
      <c r="B77" t="n">
        <v>0.131</v>
      </c>
    </row>
    <row r="78">
      <c r="A78" s="113" t="n">
        <v>35246</v>
      </c>
      <c r="B78" t="n">
        <v>0.138</v>
      </c>
    </row>
    <row r="79">
      <c r="A79" s="113" t="n">
        <v>35277</v>
      </c>
      <c r="B79" t="n">
        <v>0.122</v>
      </c>
    </row>
    <row r="80">
      <c r="A80" s="113" t="n">
        <v>35308</v>
      </c>
      <c r="B80" t="n">
        <v>0.106</v>
      </c>
    </row>
    <row r="81">
      <c r="A81" s="113" t="n">
        <v>35338</v>
      </c>
      <c r="B81" t="n">
        <v>0.137</v>
      </c>
    </row>
    <row r="82">
      <c r="A82" s="113" t="n">
        <v>35369</v>
      </c>
      <c r="B82" t="n">
        <v>0.133</v>
      </c>
    </row>
    <row r="83">
      <c r="A83" s="113" t="n">
        <v>35399</v>
      </c>
      <c r="B83" t="n">
        <v>0.134</v>
      </c>
    </row>
    <row r="84">
      <c r="A84" s="113" t="n">
        <v>35430</v>
      </c>
      <c r="B84" t="n">
        <v>0.14</v>
      </c>
    </row>
    <row r="85">
      <c r="A85" s="113" t="n">
        <v>35461</v>
      </c>
      <c r="B85" t="n">
        <v>0.103</v>
      </c>
    </row>
    <row r="86">
      <c r="A86" s="113" t="n">
        <v>35489</v>
      </c>
      <c r="B86" t="n">
        <v>0.104</v>
      </c>
    </row>
    <row r="87">
      <c r="A87" s="113" t="n">
        <v>35520</v>
      </c>
      <c r="B87" t="n">
        <v>0.135</v>
      </c>
    </row>
    <row r="88">
      <c r="A88" s="113" t="n">
        <v>35550</v>
      </c>
      <c r="B88" t="n">
        <v>0.119</v>
      </c>
    </row>
    <row r="89">
      <c r="A89" s="113" t="n">
        <v>35581</v>
      </c>
      <c r="B89" t="n">
        <v>0.119</v>
      </c>
    </row>
    <row r="90">
      <c r="A90" s="113" t="n">
        <v>35611</v>
      </c>
      <c r="B90" t="n">
        <v>0.121</v>
      </c>
    </row>
    <row r="91">
      <c r="A91" s="113" t="n">
        <v>35642</v>
      </c>
      <c r="B91" t="n">
        <v>0.08400000000000001</v>
      </c>
    </row>
    <row r="92">
      <c r="A92" s="113" t="n">
        <v>35673</v>
      </c>
      <c r="B92" t="n">
        <v>0.109</v>
      </c>
    </row>
    <row r="93">
      <c r="A93" s="113" t="n">
        <v>35703</v>
      </c>
      <c r="B93" t="n">
        <v>0.111</v>
      </c>
    </row>
    <row r="94">
      <c r="A94" s="113" t="n">
        <v>35734</v>
      </c>
      <c r="B94" t="n">
        <v>0.118</v>
      </c>
    </row>
    <row r="95">
      <c r="A95" s="113" t="n">
        <v>35764</v>
      </c>
      <c r="B95" t="n">
        <v>0.116</v>
      </c>
    </row>
    <row r="96">
      <c r="A96" s="113" t="n">
        <v>35795</v>
      </c>
      <c r="B96" t="n">
        <v>0.092</v>
      </c>
    </row>
    <row r="97">
      <c r="A97" s="113" t="n">
        <v>35826</v>
      </c>
      <c r="B97" t="n">
        <v>0.018</v>
      </c>
    </row>
    <row r="98">
      <c r="A98" s="113" t="n">
        <v>35854</v>
      </c>
      <c r="B98" t="n">
        <v>0.095</v>
      </c>
    </row>
    <row r="99">
      <c r="A99" s="113" t="n">
        <v>35885</v>
      </c>
      <c r="B99" t="n">
        <v>0.09</v>
      </c>
    </row>
    <row r="100">
      <c r="A100" s="113" t="n">
        <v>35915</v>
      </c>
      <c r="B100" t="n">
        <v>0.07199999999999999</v>
      </c>
    </row>
    <row r="101">
      <c r="A101" s="113" t="n">
        <v>35946</v>
      </c>
      <c r="B101" t="n">
        <v>0.08</v>
      </c>
    </row>
    <row r="102">
      <c r="A102" s="113" t="n">
        <v>35976</v>
      </c>
      <c r="B102" t="n">
        <v>0.079</v>
      </c>
    </row>
    <row r="103">
      <c r="A103" s="113" t="n">
        <v>36007</v>
      </c>
      <c r="B103" t="n">
        <v>0.076</v>
      </c>
    </row>
    <row r="104">
      <c r="A104" s="113" t="n">
        <v>36038</v>
      </c>
      <c r="B104" t="n">
        <v>0.079</v>
      </c>
    </row>
    <row r="105">
      <c r="A105" s="113" t="n">
        <v>36068</v>
      </c>
      <c r="B105" t="n">
        <v>0.102</v>
      </c>
    </row>
    <row r="106">
      <c r="A106" s="113" t="n">
        <v>36099</v>
      </c>
      <c r="B106" t="n">
        <v>0.106</v>
      </c>
    </row>
    <row r="107">
      <c r="A107" s="113" t="n">
        <v>36129</v>
      </c>
      <c r="B107" t="n">
        <v>0.11</v>
      </c>
    </row>
    <row r="108">
      <c r="A108" s="113" t="n">
        <v>36160</v>
      </c>
      <c r="B108" t="n">
        <v>0.115</v>
      </c>
    </row>
    <row r="109">
      <c r="A109" s="113" t="n">
        <v>36191</v>
      </c>
      <c r="B109" t="n">
        <v>0.179</v>
      </c>
    </row>
    <row r="110">
      <c r="A110" s="113" t="n">
        <v>36219</v>
      </c>
      <c r="B110" t="n">
        <v>0.021</v>
      </c>
    </row>
    <row r="111">
      <c r="A111" s="113" t="n">
        <v>36250</v>
      </c>
      <c r="B111" t="n">
        <v>0.09</v>
      </c>
    </row>
    <row r="112">
      <c r="A112" s="113" t="n">
        <v>36280</v>
      </c>
      <c r="B112" t="n">
        <v>0.091</v>
      </c>
    </row>
    <row r="113">
      <c r="A113" s="113" t="n">
        <v>36311</v>
      </c>
      <c r="B113" t="n">
        <v>0.089</v>
      </c>
    </row>
    <row r="114">
      <c r="A114" s="113" t="n">
        <v>36341</v>
      </c>
      <c r="B114" t="n">
        <v>0.091</v>
      </c>
    </row>
    <row r="115">
      <c r="A115" s="113" t="n">
        <v>36372</v>
      </c>
      <c r="B115" t="n">
        <v>0.093</v>
      </c>
    </row>
    <row r="116">
      <c r="A116" s="113" t="n">
        <v>36403</v>
      </c>
      <c r="B116" t="n">
        <v>0.095</v>
      </c>
    </row>
    <row r="117">
      <c r="A117" s="113" t="n">
        <v>36433</v>
      </c>
      <c r="B117" t="n">
        <v>0.082</v>
      </c>
    </row>
    <row r="118">
      <c r="A118" s="113" t="n">
        <v>36464</v>
      </c>
      <c r="B118" t="n">
        <v>0.07000000000000001</v>
      </c>
    </row>
    <row r="119">
      <c r="A119" s="113" t="n">
        <v>36494</v>
      </c>
      <c r="B119" t="n">
        <v>0.076</v>
      </c>
    </row>
    <row r="120">
      <c r="A120" s="113" t="n">
        <v>36525</v>
      </c>
      <c r="B120" t="n">
        <v>0.074</v>
      </c>
    </row>
    <row r="121">
      <c r="A121" s="113" t="n">
        <v>36556</v>
      </c>
      <c r="B121" t="n">
        <v>0.089</v>
      </c>
    </row>
    <row r="122">
      <c r="A122" s="113" t="n">
        <v>36585</v>
      </c>
      <c r="B122" t="n">
        <v>0.12</v>
      </c>
    </row>
    <row r="123">
      <c r="A123" s="113" t="n">
        <v>36616</v>
      </c>
      <c r="B123" t="n">
        <v>0.119</v>
      </c>
    </row>
    <row r="124">
      <c r="A124" s="113" t="n">
        <v>36646</v>
      </c>
      <c r="B124" t="n">
        <v>0.114</v>
      </c>
    </row>
    <row r="125">
      <c r="A125" s="113" t="n">
        <v>36677</v>
      </c>
      <c r="B125" t="n">
        <v>0.115</v>
      </c>
    </row>
    <row r="126">
      <c r="A126" s="113" t="n">
        <v>36707</v>
      </c>
      <c r="B126" t="n">
        <v>0.122</v>
      </c>
    </row>
    <row r="127">
      <c r="A127" s="113" t="n">
        <v>36738</v>
      </c>
      <c r="B127" t="n">
        <v>0.128</v>
      </c>
    </row>
    <row r="128">
      <c r="A128" s="113" t="n">
        <v>36769</v>
      </c>
      <c r="B128" t="n">
        <v>0.128</v>
      </c>
    </row>
    <row r="129">
      <c r="A129" s="113" t="n">
        <v>36799</v>
      </c>
      <c r="B129" t="n">
        <v>0.12</v>
      </c>
    </row>
    <row r="130">
      <c r="A130" s="113" t="n">
        <v>36830</v>
      </c>
      <c r="B130" t="n">
        <v>0.114</v>
      </c>
    </row>
    <row r="131">
      <c r="A131" s="113" t="n">
        <v>36860</v>
      </c>
      <c r="B131" t="n">
        <v>0.106</v>
      </c>
    </row>
    <row r="132">
      <c r="A132" s="113" t="n">
        <v>36891</v>
      </c>
      <c r="B132" t="n">
        <v>0.104</v>
      </c>
    </row>
    <row r="133">
      <c r="A133" s="113" t="n">
        <v>36922</v>
      </c>
      <c r="B133" t="n">
        <v>0.023</v>
      </c>
    </row>
    <row r="134">
      <c r="A134" s="113" t="n">
        <v>36950</v>
      </c>
      <c r="B134" t="n">
        <v>0.19</v>
      </c>
    </row>
    <row r="135">
      <c r="A135" s="113" t="n">
        <v>36981</v>
      </c>
      <c r="B135" t="n">
        <v>0.121</v>
      </c>
    </row>
    <row r="136">
      <c r="A136" s="113" t="n">
        <v>37011</v>
      </c>
      <c r="B136" t="n">
        <v>0.115</v>
      </c>
    </row>
    <row r="137">
      <c r="A137" s="113" t="n">
        <v>37042</v>
      </c>
      <c r="B137" t="n">
        <v>0.102</v>
      </c>
    </row>
    <row r="138">
      <c r="A138" s="113" t="n">
        <v>37072</v>
      </c>
      <c r="B138" t="n">
        <v>0.101</v>
      </c>
    </row>
    <row r="139">
      <c r="A139" s="113" t="n">
        <v>37103</v>
      </c>
      <c r="B139" t="n">
        <v>0.081</v>
      </c>
    </row>
    <row r="140">
      <c r="A140" s="113" t="n">
        <v>37134</v>
      </c>
      <c r="B140" t="n">
        <v>0.081</v>
      </c>
    </row>
    <row r="141">
      <c r="A141" s="113" t="n">
        <v>37164</v>
      </c>
      <c r="B141" t="n">
        <v>0.095</v>
      </c>
    </row>
    <row r="142">
      <c r="A142" s="113" t="n">
        <v>37195</v>
      </c>
      <c r="B142" t="n">
        <v>0.08799999999999999</v>
      </c>
    </row>
    <row r="143">
      <c r="A143" s="113" t="n">
        <v>37225</v>
      </c>
      <c r="B143" t="n">
        <v>0.079</v>
      </c>
    </row>
    <row r="144">
      <c r="A144" s="113" t="n">
        <v>37256</v>
      </c>
      <c r="B144" t="n">
        <v>0.08699999999999999</v>
      </c>
    </row>
    <row r="145">
      <c r="A145" s="113" t="n">
        <v>37287</v>
      </c>
      <c r="B145" t="n">
        <v>0.186</v>
      </c>
    </row>
    <row r="146">
      <c r="A146" s="113" t="n">
        <v>37315</v>
      </c>
      <c r="B146" t="n">
        <v>0.027</v>
      </c>
    </row>
    <row r="147">
      <c r="A147" s="113" t="n">
        <v>37346</v>
      </c>
      <c r="B147" t="n">
        <v>0.109</v>
      </c>
    </row>
    <row r="148">
      <c r="A148" s="113" t="n">
        <v>37376</v>
      </c>
      <c r="B148" t="n">
        <v>0.121</v>
      </c>
    </row>
    <row r="149">
      <c r="A149" s="113" t="n">
        <v>37407</v>
      </c>
      <c r="B149" t="n">
        <v>0.129</v>
      </c>
    </row>
    <row r="150">
      <c r="A150" s="113" t="n">
        <v>37437</v>
      </c>
      <c r="B150" t="n">
        <v>0.124</v>
      </c>
    </row>
    <row r="151">
      <c r="A151" s="113" t="n">
        <v>37468</v>
      </c>
      <c r="B151" t="n">
        <v>0.128</v>
      </c>
    </row>
    <row r="152">
      <c r="A152" s="113" t="n">
        <v>37499</v>
      </c>
      <c r="B152" t="n">
        <v>0.127</v>
      </c>
    </row>
    <row r="153">
      <c r="A153" s="113" t="n">
        <v>37529</v>
      </c>
      <c r="B153" t="n">
        <v>0.138</v>
      </c>
    </row>
    <row r="154">
      <c r="A154" s="113" t="n">
        <v>37560</v>
      </c>
      <c r="B154" t="n">
        <v>0.142</v>
      </c>
    </row>
    <row r="155">
      <c r="A155" s="113" t="n">
        <v>37590</v>
      </c>
      <c r="B155" t="n">
        <v>0.145</v>
      </c>
    </row>
    <row r="156">
      <c r="A156" s="113" t="n">
        <v>37621</v>
      </c>
      <c r="B156" t="n">
        <v>0.149</v>
      </c>
    </row>
    <row r="157">
      <c r="A157" s="113" t="n">
        <v>37652</v>
      </c>
      <c r="B157" t="n">
        <v>0.148</v>
      </c>
    </row>
    <row r="158">
      <c r="A158" s="113" t="n">
        <v>37680</v>
      </c>
      <c r="B158" t="n">
        <v>0.198</v>
      </c>
    </row>
    <row r="159">
      <c r="A159" s="113" t="n">
        <v>37711</v>
      </c>
      <c r="B159" t="n">
        <v>0.169</v>
      </c>
    </row>
    <row r="160">
      <c r="A160" s="113" t="n">
        <v>37741</v>
      </c>
      <c r="B160" t="n">
        <v>0.149</v>
      </c>
    </row>
    <row r="161">
      <c r="A161" s="113" t="n">
        <v>37772</v>
      </c>
      <c r="B161" t="n">
        <v>0.137</v>
      </c>
    </row>
    <row r="162">
      <c r="A162" s="113" t="n">
        <v>37802</v>
      </c>
      <c r="B162" t="n">
        <v>0.169</v>
      </c>
    </row>
    <row r="163">
      <c r="A163" s="113" t="n">
        <v>37833</v>
      </c>
      <c r="B163" t="n">
        <v>0.165</v>
      </c>
    </row>
    <row r="164">
      <c r="A164" s="113" t="n">
        <v>37864</v>
      </c>
      <c r="B164" t="n">
        <v>0.171</v>
      </c>
    </row>
    <row r="165">
      <c r="A165" s="113" t="n">
        <v>37894</v>
      </c>
      <c r="B165" t="n">
        <v>0.163</v>
      </c>
    </row>
    <row r="166">
      <c r="A166" s="113" t="n">
        <v>37925</v>
      </c>
      <c r="B166" t="n">
        <v>0.172</v>
      </c>
    </row>
    <row r="167">
      <c r="A167" s="113" t="n">
        <v>37955</v>
      </c>
      <c r="B167" t="n">
        <v>0.179</v>
      </c>
    </row>
    <row r="168">
      <c r="A168" s="113" t="n">
        <v>37986</v>
      </c>
      <c r="B168" t="n">
        <v>0.181</v>
      </c>
    </row>
    <row r="169">
      <c r="A169" s="113" t="n">
        <v>38017</v>
      </c>
      <c r="B169" t="n">
        <v>0.07199999999999999</v>
      </c>
    </row>
    <row r="170">
      <c r="A170" s="113" t="n">
        <v>38046</v>
      </c>
      <c r="B170" t="n">
        <v>0.232</v>
      </c>
    </row>
    <row r="171">
      <c r="A171" s="113" t="n">
        <v>38077</v>
      </c>
      <c r="B171" t="n">
        <v>0.194</v>
      </c>
    </row>
    <row r="172">
      <c r="A172" s="113" t="n">
        <v>38107</v>
      </c>
      <c r="B172" t="n">
        <v>0.191</v>
      </c>
    </row>
    <row r="173">
      <c r="A173" s="113" t="n">
        <v>38138</v>
      </c>
      <c r="B173" t="n">
        <v>0.175</v>
      </c>
    </row>
    <row r="174">
      <c r="A174" s="113" t="n">
        <v>38168</v>
      </c>
      <c r="B174" t="n">
        <v>0.162</v>
      </c>
    </row>
    <row r="175">
      <c r="A175" s="113" t="n">
        <v>38199</v>
      </c>
      <c r="B175" t="n">
        <v>0.155</v>
      </c>
    </row>
    <row r="176">
      <c r="A176" s="113" t="n">
        <v>38230</v>
      </c>
      <c r="B176" t="n">
        <v>0.159</v>
      </c>
    </row>
    <row r="177">
      <c r="A177" s="113" t="n">
        <v>38260</v>
      </c>
      <c r="B177" t="n">
        <v>0.161</v>
      </c>
    </row>
    <row r="178">
      <c r="A178" s="113" t="n">
        <v>38291</v>
      </c>
      <c r="B178" t="n">
        <v>0.157</v>
      </c>
    </row>
    <row r="179">
      <c r="A179" s="113" t="n">
        <v>38321</v>
      </c>
      <c r="B179" t="n">
        <v>0.148</v>
      </c>
    </row>
    <row r="180">
      <c r="A180" s="113" t="n">
        <v>38352</v>
      </c>
      <c r="B180" t="n">
        <v>0.144</v>
      </c>
    </row>
    <row r="181">
      <c r="A181" s="113" t="n">
        <v>38383</v>
      </c>
      <c r="B181" t="n">
        <v>0.209</v>
      </c>
      <c r="C181" t="n">
        <v>52.1</v>
      </c>
    </row>
    <row r="182">
      <c r="A182" s="113" t="n">
        <v>38411</v>
      </c>
      <c r="B182" t="n">
        <v>0.076</v>
      </c>
      <c r="C182" t="n">
        <v>52.9</v>
      </c>
    </row>
    <row r="183">
      <c r="A183" s="113" t="n">
        <v>38442</v>
      </c>
      <c r="B183" t="n">
        <v>0.151</v>
      </c>
      <c r="C183" t="n">
        <v>55.2</v>
      </c>
    </row>
    <row r="184">
      <c r="A184" s="113" t="n">
        <v>38472</v>
      </c>
      <c r="B184" t="n">
        <v>0.16</v>
      </c>
      <c r="C184" t="n">
        <v>54.4</v>
      </c>
    </row>
    <row r="185">
      <c r="A185" s="113" t="n">
        <v>38503</v>
      </c>
      <c r="B185" t="n">
        <v>0.166</v>
      </c>
      <c r="C185" t="n">
        <v>53.3</v>
      </c>
    </row>
    <row r="186">
      <c r="A186" s="113" t="n">
        <v>38533</v>
      </c>
      <c r="B186" t="n">
        <v>0.168</v>
      </c>
      <c r="C186" t="n">
        <v>51</v>
      </c>
    </row>
    <row r="187">
      <c r="A187" s="113" t="n">
        <v>38564</v>
      </c>
      <c r="B187" t="n">
        <v>0.161</v>
      </c>
      <c r="C187" t="n">
        <v>51.5</v>
      </c>
    </row>
    <row r="188">
      <c r="A188" s="113" t="n">
        <v>38595</v>
      </c>
      <c r="B188" t="n">
        <v>0.16</v>
      </c>
      <c r="C188" t="n">
        <v>50.6</v>
      </c>
    </row>
    <row r="189">
      <c r="A189" s="113" t="n">
        <v>38625</v>
      </c>
      <c r="B189" t="n">
        <v>0.165</v>
      </c>
      <c r="C189" t="n">
        <v>50.9</v>
      </c>
    </row>
    <row r="190">
      <c r="A190" s="113" t="n">
        <v>38656</v>
      </c>
      <c r="B190" t="n">
        <v>0.161</v>
      </c>
      <c r="C190" t="n">
        <v>50.1</v>
      </c>
    </row>
    <row r="191">
      <c r="A191" s="113" t="n">
        <v>38686</v>
      </c>
      <c r="B191" t="n">
        <v>0.166</v>
      </c>
      <c r="C191" t="n">
        <v>49.8</v>
      </c>
    </row>
    <row r="192">
      <c r="A192" s="113" t="n">
        <v>38717</v>
      </c>
      <c r="B192" t="n">
        <v>0.165</v>
      </c>
      <c r="C192" t="n">
        <v>50.1</v>
      </c>
    </row>
    <row r="193">
      <c r="A193" s="113" t="n">
        <v>38776</v>
      </c>
      <c r="B193" t="n">
        <v>0.201</v>
      </c>
      <c r="C193" t="n">
        <v>50.7</v>
      </c>
    </row>
    <row r="194">
      <c r="A194" s="113" t="n">
        <v>38807</v>
      </c>
      <c r="B194" t="n">
        <v>0.178</v>
      </c>
      <c r="C194" t="n">
        <v>51</v>
      </c>
    </row>
    <row r="195">
      <c r="A195" s="113" t="n">
        <v>38837</v>
      </c>
      <c r="B195" t="n">
        <v>0.166</v>
      </c>
      <c r="C195" t="n">
        <v>52.7</v>
      </c>
    </row>
    <row r="196">
      <c r="A196" s="113" t="n">
        <v>38868</v>
      </c>
      <c r="B196" t="n">
        <v>0.179</v>
      </c>
      <c r="C196" t="n">
        <v>52.8</v>
      </c>
    </row>
    <row r="197">
      <c r="A197" s="113" t="n">
        <v>38898</v>
      </c>
      <c r="B197" t="n">
        <v>0.195</v>
      </c>
      <c r="C197" t="n">
        <v>52.9</v>
      </c>
    </row>
    <row r="198">
      <c r="A198" s="113" t="n">
        <v>38929</v>
      </c>
      <c r="B198" t="n">
        <v>0.167</v>
      </c>
      <c r="C198" t="n">
        <v>53</v>
      </c>
    </row>
    <row r="199">
      <c r="A199" s="113" t="n">
        <v>38960</v>
      </c>
      <c r="B199" t="n">
        <v>0.157</v>
      </c>
      <c r="C199" t="n">
        <v>52.6</v>
      </c>
    </row>
    <row r="200">
      <c r="A200" s="113" t="n">
        <v>38990</v>
      </c>
      <c r="B200" t="n">
        <v>0.161</v>
      </c>
      <c r="C200" t="n">
        <v>52.4</v>
      </c>
    </row>
    <row r="201">
      <c r="A201" s="113" t="n">
        <v>39021</v>
      </c>
      <c r="B201" t="n">
        <v>0.147</v>
      </c>
      <c r="C201" t="n">
        <v>52.1</v>
      </c>
    </row>
    <row r="202">
      <c r="A202" s="113" t="n">
        <v>39051</v>
      </c>
      <c r="B202" t="n">
        <v>0.149</v>
      </c>
      <c r="C202" t="n">
        <v>53</v>
      </c>
    </row>
    <row r="203">
      <c r="A203" s="113" t="n">
        <v>39082</v>
      </c>
      <c r="B203" t="n">
        <v>0.147</v>
      </c>
      <c r="C203" t="n">
        <v>52.4</v>
      </c>
    </row>
    <row r="204">
      <c r="A204" s="113" t="n">
        <v>39141</v>
      </c>
      <c r="B204" t="n">
        <v>0.126</v>
      </c>
      <c r="C204" t="n">
        <v>53</v>
      </c>
    </row>
    <row r="205">
      <c r="A205" s="113" t="n">
        <v>39172</v>
      </c>
      <c r="B205" t="n">
        <v>0.176</v>
      </c>
      <c r="C205" t="n">
        <v>52.3</v>
      </c>
    </row>
    <row r="206">
      <c r="A206" s="113" t="n">
        <v>39202</v>
      </c>
      <c r="B206" t="n">
        <v>0.174</v>
      </c>
      <c r="C206" t="n">
        <v>53.3</v>
      </c>
    </row>
    <row r="207">
      <c r="A207" s="113" t="n">
        <v>39233</v>
      </c>
      <c r="B207" t="n">
        <v>0.181</v>
      </c>
      <c r="C207" t="n">
        <v>54.1</v>
      </c>
    </row>
    <row r="208">
      <c r="A208" s="113" t="n">
        <v>39263</v>
      </c>
      <c r="B208" t="n">
        <v>0.194</v>
      </c>
      <c r="C208" t="n">
        <v>55</v>
      </c>
    </row>
    <row r="209">
      <c r="A209" s="113" t="n">
        <v>39294</v>
      </c>
      <c r="B209" t="n">
        <v>0.18</v>
      </c>
      <c r="C209" t="n">
        <v>53.2</v>
      </c>
    </row>
    <row r="210">
      <c r="A210" s="113" t="n">
        <v>39325</v>
      </c>
      <c r="B210" t="n">
        <v>0.175</v>
      </c>
      <c r="C210" t="n">
        <v>53.4</v>
      </c>
    </row>
    <row r="211">
      <c r="A211" s="113" t="n">
        <v>39355</v>
      </c>
      <c r="B211" t="n">
        <v>0.189</v>
      </c>
      <c r="C211" t="n">
        <v>55</v>
      </c>
    </row>
    <row r="212">
      <c r="A212" s="113" t="n">
        <v>39386</v>
      </c>
      <c r="B212" t="n">
        <v>0.179</v>
      </c>
      <c r="C212" t="n">
        <v>55.2</v>
      </c>
    </row>
    <row r="213">
      <c r="A213" s="113" t="n">
        <v>39416</v>
      </c>
      <c r="B213" t="n">
        <v>0.173</v>
      </c>
      <c r="C213" t="n">
        <v>52.8</v>
      </c>
    </row>
    <row r="214">
      <c r="A214" s="113" t="n">
        <v>39447</v>
      </c>
      <c r="B214" t="n">
        <v>0.174</v>
      </c>
      <c r="C214" t="n">
        <v>53.3</v>
      </c>
    </row>
    <row r="215">
      <c r="A215" s="113" t="n">
        <v>39507</v>
      </c>
      <c r="B215" t="n">
        <v>0.154</v>
      </c>
      <c r="C215" t="n">
        <v>52.8</v>
      </c>
    </row>
    <row r="216">
      <c r="A216" s="113" t="n">
        <v>39538</v>
      </c>
      <c r="B216" t="n">
        <v>0.178</v>
      </c>
      <c r="C216" t="n">
        <v>54.4</v>
      </c>
    </row>
    <row r="217">
      <c r="A217" s="113" t="n">
        <v>39568</v>
      </c>
      <c r="B217" t="n">
        <v>0.157</v>
      </c>
      <c r="C217" t="n">
        <v>55.4</v>
      </c>
    </row>
    <row r="218">
      <c r="A218" s="113" t="n">
        <v>39599</v>
      </c>
      <c r="B218" t="n">
        <v>0.16</v>
      </c>
      <c r="C218" t="n">
        <v>54.7</v>
      </c>
    </row>
    <row r="219">
      <c r="A219" s="113" t="n">
        <v>39629</v>
      </c>
      <c r="B219" t="n">
        <v>0.16</v>
      </c>
      <c r="C219" t="n">
        <v>53.3</v>
      </c>
    </row>
    <row r="220">
      <c r="A220" s="113" t="n">
        <v>39660</v>
      </c>
      <c r="B220" t="n">
        <v>0.147</v>
      </c>
      <c r="C220" t="n">
        <v>53.3</v>
      </c>
    </row>
    <row r="221">
      <c r="A221" s="113" t="n">
        <v>39691</v>
      </c>
      <c r="B221" t="n">
        <v>0.128</v>
      </c>
      <c r="C221" t="n">
        <v>49.2</v>
      </c>
    </row>
    <row r="222">
      <c r="A222" s="113" t="n">
        <v>39721</v>
      </c>
      <c r="B222" t="n">
        <v>0.114</v>
      </c>
      <c r="C222" t="n">
        <v>47.7</v>
      </c>
    </row>
    <row r="223">
      <c r="A223" s="113" t="n">
        <v>39752</v>
      </c>
      <c r="B223" t="n">
        <v>0.082</v>
      </c>
      <c r="C223" t="n">
        <v>45.2</v>
      </c>
    </row>
    <row r="224">
      <c r="A224" s="113" t="n">
        <v>39782</v>
      </c>
      <c r="B224" t="n">
        <v>0.054</v>
      </c>
      <c r="C224" t="n">
        <v>40.9</v>
      </c>
    </row>
    <row r="225">
      <c r="A225" s="113" t="n">
        <v>39813</v>
      </c>
      <c r="B225" t="n">
        <v>0.057</v>
      </c>
      <c r="C225" t="n">
        <v>41.2</v>
      </c>
    </row>
    <row r="226">
      <c r="A226" s="113" t="n">
        <v>39872</v>
      </c>
      <c r="B226" t="n">
        <v>0.11</v>
      </c>
      <c r="C226" t="n">
        <v>45.1</v>
      </c>
    </row>
    <row r="227">
      <c r="A227" s="113" t="n">
        <v>39903</v>
      </c>
      <c r="B227" t="n">
        <v>0.083</v>
      </c>
      <c r="C227" t="n">
        <v>44.8</v>
      </c>
    </row>
    <row r="228">
      <c r="A228" s="113" t="n">
        <v>39933</v>
      </c>
      <c r="B228" t="n">
        <v>0.073</v>
      </c>
      <c r="C228" t="n">
        <v>50.1</v>
      </c>
    </row>
    <row r="229">
      <c r="A229" s="113" t="n">
        <v>39964</v>
      </c>
      <c r="B229" t="n">
        <v>0.089</v>
      </c>
      <c r="C229" t="n">
        <v>51.2</v>
      </c>
    </row>
    <row r="230">
      <c r="A230" s="113" t="n">
        <v>39994</v>
      </c>
      <c r="B230" t="n">
        <v>0.107</v>
      </c>
      <c r="C230" t="n">
        <v>51.8</v>
      </c>
    </row>
    <row r="231">
      <c r="A231" s="113" t="n">
        <v>40025</v>
      </c>
      <c r="B231" t="n">
        <v>0.108</v>
      </c>
      <c r="C231" t="n">
        <v>52.8</v>
      </c>
    </row>
    <row r="232">
      <c r="A232" s="113" t="n">
        <v>40056</v>
      </c>
      <c r="B232" t="n">
        <v>0.123</v>
      </c>
      <c r="C232" t="n">
        <v>55.1</v>
      </c>
    </row>
    <row r="233">
      <c r="A233" s="113" t="n">
        <v>40086</v>
      </c>
      <c r="B233" t="n">
        <v>0.139</v>
      </c>
      <c r="C233" t="n">
        <v>55</v>
      </c>
    </row>
    <row r="234">
      <c r="A234" s="113" t="n">
        <v>40117</v>
      </c>
      <c r="B234" t="n">
        <v>0.161</v>
      </c>
      <c r="C234" t="n">
        <v>55.4</v>
      </c>
    </row>
    <row r="235">
      <c r="A235" s="113" t="n">
        <v>40147</v>
      </c>
      <c r="B235" t="n">
        <v>0.192</v>
      </c>
      <c r="C235" t="n">
        <v>55.7</v>
      </c>
    </row>
    <row r="236">
      <c r="A236" s="113" t="n">
        <v>40178</v>
      </c>
      <c r="B236" t="n">
        <v>0.185</v>
      </c>
      <c r="C236" t="n">
        <v>56.1</v>
      </c>
    </row>
    <row r="237">
      <c r="A237" s="113" t="n">
        <v>40237</v>
      </c>
      <c r="B237" t="n">
        <v>0.128</v>
      </c>
      <c r="C237" t="n">
        <v>55.8</v>
      </c>
    </row>
    <row r="238">
      <c r="A238" s="113" t="n">
        <v>40268</v>
      </c>
      <c r="B238" t="n">
        <v>0.181</v>
      </c>
      <c r="C238" t="n">
        <v>57</v>
      </c>
    </row>
    <row r="239">
      <c r="A239" s="113" t="n">
        <v>40298</v>
      </c>
      <c r="B239" t="n">
        <v>0.178</v>
      </c>
      <c r="C239" t="n">
        <v>55.4</v>
      </c>
    </row>
    <row r="240">
      <c r="A240" s="113" t="n">
        <v>40329</v>
      </c>
      <c r="B240" t="n">
        <v>0.165</v>
      </c>
      <c r="C240" t="n">
        <v>52.7</v>
      </c>
    </row>
    <row r="241">
      <c r="A241" s="113" t="n">
        <v>40359</v>
      </c>
      <c r="B241" t="n">
        <v>0.137</v>
      </c>
      <c r="C241" t="n">
        <v>50.4</v>
      </c>
    </row>
    <row r="242">
      <c r="A242" s="113" t="n">
        <v>40390</v>
      </c>
      <c r="B242" t="n">
        <v>0.134</v>
      </c>
      <c r="C242" t="n">
        <v>49.4</v>
      </c>
    </row>
    <row r="243">
      <c r="A243" s="113" t="n">
        <v>40421</v>
      </c>
      <c r="B243" t="n">
        <v>0.139</v>
      </c>
      <c r="C243" t="n">
        <v>51.9</v>
      </c>
    </row>
    <row r="244">
      <c r="A244" s="113" t="n">
        <v>40451</v>
      </c>
      <c r="B244" t="n">
        <v>0.133</v>
      </c>
      <c r="C244" t="n">
        <v>52.9</v>
      </c>
    </row>
    <row r="245">
      <c r="A245" s="113" t="n">
        <v>40482</v>
      </c>
      <c r="B245" t="n">
        <v>0.131</v>
      </c>
      <c r="C245" t="n">
        <v>54.8</v>
      </c>
    </row>
    <row r="246">
      <c r="A246" s="113" t="n">
        <v>40512</v>
      </c>
      <c r="B246" t="n">
        <v>0.133</v>
      </c>
      <c r="C246" t="n">
        <v>55.3</v>
      </c>
    </row>
    <row r="247">
      <c r="A247" s="113" t="n">
        <v>40543</v>
      </c>
      <c r="B247" t="n">
        <v>0.135</v>
      </c>
      <c r="C247" t="n">
        <v>54.4</v>
      </c>
    </row>
    <row r="248">
      <c r="A248" s="113" t="n">
        <v>40602</v>
      </c>
      <c r="B248" t="n">
        <v>0.141</v>
      </c>
      <c r="C248" t="n">
        <v>51.7</v>
      </c>
    </row>
    <row r="249">
      <c r="A249" s="113" t="n">
        <v>40633</v>
      </c>
      <c r="B249" t="n">
        <v>0.148</v>
      </c>
      <c r="C249" t="n">
        <v>51.8</v>
      </c>
    </row>
    <row r="250">
      <c r="A250" s="113" t="n">
        <v>40663</v>
      </c>
      <c r="B250" t="n">
        <v>0.134</v>
      </c>
      <c r="C250" t="n">
        <v>51.8</v>
      </c>
    </row>
    <row r="251">
      <c r="A251" s="113" t="n">
        <v>40694</v>
      </c>
      <c r="B251" t="n">
        <v>0.133</v>
      </c>
      <c r="C251" t="n">
        <v>51.6</v>
      </c>
    </row>
    <row r="252">
      <c r="A252" s="113" t="n">
        <v>40724</v>
      </c>
      <c r="B252" t="n">
        <v>0.151</v>
      </c>
      <c r="C252" t="n">
        <v>50.1</v>
      </c>
    </row>
    <row r="253">
      <c r="A253" s="113" t="n">
        <v>40755</v>
      </c>
      <c r="B253" t="n">
        <v>0.14</v>
      </c>
      <c r="C253" t="n">
        <v>49.3</v>
      </c>
    </row>
    <row r="254">
      <c r="A254" s="113" t="n">
        <v>40786</v>
      </c>
      <c r="B254" t="n">
        <v>0.135</v>
      </c>
      <c r="C254" t="n">
        <v>49.9</v>
      </c>
    </row>
    <row r="255">
      <c r="A255" s="113" t="n">
        <v>40816</v>
      </c>
      <c r="B255" t="n">
        <v>0.138</v>
      </c>
      <c r="C255" t="n">
        <v>49.9</v>
      </c>
    </row>
    <row r="256">
      <c r="A256" s="113" t="n">
        <v>40847</v>
      </c>
      <c r="B256" t="n">
        <v>0.132</v>
      </c>
      <c r="C256" t="n">
        <v>51</v>
      </c>
    </row>
    <row r="257">
      <c r="A257" s="113" t="n">
        <v>40877</v>
      </c>
      <c r="B257" t="n">
        <v>0.124</v>
      </c>
      <c r="C257" t="n">
        <v>47.7</v>
      </c>
    </row>
    <row r="258">
      <c r="A258" s="113" t="n">
        <v>40908</v>
      </c>
      <c r="B258" t="n">
        <v>0.128</v>
      </c>
      <c r="C258" t="n">
        <v>48.7</v>
      </c>
    </row>
    <row r="259">
      <c r="A259" s="113" t="n">
        <v>40968</v>
      </c>
      <c r="B259" t="n">
        <v>0.114</v>
      </c>
      <c r="C259" t="n">
        <v>49.6</v>
      </c>
    </row>
    <row r="260">
      <c r="A260" s="113" t="n">
        <v>40999</v>
      </c>
      <c r="B260" t="n">
        <v>0.119</v>
      </c>
      <c r="C260" t="n">
        <v>48.3</v>
      </c>
    </row>
    <row r="261">
      <c r="A261" s="113" t="n">
        <v>41029</v>
      </c>
      <c r="B261" t="n">
        <v>0.093</v>
      </c>
      <c r="C261" t="n">
        <v>49.3</v>
      </c>
    </row>
    <row r="262">
      <c r="A262" s="113" t="n">
        <v>41060</v>
      </c>
      <c r="B262" t="n">
        <v>0.096</v>
      </c>
      <c r="C262" t="n">
        <v>48.4</v>
      </c>
    </row>
    <row r="263">
      <c r="A263" s="113" t="n">
        <v>41090</v>
      </c>
      <c r="B263" t="n">
        <v>0.095</v>
      </c>
      <c r="C263" t="n">
        <v>48.2</v>
      </c>
    </row>
    <row r="264">
      <c r="A264" s="113" t="n">
        <v>41121</v>
      </c>
      <c r="B264" t="n">
        <v>0.092</v>
      </c>
      <c r="C264" t="n">
        <v>49.3</v>
      </c>
    </row>
    <row r="265">
      <c r="A265" s="113" t="n">
        <v>41152</v>
      </c>
      <c r="B265" t="n">
        <v>0.089</v>
      </c>
      <c r="C265" t="n">
        <v>47.7</v>
      </c>
    </row>
    <row r="266">
      <c r="A266" s="113" t="n">
        <v>41182</v>
      </c>
      <c r="B266" t="n">
        <v>0.092</v>
      </c>
      <c r="C266" t="n">
        <v>47.9</v>
      </c>
    </row>
    <row r="267">
      <c r="A267" s="113" t="n">
        <v>41213</v>
      </c>
      <c r="B267" t="n">
        <v>0.096</v>
      </c>
      <c r="C267" t="n">
        <v>49.5</v>
      </c>
    </row>
    <row r="268">
      <c r="A268" s="113" t="n">
        <v>41243</v>
      </c>
      <c r="B268" t="n">
        <v>0.101</v>
      </c>
      <c r="C268" t="n">
        <v>50.5</v>
      </c>
    </row>
    <row r="269">
      <c r="A269" s="113" t="n">
        <v>41274</v>
      </c>
      <c r="B269" t="n">
        <v>0.103</v>
      </c>
      <c r="C269" t="n">
        <v>51.5</v>
      </c>
    </row>
    <row r="270">
      <c r="A270" s="113" t="n">
        <v>41333</v>
      </c>
      <c r="B270" t="n">
        <v>0.099</v>
      </c>
      <c r="C270" t="n">
        <v>50.4</v>
      </c>
    </row>
    <row r="271">
      <c r="A271" s="113" t="n">
        <v>41364</v>
      </c>
      <c r="B271" t="n">
        <v>0.089</v>
      </c>
      <c r="C271" t="n">
        <v>51.6</v>
      </c>
    </row>
    <row r="272">
      <c r="A272" s="113" t="n">
        <v>41394</v>
      </c>
      <c r="B272" t="n">
        <v>0.093</v>
      </c>
      <c r="C272" t="n">
        <v>50.4</v>
      </c>
    </row>
    <row r="273">
      <c r="A273" s="113" t="n">
        <v>41425</v>
      </c>
      <c r="B273" t="n">
        <v>0.092</v>
      </c>
      <c r="C273" t="n">
        <v>49.2</v>
      </c>
    </row>
    <row r="274">
      <c r="A274" s="113" t="n">
        <v>41455</v>
      </c>
      <c r="B274" t="n">
        <v>0.089</v>
      </c>
      <c r="C274" t="n">
        <v>48.2</v>
      </c>
    </row>
    <row r="275">
      <c r="A275" s="113" t="n">
        <v>41486</v>
      </c>
      <c r="B275" t="n">
        <v>0.097</v>
      </c>
      <c r="C275" t="n">
        <v>47.7</v>
      </c>
    </row>
    <row r="276">
      <c r="A276" s="113" t="n">
        <v>41517</v>
      </c>
      <c r="B276" t="n">
        <v>0.104</v>
      </c>
      <c r="C276" t="n">
        <v>50.1</v>
      </c>
    </row>
    <row r="277">
      <c r="A277" s="113" t="n">
        <v>41547</v>
      </c>
      <c r="B277" t="n">
        <v>0.102</v>
      </c>
      <c r="C277" t="n">
        <v>50.2</v>
      </c>
    </row>
    <row r="278">
      <c r="A278" s="113" t="n">
        <v>41578</v>
      </c>
      <c r="B278" t="n">
        <v>0.103</v>
      </c>
      <c r="C278" t="n">
        <v>50.9</v>
      </c>
    </row>
    <row r="279">
      <c r="A279" s="113" t="n">
        <v>41608</v>
      </c>
      <c r="B279" t="n">
        <v>0.1</v>
      </c>
      <c r="C279" t="n">
        <v>50.8</v>
      </c>
    </row>
    <row r="280">
      <c r="A280" s="113" t="n">
        <v>41639</v>
      </c>
      <c r="B280" t="n">
        <v>0.097</v>
      </c>
      <c r="C280" t="n">
        <v>50.5</v>
      </c>
    </row>
    <row r="281">
      <c r="A281" s="113" t="n">
        <v>41698</v>
      </c>
      <c r="B281" t="n">
        <v>0.08599999999999999</v>
      </c>
      <c r="C281" t="n">
        <v>48.5</v>
      </c>
    </row>
    <row r="282">
      <c r="A282" s="113" t="n">
        <v>41729</v>
      </c>
      <c r="B282" t="n">
        <v>0.08799999999999999</v>
      </c>
      <c r="C282" t="n">
        <v>48</v>
      </c>
    </row>
    <row r="283">
      <c r="A283" s="113" t="n">
        <v>41759</v>
      </c>
      <c r="B283" t="n">
        <v>0.08699999999999999</v>
      </c>
      <c r="C283" t="n">
        <v>48.1</v>
      </c>
    </row>
    <row r="284">
      <c r="A284" s="113" t="n">
        <v>41790</v>
      </c>
      <c r="B284" t="n">
        <v>0.08799999999999999</v>
      </c>
      <c r="C284" t="n">
        <v>49.4</v>
      </c>
    </row>
    <row r="285">
      <c r="A285" s="113" t="n">
        <v>41820</v>
      </c>
      <c r="B285" t="n">
        <v>0.092</v>
      </c>
      <c r="C285" t="n">
        <v>50.7</v>
      </c>
    </row>
    <row r="286">
      <c r="A286" s="113" t="n">
        <v>41851</v>
      </c>
      <c r="B286" t="n">
        <v>0.09</v>
      </c>
      <c r="C286" t="n">
        <v>51.7</v>
      </c>
    </row>
    <row r="287">
      <c r="A287" s="113" t="n">
        <v>41882</v>
      </c>
      <c r="B287" t="n">
        <v>0.06900000000000001</v>
      </c>
      <c r="C287" t="n">
        <v>50.2</v>
      </c>
    </row>
    <row r="288">
      <c r="A288" s="113" t="n">
        <v>41912</v>
      </c>
      <c r="B288" t="n">
        <v>0.08</v>
      </c>
      <c r="C288" t="n">
        <v>51.1</v>
      </c>
    </row>
    <row r="289">
      <c r="A289" s="113" t="n">
        <v>41943</v>
      </c>
      <c r="B289" t="n">
        <v>0.077</v>
      </c>
      <c r="C289" t="n">
        <v>50.8</v>
      </c>
    </row>
    <row r="290">
      <c r="A290" s="113" t="n">
        <v>41973</v>
      </c>
      <c r="B290" t="n">
        <v>0.07199999999999999</v>
      </c>
      <c r="C290" t="n">
        <v>50.3</v>
      </c>
    </row>
    <row r="291">
      <c r="A291" s="113" t="n">
        <v>42004</v>
      </c>
      <c r="B291" t="n">
        <v>0.079</v>
      </c>
      <c r="C291" t="n">
        <v>50.1</v>
      </c>
    </row>
    <row r="292">
      <c r="A292" s="113" t="n">
        <v>42063</v>
      </c>
      <c r="B292" t="n">
        <v>0.068</v>
      </c>
      <c r="C292" t="n">
        <v>49.9</v>
      </c>
    </row>
    <row r="293">
      <c r="A293" s="113" t="n">
        <v>42094</v>
      </c>
      <c r="B293" t="n">
        <v>0.056</v>
      </c>
      <c r="C293" t="n">
        <v>50.1</v>
      </c>
    </row>
    <row r="294">
      <c r="A294" s="113" t="n">
        <v>42124</v>
      </c>
      <c r="B294" t="n">
        <v>0.059</v>
      </c>
      <c r="C294" t="n">
        <v>50.1</v>
      </c>
    </row>
    <row r="295">
      <c r="A295" s="113" t="n">
        <v>42155</v>
      </c>
      <c r="B295" t="n">
        <v>0.061</v>
      </c>
      <c r="C295" t="n">
        <v>50.2</v>
      </c>
    </row>
    <row r="296">
      <c r="A296" s="113" t="n">
        <v>42185</v>
      </c>
      <c r="B296" t="n">
        <v>0.068</v>
      </c>
      <c r="C296" t="n">
        <v>50.2</v>
      </c>
    </row>
    <row r="297">
      <c r="A297" s="113" t="n">
        <v>42216</v>
      </c>
      <c r="B297" t="n">
        <v>0.06</v>
      </c>
      <c r="C297" t="n">
        <v>50</v>
      </c>
    </row>
    <row r="298">
      <c r="A298" s="113" t="n">
        <v>42247</v>
      </c>
      <c r="B298" t="n">
        <v>0.061</v>
      </c>
      <c r="C298" t="n">
        <v>47.3</v>
      </c>
    </row>
    <row r="299">
      <c r="A299" s="113" t="n">
        <v>42277</v>
      </c>
      <c r="B299" t="n">
        <v>0.057</v>
      </c>
      <c r="C299" t="n">
        <v>47.2</v>
      </c>
    </row>
    <row r="300">
      <c r="A300" s="113" t="n">
        <v>42308</v>
      </c>
      <c r="B300" t="n">
        <v>0.056</v>
      </c>
      <c r="C300" t="n">
        <v>48.3</v>
      </c>
    </row>
    <row r="301">
      <c r="A301" s="113" t="n">
        <v>42338</v>
      </c>
      <c r="B301" t="n">
        <v>0.062</v>
      </c>
      <c r="C301" t="n">
        <v>48.6</v>
      </c>
    </row>
    <row r="302">
      <c r="A302" s="113" t="n">
        <v>42369</v>
      </c>
      <c r="B302" t="n">
        <v>0.059</v>
      </c>
      <c r="C302" t="n">
        <v>48.2</v>
      </c>
    </row>
    <row r="303">
      <c r="A303" s="113" t="n">
        <v>42400</v>
      </c>
      <c r="B303" t="n">
        <v>0.054</v>
      </c>
      <c r="C303" t="n">
        <v>48.4</v>
      </c>
    </row>
    <row r="304">
      <c r="A304" s="113" t="n">
        <v>42460</v>
      </c>
      <c r="B304" t="n">
        <v>0.068</v>
      </c>
      <c r="C304" t="n">
        <v>49.7</v>
      </c>
    </row>
    <row r="305">
      <c r="A305" s="113" t="n">
        <v>42490</v>
      </c>
      <c r="B305" t="n">
        <v>0.06</v>
      </c>
      <c r="C305" t="n">
        <v>49.4</v>
      </c>
    </row>
    <row r="306">
      <c r="A306" s="113" t="n">
        <v>42521</v>
      </c>
      <c r="B306" t="n">
        <v>0.06</v>
      </c>
      <c r="C306" t="n">
        <v>49.2</v>
      </c>
    </row>
    <row r="307">
      <c r="A307" s="113" t="n">
        <v>42551</v>
      </c>
      <c r="B307" t="n">
        <v>0.062</v>
      </c>
      <c r="C307" t="n">
        <v>48.6</v>
      </c>
    </row>
    <row r="308">
      <c r="A308" s="113" t="n">
        <v>42582</v>
      </c>
      <c r="B308" t="n">
        <v>0.06</v>
      </c>
      <c r="C308" t="n">
        <v>50.6</v>
      </c>
    </row>
    <row r="309">
      <c r="A309" s="113" t="n">
        <v>42613</v>
      </c>
      <c r="B309" t="n">
        <v>0.063</v>
      </c>
      <c r="C309" t="n">
        <v>50</v>
      </c>
    </row>
    <row r="310">
      <c r="A310" s="113" t="n">
        <v>42643</v>
      </c>
      <c r="B310" t="n">
        <v>0.061</v>
      </c>
      <c r="C310" t="n">
        <v>50.1</v>
      </c>
    </row>
    <row r="311">
      <c r="A311" s="113" t="n">
        <v>42674</v>
      </c>
      <c r="B311" t="n">
        <v>0.061</v>
      </c>
      <c r="C311" t="n">
        <v>51.2</v>
      </c>
    </row>
    <row r="312">
      <c r="A312" s="113" t="n">
        <v>42704</v>
      </c>
      <c r="B312" t="n">
        <v>0.062</v>
      </c>
      <c r="C312" t="n">
        <v>50.9</v>
      </c>
    </row>
    <row r="313">
      <c r="A313" s="113" t="n">
        <v>42735</v>
      </c>
      <c r="B313" t="n">
        <v>0.06</v>
      </c>
      <c r="C313" t="n">
        <v>51.9</v>
      </c>
    </row>
    <row r="314">
      <c r="A314" s="113" t="n">
        <v>42766</v>
      </c>
      <c r="B314" t="n">
        <v>0.063</v>
      </c>
      <c r="C314" t="n">
        <v>51</v>
      </c>
    </row>
    <row r="315">
      <c r="A315" s="113" t="n">
        <v>42825</v>
      </c>
      <c r="B315" t="n">
        <v>0.076</v>
      </c>
      <c r="C315" t="n">
        <v>51.2</v>
      </c>
    </row>
    <row r="316">
      <c r="A316" s="113" t="n">
        <v>42855</v>
      </c>
      <c r="B316" t="n">
        <v>0.065</v>
      </c>
      <c r="C316" t="n">
        <v>50.3</v>
      </c>
    </row>
    <row r="317">
      <c r="A317" s="113" t="n">
        <v>42886</v>
      </c>
      <c r="B317" t="n">
        <v>0.065</v>
      </c>
      <c r="C317" t="n">
        <v>49.6</v>
      </c>
    </row>
    <row r="318">
      <c r="A318" s="113" t="n">
        <v>42916</v>
      </c>
      <c r="B318" t="n">
        <v>0.076</v>
      </c>
      <c r="C318" t="n">
        <v>50.4</v>
      </c>
    </row>
    <row r="319">
      <c r="A319" s="113" t="n">
        <v>42947</v>
      </c>
      <c r="B319" t="n">
        <v>0.064</v>
      </c>
      <c r="C319" t="n">
        <v>51.1</v>
      </c>
    </row>
    <row r="320">
      <c r="A320" s="113" t="n">
        <v>42978</v>
      </c>
      <c r="B320" t="n">
        <v>0.06</v>
      </c>
      <c r="C320" t="n">
        <v>51.6</v>
      </c>
    </row>
    <row r="321">
      <c r="A321" s="113" t="n">
        <v>43008</v>
      </c>
      <c r="B321" t="n">
        <v>0.066</v>
      </c>
      <c r="C321" t="n">
        <v>51</v>
      </c>
    </row>
    <row r="322">
      <c r="A322" s="113" t="n">
        <v>43039</v>
      </c>
      <c r="B322" t="n">
        <v>0.062</v>
      </c>
      <c r="C322" t="n">
        <v>51</v>
      </c>
    </row>
    <row r="323">
      <c r="A323" s="113" t="n">
        <v>43069</v>
      </c>
      <c r="B323" t="n">
        <v>0.061</v>
      </c>
      <c r="C323" t="n">
        <v>50.8</v>
      </c>
    </row>
    <row r="324">
      <c r="A324" s="113" t="n">
        <v>43100</v>
      </c>
      <c r="B324" t="n">
        <v>0.062</v>
      </c>
      <c r="C324" t="n">
        <v>51.5</v>
      </c>
    </row>
    <row r="325">
      <c r="A325" s="113" t="n">
        <v>43159</v>
      </c>
      <c r="B325" t="n">
        <v>0.07199999999999999</v>
      </c>
      <c r="C325" t="n">
        <v>51.5</v>
      </c>
    </row>
    <row r="326">
      <c r="A326" s="113" t="n">
        <v>43190</v>
      </c>
      <c r="B326" t="n">
        <v>0.06</v>
      </c>
      <c r="C326" t="n">
        <v>51</v>
      </c>
    </row>
    <row r="327">
      <c r="A327" s="113" t="n">
        <v>43220</v>
      </c>
      <c r="B327" t="n">
        <v>0.07000000000000001</v>
      </c>
      <c r="C327" t="n">
        <v>51.1</v>
      </c>
    </row>
    <row r="328">
      <c r="A328" s="113" t="n">
        <v>43251</v>
      </c>
      <c r="B328" t="n">
        <v>0.068</v>
      </c>
      <c r="C328" t="n">
        <v>51.1</v>
      </c>
    </row>
    <row r="329">
      <c r="A329" s="113" t="n">
        <v>43281</v>
      </c>
      <c r="B329" t="n">
        <v>0.06</v>
      </c>
      <c r="C329" t="n">
        <v>51</v>
      </c>
    </row>
    <row r="330">
      <c r="A330" s="113" t="n">
        <v>43312</v>
      </c>
      <c r="B330" t="n">
        <v>0.06</v>
      </c>
      <c r="C330" t="n">
        <v>50.8</v>
      </c>
    </row>
    <row r="331">
      <c r="A331" s="113" t="n">
        <v>43343</v>
      </c>
      <c r="B331" t="n">
        <v>0.061</v>
      </c>
      <c r="C331" t="n">
        <v>50.6</v>
      </c>
    </row>
    <row r="332">
      <c r="A332" s="113" t="n">
        <v>43373</v>
      </c>
      <c r="B332" t="n">
        <v>0.058</v>
      </c>
      <c r="C332" t="n">
        <v>50</v>
      </c>
    </row>
    <row r="333">
      <c r="A333" s="113" t="n">
        <v>43404</v>
      </c>
      <c r="B333" t="n">
        <v>0.059</v>
      </c>
      <c r="C333" t="n">
        <v>50.1</v>
      </c>
    </row>
    <row r="334">
      <c r="A334" s="113" t="n">
        <v>43434</v>
      </c>
      <c r="B334" t="n">
        <v>0.054</v>
      </c>
      <c r="C334" t="n">
        <v>50.2</v>
      </c>
    </row>
    <row r="335">
      <c r="A335" s="113" t="n">
        <v>43465</v>
      </c>
      <c r="B335" t="n">
        <v>0.057</v>
      </c>
      <c r="C335" t="n">
        <v>49.7</v>
      </c>
    </row>
    <row r="336">
      <c r="A336" s="113" t="n">
        <v>43496</v>
      </c>
      <c r="B336" t="n">
        <v>0.053</v>
      </c>
      <c r="C336" t="n">
        <v>48.3</v>
      </c>
    </row>
    <row r="337">
      <c r="A337" s="113" t="n">
        <v>43524</v>
      </c>
      <c r="B337" t="n">
        <v>0.08500000000000001</v>
      </c>
      <c r="C337" t="n">
        <v>49.9</v>
      </c>
    </row>
    <row r="338">
      <c r="A338" s="113" t="n">
        <v>43555</v>
      </c>
      <c r="B338" t="n">
        <v>0.054</v>
      </c>
      <c r="C338" t="n">
        <v>50.8</v>
      </c>
    </row>
    <row r="339">
      <c r="A339" s="113" t="n">
        <v>43585</v>
      </c>
      <c r="B339" t="n">
        <v>0.054</v>
      </c>
      <c r="C339" t="n">
        <v>50.2</v>
      </c>
    </row>
    <row r="340">
      <c r="A340" s="113" t="n">
        <v>43616</v>
      </c>
      <c r="B340" t="n">
        <v>0.05</v>
      </c>
      <c r="C340" t="n">
        <v>50.2</v>
      </c>
    </row>
    <row r="341">
      <c r="A341" s="113" t="n">
        <v>43646</v>
      </c>
      <c r="B341" t="n">
        <v>0.063</v>
      </c>
      <c r="C341" t="n">
        <v>49.4</v>
      </c>
    </row>
    <row r="342">
      <c r="A342" s="113" t="n">
        <v>43677</v>
      </c>
      <c r="B342" t="n">
        <v>0.048</v>
      </c>
      <c r="C342" t="n">
        <v>49.9</v>
      </c>
    </row>
    <row r="343">
      <c r="A343" s="113" t="n">
        <v>43708</v>
      </c>
      <c r="B343" t="n">
        <v>0.044</v>
      </c>
      <c r="C343" t="n">
        <v>50.4</v>
      </c>
    </row>
    <row r="344">
      <c r="A344" s="113" t="n">
        <v>43738</v>
      </c>
      <c r="B344" t="n">
        <v>0.058</v>
      </c>
      <c r="C344" t="n">
        <v>51.4</v>
      </c>
    </row>
    <row r="345">
      <c r="A345" s="113" t="n">
        <v>43769</v>
      </c>
      <c r="B345" t="n">
        <v>0.047</v>
      </c>
      <c r="C345" t="n">
        <v>51.7</v>
      </c>
    </row>
    <row r="346">
      <c r="A346" s="113" t="n">
        <v>43799</v>
      </c>
      <c r="B346" t="n">
        <v>0.062</v>
      </c>
      <c r="C346" t="n">
        <v>51.8</v>
      </c>
    </row>
    <row r="347">
      <c r="A347" s="113" t="n">
        <v>43830</v>
      </c>
      <c r="B347" t="n">
        <v>0.06900000000000001</v>
      </c>
      <c r="C347" t="n">
        <v>51.5</v>
      </c>
    </row>
    <row r="348">
      <c r="A348" s="113" t="n">
        <v>43890</v>
      </c>
      <c r="B348" t="n">
        <v>-0.135</v>
      </c>
      <c r="C348" t="n">
        <v>51.1</v>
      </c>
    </row>
    <row r="349">
      <c r="A349" s="113" t="n">
        <v>43921</v>
      </c>
      <c r="B349" t="n">
        <v>-0.011</v>
      </c>
      <c r="C349" t="n">
        <v>40.3</v>
      </c>
    </row>
    <row r="350">
      <c r="A350" s="113" t="n">
        <v>43951</v>
      </c>
      <c r="B350" t="n">
        <v>0.039</v>
      </c>
      <c r="C350" t="n">
        <v>50.1</v>
      </c>
    </row>
    <row r="351">
      <c r="A351" s="113" t="n">
        <v>43982</v>
      </c>
      <c r="B351" t="n">
        <v>0.044</v>
      </c>
      <c r="C351" t="n">
        <v>49.4</v>
      </c>
    </row>
    <row r="352">
      <c r="A352" s="113" t="n">
        <v>44012</v>
      </c>
      <c r="B352" t="n">
        <v>0.048</v>
      </c>
      <c r="C352" t="n">
        <v>50.7</v>
      </c>
    </row>
    <row r="353">
      <c r="A353" s="113" t="n">
        <v>44043</v>
      </c>
      <c r="B353" t="n">
        <v>0.048</v>
      </c>
      <c r="C353" t="n">
        <v>51.2</v>
      </c>
    </row>
    <row r="354">
      <c r="A354" s="113" t="n">
        <v>44074</v>
      </c>
      <c r="B354" t="n">
        <v>0.056</v>
      </c>
      <c r="C354" t="n">
        <v>52.8</v>
      </c>
    </row>
    <row r="355">
      <c r="A355" s="113" t="n">
        <v>44104</v>
      </c>
      <c r="B355" t="n">
        <v>0.06900000000000001</v>
      </c>
      <c r="C355" t="n">
        <v>53.1</v>
      </c>
    </row>
    <row r="356">
      <c r="A356" s="113" t="n">
        <v>44135</v>
      </c>
      <c r="B356" t="n">
        <v>0.06900000000000001</v>
      </c>
      <c r="C356" t="n">
        <v>53</v>
      </c>
    </row>
    <row r="357">
      <c r="A357" s="113" t="n">
        <v>44165</v>
      </c>
      <c r="B357" t="n">
        <v>0.07000000000000001</v>
      </c>
      <c r="C357" t="n">
        <v>53.6</v>
      </c>
    </row>
    <row r="358">
      <c r="A358" s="113" t="n">
        <v>44561</v>
      </c>
      <c r="B358" t="n">
        <v>0.038</v>
      </c>
      <c r="C358" t="n">
        <v>49.9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outlinePr summaryBelow="1" summaryRight="1"/>
    <pageSetUpPr/>
  </sheetPr>
  <dimension ref="A1:Z393"/>
  <sheetViews>
    <sheetView zoomScale="150" zoomScaleNormal="150" workbookViewId="0">
      <pane xSplit="2" ySplit="9" topLeftCell="C345" activePane="bottomRight" state="frozen"/>
      <selection pane="topRight" activeCell="C1" sqref="C1"/>
      <selection pane="bottomLeft" activeCell="A10" sqref="A10"/>
      <selection pane="bottomRight" activeCell="F329" sqref="F329"/>
    </sheetView>
  </sheetViews>
  <sheetFormatPr baseColWidth="10" defaultColWidth="8.83203125" defaultRowHeight="15"/>
  <cols>
    <col width="10.6640625" bestFit="1" customWidth="1" style="94" min="1" max="1"/>
    <col width="13.6640625" customWidth="1" style="82" min="2" max="2"/>
    <col width="7.1640625" customWidth="1" style="82" min="3" max="3"/>
    <col width="7" customWidth="1" style="82" min="4" max="4"/>
    <col width="6.1640625" customWidth="1" style="82" min="5" max="11"/>
    <col hidden="1" width="6.33203125" customWidth="1" style="82" min="12" max="13"/>
    <col hidden="1" width="6.1640625" customWidth="1" style="82" min="14" max="14"/>
    <col width="6.1640625" customWidth="1" style="82" min="15" max="20"/>
    <col width="6.6640625" customWidth="1" style="82" min="21" max="21"/>
    <col width="6.1640625" customWidth="1" style="82" min="22" max="22"/>
    <col width="6.1640625" customWidth="1" style="94" min="23" max="23"/>
    <col width="15.33203125" customWidth="1" style="94" min="24" max="25"/>
    <col width="10.6640625" bestFit="1" customWidth="1" style="94" min="26" max="26"/>
    <col width="9.1640625" customWidth="1" style="94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94" thickBot="1">
      <c r="Y2" s="94" t="inlineStr">
        <is>
          <t>Last month</t>
        </is>
      </c>
      <c r="Z2" s="14" t="n">
        <v>44105</v>
      </c>
    </row>
    <row r="3" ht="75.75" customHeight="1" s="82">
      <c r="B3" s="51" t="n"/>
      <c r="C3" s="52" t="inlineStr">
        <is>
          <t>US</t>
        </is>
      </c>
      <c r="D3" s="53" t="inlineStr">
        <is>
          <t>Eurozone</t>
        </is>
      </c>
      <c r="E3" s="54" t="inlineStr">
        <is>
          <t xml:space="preserve">Japan </t>
        </is>
      </c>
      <c r="F3" s="55" t="inlineStr">
        <is>
          <t>Germany</t>
        </is>
      </c>
      <c r="G3" s="55" t="inlineStr">
        <is>
          <t>France</t>
        </is>
      </c>
      <c r="H3" s="55" t="inlineStr">
        <is>
          <t>UK</t>
        </is>
      </c>
      <c r="I3" s="55" t="inlineStr">
        <is>
          <t xml:space="preserve">Italy </t>
        </is>
      </c>
      <c r="J3" s="55" t="inlineStr">
        <is>
          <t>Spain</t>
        </is>
      </c>
      <c r="K3" s="55" t="inlineStr">
        <is>
          <t>Sweden</t>
        </is>
      </c>
      <c r="L3" s="55" t="inlineStr">
        <is>
          <t>Mexico</t>
        </is>
      </c>
      <c r="M3" s="55" t="inlineStr">
        <is>
          <t>Russia</t>
        </is>
      </c>
      <c r="N3" s="55" t="inlineStr">
        <is>
          <t>India</t>
        </is>
      </c>
      <c r="O3" s="55" t="inlineStr">
        <is>
          <t>Canada</t>
        </is>
      </c>
      <c r="P3" s="55" t="inlineStr">
        <is>
          <t xml:space="preserve">S Korea </t>
        </is>
      </c>
      <c r="Q3" s="55" t="inlineStr">
        <is>
          <t>Brazil</t>
        </is>
      </c>
      <c r="R3" s="55" t="inlineStr">
        <is>
          <t>Greece</t>
        </is>
      </c>
      <c r="S3" s="55" t="inlineStr">
        <is>
          <t>Ireland</t>
        </is>
      </c>
      <c r="T3" s="55" t="inlineStr">
        <is>
          <t>Turkey</t>
        </is>
      </c>
      <c r="U3" s="55" t="inlineStr">
        <is>
          <t xml:space="preserve">Czech </t>
        </is>
      </c>
      <c r="V3" s="56" t="inlineStr">
        <is>
          <t>Poland</t>
        </is>
      </c>
      <c r="Z3" s="16">
        <f>EDATE(Z2,-1)</f>
        <v/>
      </c>
    </row>
    <row r="4">
      <c r="B4" s="57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8">
        <f>MAX(V382:V393)</f>
        <v/>
      </c>
      <c r="Z4" s="16">
        <f>EDATE(Z2,-12)</f>
        <v/>
      </c>
    </row>
    <row r="5">
      <c r="B5" s="57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8">
        <f>MIN(V382:V393)</f>
        <v/>
      </c>
    </row>
    <row r="6">
      <c r="B6" s="57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8">
        <f>AVERAGE(V382:V393)</f>
        <v/>
      </c>
    </row>
    <row r="7">
      <c r="B7" s="57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9">
        <f>IF((VLOOKUP($Z$2,$B:$V,MATCH(V3,$B$3:$V$3,),))&gt;V6,"above","below")</f>
        <v/>
      </c>
    </row>
    <row r="8">
      <c r="B8" s="57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60">
        <f>VLOOKUP($Z$2,$B:$V,MATCH(V3,$B$3:$V$3,),)-VLOOKUP($Z$4,$B:$V,MATCH(V3,$B$3:$V$3,),)</f>
        <v/>
      </c>
    </row>
    <row r="9" ht="16" customHeight="1" s="82" thickBot="1">
      <c r="B9" s="61" t="inlineStr">
        <is>
          <t>M/M</t>
        </is>
      </c>
      <c r="C9" s="62">
        <f>VLOOKUP($Z$2,$B:$V,MATCH(C3,$B$3:$V$3,),)-VLOOKUP($Z$3,$B:$V,MATCH(C3,$B$3:$V$3,),)</f>
        <v/>
      </c>
      <c r="D9" s="62">
        <f>VLOOKUP($Z$2,$B:$V,MATCH(D3,$B$3:$V$3,),)-VLOOKUP($Z$3,$B:$V,MATCH(D3,$B$3:$V$3,),)</f>
        <v/>
      </c>
      <c r="E9" s="62">
        <f>VLOOKUP($Z$2,$B:$V,MATCH(E3,$B$3:$V$3,),)-VLOOKUP($Z$3,$B:$V,MATCH(E3,$B$3:$V$3,),)</f>
        <v/>
      </c>
      <c r="F9" s="62">
        <f>VLOOKUP($Z$2,$B:$V,MATCH(F3,$B$3:$V$3,),)-VLOOKUP($Z$3,$B:$V,MATCH(F3,$B$3:$V$3,),)</f>
        <v/>
      </c>
      <c r="G9" s="62">
        <f>VLOOKUP($Z$2,$B:$V,MATCH(G3,$B$3:$V$3,),)-VLOOKUP($Z$3,$B:$V,MATCH(G3,$B$3:$V$3,),)</f>
        <v/>
      </c>
      <c r="H9" s="62">
        <f>VLOOKUP($Z$2,$B:$V,MATCH(H3,$B$3:$V$3,),)-VLOOKUP($Z$3,$B:$V,MATCH(H3,$B$3:$V$3,),)</f>
        <v/>
      </c>
      <c r="I9" s="62">
        <f>VLOOKUP($Z$2,$B:$V,MATCH(I3,$B$3:$V$3,),)-VLOOKUP($Z$3,$B:$V,MATCH(I3,$B$3:$V$3,),)</f>
        <v/>
      </c>
      <c r="J9" s="62">
        <f>VLOOKUP($Z$2,$B:$V,MATCH(J3,$B$3:$V$3,),)-VLOOKUP($Z$3,$B:$V,MATCH(J3,$B$3:$V$3,),)</f>
        <v/>
      </c>
      <c r="K9" s="62">
        <f>VLOOKUP($Z$2,$B:$V,MATCH(K3,$B$3:$V$3,),)-VLOOKUP($Z$3,$B:$V,MATCH(K3,$B$3:$V$3,),)</f>
        <v/>
      </c>
      <c r="L9" s="62">
        <f>VLOOKUP($Z$2,$B:$V,MATCH(L3,$B$3:$V$3,),)-VLOOKUP($Z$3,$B:$V,MATCH(L3,$B$3:$V$3,),)</f>
        <v/>
      </c>
      <c r="M9" s="62">
        <f>VLOOKUP($Z$2,$B:$V,MATCH(M3,$B$3:$V$3,),)-VLOOKUP($Z$3,$B:$V,MATCH(M3,$B$3:$V$3,),)</f>
        <v/>
      </c>
      <c r="N9" s="62">
        <f>VLOOKUP($Z$2,$B:$V,MATCH(N3,$B$3:$V$3,),)-VLOOKUP($Z$3,$B:$V,MATCH(N3,$B$3:$V$3,),)</f>
        <v/>
      </c>
      <c r="O9" s="62">
        <f>VLOOKUP($Z$2,$B:$V,MATCH(O3,$B$3:$V$3,),)-VLOOKUP($Z$3,$B:$V,MATCH(O3,$B$3:$V$3,),)</f>
        <v/>
      </c>
      <c r="P9" s="62">
        <f>VLOOKUP($Z$2,$B:$V,MATCH(P3,$B$3:$V$3,),)-VLOOKUP($Z$3,$B:$V,MATCH(P3,$B$3:$V$3,),)</f>
        <v/>
      </c>
      <c r="Q9" s="62">
        <f>VLOOKUP($Z$2,$B:$V,MATCH(Q3,$B$3:$V$3,),)-VLOOKUP($Z$3,$B:$V,MATCH(Q3,$B$3:$V$3,),)</f>
        <v/>
      </c>
      <c r="R9" s="62">
        <f>VLOOKUP($Z$2,$B:$V,MATCH(R3,$B$3:$V$3,),)-VLOOKUP($Z$3,$B:$V,MATCH(R3,$B$3:$V$3,),)</f>
        <v/>
      </c>
      <c r="S9" s="62">
        <f>VLOOKUP($Z$2,$B:$V,MATCH(S3,$B$3:$V$3,),)-VLOOKUP($Z$3,$B:$V,MATCH(S3,$B$3:$V$3,),)</f>
        <v/>
      </c>
      <c r="T9" s="62">
        <f>VLOOKUP($Z$2,$B:$V,MATCH(T3,$B$3:$V$3,),)-VLOOKUP($Z$3,$B:$V,MATCH(T3,$B$3:$V$3,),)</f>
        <v/>
      </c>
      <c r="U9" s="62">
        <f>VLOOKUP($Z$2,$B:$V,MATCH(U3,$B$3:$V$3,),)-VLOOKUP($Z$3,$B:$V,MATCH(U3,$B$3:$V$3,),)</f>
        <v/>
      </c>
      <c r="V9" s="63">
        <f>VLOOKUP($Z$2,$B:$V,MATCH(V3,$B$3:$V$3,),)-VLOOKUP($Z$3,$B:$V,MATCH(V3,$B$3:$V$3,),)</f>
        <v/>
      </c>
    </row>
    <row r="10">
      <c r="B10" s="49" t="n"/>
      <c r="C10" s="50" t="n"/>
      <c r="D10" s="50" t="n"/>
      <c r="E10" s="50" t="n"/>
      <c r="F10" s="50" t="n"/>
      <c r="G10" s="50" t="n"/>
      <c r="H10" s="50" t="n"/>
      <c r="I10" s="50" t="n"/>
      <c r="J10" s="50" t="n"/>
      <c r="K10" s="50" t="n"/>
      <c r="L10" s="50" t="n"/>
      <c r="M10" s="50" t="n"/>
      <c r="N10" s="50" t="n"/>
      <c r="O10" s="50" t="n"/>
      <c r="P10" s="50" t="n"/>
      <c r="Q10" s="50" t="n"/>
      <c r="R10" s="50" t="n"/>
      <c r="S10" s="50" t="n"/>
      <c r="T10" s="50" t="n"/>
      <c r="U10" s="50" t="n"/>
      <c r="V10" s="50" t="n"/>
    </row>
    <row r="11" hidden="1" s="82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2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2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2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2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2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2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2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2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2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2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2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2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94">
      <c r="A24" s="44" t="n"/>
      <c r="B24" s="85" t="n">
        <v>32874</v>
      </c>
      <c r="C24" s="13">
        <f>((((VLOOKUP(B24,Database!$A:$AS,MATCH($C$1,Database!$A$1:$AS$1,),))))-(((VLOOKUP(EDATE(B24,-12),Database!$A:$AS,MATCH($C$1,Database!$A$1:$AS$1,),)))))/(((VLOOKUP(EDATE(B24,-12),Database!$A:$AS,MATCH($C$1,Database!$A$1:$AS$1,),))))</f>
        <v/>
      </c>
      <c r="D24" s="13">
        <f>((((VLOOKUP(B24,Database!$A:$AS,MATCH($D$1,Database!$A$1:$AS$1,),))))-(((VLOOKUP(EDATE(B24,-12),Database!$A:$AS,MATCH($D$1,Database!$A$1:$AS$1,),)))))/(((VLOOKUP(EDATE(B24,-12),Database!$A:$AS,MATCH($D$1,Database!$A$1:$AS$1,),))))</f>
        <v/>
      </c>
      <c r="E24" s="13">
        <f>((((VLOOKUP(B24,Database!$A:$AS,MATCH($E$1,Database!$A$1:$AS$1,),))))-(((VLOOKUP(EDATE(B24,-12),Database!$A:$AS,MATCH($E$1,Database!$A$1:$AS$1,),)))))/(((VLOOKUP(EDATE(B24,-12),Database!$A:$AS,MATCH($E$1,Database!$A$1:$AS$1,),))))</f>
        <v/>
      </c>
      <c r="F24" s="13">
        <f>((((VLOOKUP(B24,Database!$A:$AS,MATCH($F$1,Database!$A$1:$AS$1,),))))-(((VLOOKUP(EDATE(B24,-12),Database!$A:$AS,MATCH($F$1,Database!$A$1:$AS$1,),)))))/(((VLOOKUP(EDATE(B24,-12),Database!$A:$AS,MATCH($F$1,Database!$A$1:$AS$1,),))))</f>
        <v/>
      </c>
      <c r="G24" s="13">
        <f>((((VLOOKUP(B24,Database!$A:$AS,MATCH($G$1,Database!$A$1:$AS$1,),))))-(((VLOOKUP(EDATE(B24,-12),Database!$A:$AS,MATCH($G$1,Database!$A$1:$AS$1,),)))))/(((VLOOKUP(EDATE(B24,-12),Database!$A:$AS,MATCH($G$1,Database!$A$1:$AS$1,),))))</f>
        <v/>
      </c>
      <c r="H24" s="13">
        <f>((((VLOOKUP(B24,Database!$A:$AS,MATCH($H$1,Database!$A$1:$AS$1,),))))-(((VLOOKUP(EDATE(B24,-12),Database!$A:$AS,MATCH($H$1,Database!$A$1:$AS$1,),)))))/(((VLOOKUP(EDATE(B24,-12),Database!$A:$AS,MATCH($H$1,Database!$A$1:$AS$1,),))))</f>
        <v/>
      </c>
      <c r="I24" s="13">
        <f>((((VLOOKUP(B24,Database!$A:$AS,MATCH($I$1,Database!$A$1:$AS$1,),))))-(((VLOOKUP(EDATE(B24,-12),Database!$A:$AS,MATCH($I$1,Database!$A$1:$AS$1,),)))))/(((VLOOKUP(EDATE(B24,-12),Database!$A:$AS,MATCH($I$1,Database!$A$1:$AS$1,),))))</f>
        <v/>
      </c>
      <c r="J24" s="13">
        <f>((((VLOOKUP(B24,Database!$A:$AS,MATCH($J$1,Database!$A$1:$AS$1,),))))-(((VLOOKUP(EDATE(B24,-12),Database!$A:$AS,MATCH($J$1,Database!$A$1:$AS$1,),)))))/(((VLOOKUP(EDATE(B24,-12),Database!$A:$AS,MATCH($J$1,Database!$A$1:$AS$1,),))))</f>
        <v/>
      </c>
      <c r="K24" s="13">
        <f>((((VLOOKUP(B24,Database!$A:$AS,MATCH($K$1,Database!$A$1:$AS$1,),))))-(((VLOOKUP(EDATE(B24,-12),Database!$A:$AS,MATCH($K$1,Database!$A$1:$AS$1,),)))))/(((VLOOKUP(EDATE(B24,-12),Database!$A:$AS,MATCH($K$1,Database!$A$1:$AS$1,),))))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((((VLOOKUP(B24,Database!$A:$AS,MATCH($O$1,Database!$A$1:$AS$1,),))))-(((VLOOKUP(EDATE(B24,-12),Database!$A:$AS,MATCH($O$1,Database!$A$1:$AS$1,),)))))/(((VLOOKUP(EDATE(B24,-12),Database!$A:$AS,MATCH($O$1,Database!$A$1:$AS$1,),))))</f>
        <v/>
      </c>
      <c r="P24" s="13">
        <f>((((VLOOKUP(B24,Database!$A:$AS,MATCH($P$1,Database!$A$1:$AS$1,),))))-(((VLOOKUP(EDATE(B24,-12),Database!$A:$AS,MATCH($P$1,Database!$A$1:$AS$1,),)))))/(((VLOOKUP(EDATE(B24,-12),Database!$A:$AS,MATCH($P$1,Database!$A$1:$AS$1,),))))</f>
        <v/>
      </c>
      <c r="Q24" s="13">
        <f>((((VLOOKUP(B24,Database!$A:$AS,MATCH($Q$1,Database!$A$1:$AS$1,),))))-(((VLOOKUP(EDATE(B24,-12),Database!$A:$AS,MATCH($Q$1,Database!$A$1:$AS$1,),)))))/(((VLOOKUP(EDATE(B24,-12),Database!$A:$AS,MATCH($Q$1,Database!$A$1:$AS$1,),))))</f>
        <v/>
      </c>
      <c r="R24" s="13">
        <f>((((VLOOKUP(B24,Database!$A:$AS,MATCH($R$1,Database!$A$1:$AS$1,),))))-(((VLOOKUP(EDATE(B24,-12),Database!$A:$AS,MATCH($R$1,Database!$A$1:$AS$1,),)))))/(((VLOOKUP(EDATE(B24,-12),Database!$A:$AS,MATCH($R$1,Database!$A$1:$AS$1,),))))</f>
        <v/>
      </c>
      <c r="S24" s="13">
        <f>((((VLOOKUP(B24,Database!$A:$AS,MATCH($S$1,Database!$A$1:$AS$1,),))))-(((VLOOKUP(EDATE(B24,-12),Database!$A:$AS,MATCH($S$1,Database!$A$1:$AS$1,),)))))/(((VLOOKUP(EDATE(B24,-12),Database!$A:$AS,MATCH($S$1,Database!$A$1:$AS$1,),))))</f>
        <v/>
      </c>
      <c r="T24" s="13">
        <f>((((VLOOKUP(B24,Database!$A:$AS,MATCH($T$1,Database!$A$1:$AS$1,),))))-(((VLOOKUP(EDATE(B24,-12),Database!$A:$AS,MATCH($T$1,Database!$A$1:$AS$1,),)))))/(((VLOOKUP(EDATE(B24,-12),Database!$A:$AS,MATCH($T$1,Database!$A$1:$AS$1,),))))</f>
        <v/>
      </c>
      <c r="U24" s="13">
        <f>((((VLOOKUP(B24,Database!$A:$AS,MATCH($U$1,Database!$A$1:$AS$1,),))))-(((VLOOKUP(EDATE(B24,-12),Database!$A:$AS,MATCH($U$1,Database!$A$1:$AS$1,),)))))/(((VLOOKUP(EDATE(B24,-12),Database!$A:$AS,MATCH($U$1,Database!$A$1:$AS$1,),))))</f>
        <v/>
      </c>
      <c r="V24" s="13">
        <f>((((VLOOKUP(B24,Database!$A:$AS,MATCH($V$1,Database!$A$1:$AS$1,),))))-(((VLOOKUP(EDATE(B24,-12),Database!$A:$AS,MATCH($V$1,Database!$A$1:$AS$1,),)))))/(((VLOOKUP(EDATE(B24,-12),Database!$A:$AS,MATCH($V$1,Database!$A$1:$AS$1,),))))</f>
        <v/>
      </c>
      <c r="X24" s="44">
        <f>DATE(YEAR(B24),MONTH(B24)-12,DAY(B24))</f>
        <v/>
      </c>
    </row>
    <row r="25" customFormat="1" s="94">
      <c r="A25" s="44" t="n"/>
      <c r="B25" s="85" t="n">
        <v>32905</v>
      </c>
      <c r="C25" s="13">
        <f>((((VLOOKUP(B25,Database!$A:$AS,MATCH($C$1,Database!$A$1:$AS$1,),))))-(((VLOOKUP(EDATE(B25,-12),Database!$A:$AS,MATCH($C$1,Database!$A$1:$AS$1,),)))))/(((VLOOKUP(EDATE(B25,-12),Database!$A:$AS,MATCH($C$1,Database!$A$1:$AS$1,),))))</f>
        <v/>
      </c>
      <c r="D25" s="13">
        <f>((((VLOOKUP(B25,Database!$A:$AS,MATCH($D$1,Database!$A$1:$AS$1,),))))-(((VLOOKUP(EDATE(B25,-12),Database!$A:$AS,MATCH($D$1,Database!$A$1:$AS$1,),)))))/(((VLOOKUP(EDATE(B25,-12),Database!$A:$AS,MATCH($D$1,Database!$A$1:$AS$1,),))))</f>
        <v/>
      </c>
      <c r="E25" s="13">
        <f>((((VLOOKUP(B25,Database!$A:$AS,MATCH($E$1,Database!$A$1:$AS$1,),))))-(((VLOOKUP(EDATE(B25,-12),Database!$A:$AS,MATCH($E$1,Database!$A$1:$AS$1,),)))))/(((VLOOKUP(EDATE(B25,-12),Database!$A:$AS,MATCH($E$1,Database!$A$1:$AS$1,),))))</f>
        <v/>
      </c>
      <c r="F25" s="13">
        <f>((((VLOOKUP(B25,Database!$A:$AS,MATCH($F$1,Database!$A$1:$AS$1,),))))-(((VLOOKUP(EDATE(B25,-12),Database!$A:$AS,MATCH($F$1,Database!$A$1:$AS$1,),)))))/(((VLOOKUP(EDATE(B25,-12),Database!$A:$AS,MATCH($F$1,Database!$A$1:$AS$1,),))))</f>
        <v/>
      </c>
      <c r="G25" s="13">
        <f>((((VLOOKUP(B25,Database!$A:$AS,MATCH($G$1,Database!$A$1:$AS$1,),))))-(((VLOOKUP(EDATE(B25,-12),Database!$A:$AS,MATCH($G$1,Database!$A$1:$AS$1,),)))))/(((VLOOKUP(EDATE(B25,-12),Database!$A:$AS,MATCH($G$1,Database!$A$1:$AS$1,),))))</f>
        <v/>
      </c>
      <c r="H25" s="13">
        <f>((((VLOOKUP(B25,Database!$A:$AS,MATCH($H$1,Database!$A$1:$AS$1,),))))-(((VLOOKUP(EDATE(B25,-12),Database!$A:$AS,MATCH($H$1,Database!$A$1:$AS$1,),)))))/(((VLOOKUP(EDATE(B25,-12),Database!$A:$AS,MATCH($H$1,Database!$A$1:$AS$1,),))))</f>
        <v/>
      </c>
      <c r="I25" s="13">
        <f>((((VLOOKUP(B25,Database!$A:$AS,MATCH($I$1,Database!$A$1:$AS$1,),))))-(((VLOOKUP(EDATE(B25,-12),Database!$A:$AS,MATCH($I$1,Database!$A$1:$AS$1,),)))))/(((VLOOKUP(EDATE(B25,-12),Database!$A:$AS,MATCH($I$1,Database!$A$1:$AS$1,),))))</f>
        <v/>
      </c>
      <c r="J25" s="13">
        <f>((((VLOOKUP(B25,Database!$A:$AS,MATCH($J$1,Database!$A$1:$AS$1,),))))-(((VLOOKUP(EDATE(B25,-12),Database!$A:$AS,MATCH($J$1,Database!$A$1:$AS$1,),)))))/(((VLOOKUP(EDATE(B25,-12),Database!$A:$AS,MATCH($J$1,Database!$A$1:$AS$1,),))))</f>
        <v/>
      </c>
      <c r="K25" s="13">
        <f>((((VLOOKUP(B25,Database!$A:$AS,MATCH($K$1,Database!$A$1:$AS$1,),))))-(((VLOOKUP(EDATE(B25,-12),Database!$A:$AS,MATCH($K$1,Database!$A$1:$AS$1,),)))))/(((VLOOKUP(EDATE(B25,-12),Database!$A:$AS,MATCH($K$1,Database!$A$1:$AS$1,),))))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((((VLOOKUP(B25,Database!$A:$AS,MATCH($O$1,Database!$A$1:$AS$1,),))))-(((VLOOKUP(EDATE(B25,-12),Database!$A:$AS,MATCH($O$1,Database!$A$1:$AS$1,),)))))/(((VLOOKUP(EDATE(B25,-12),Database!$A:$AS,MATCH($O$1,Database!$A$1:$AS$1,),))))</f>
        <v/>
      </c>
      <c r="P25" s="13">
        <f>((((VLOOKUP(B25,Database!$A:$AS,MATCH($P$1,Database!$A$1:$AS$1,),))))-(((VLOOKUP(EDATE(B25,-12),Database!$A:$AS,MATCH($P$1,Database!$A$1:$AS$1,),)))))/(((VLOOKUP(EDATE(B25,-12),Database!$A:$AS,MATCH($P$1,Database!$A$1:$AS$1,),))))</f>
        <v/>
      </c>
      <c r="Q25" s="13">
        <f>((((VLOOKUP(B25,Database!$A:$AS,MATCH($Q$1,Database!$A$1:$AS$1,),))))-(((VLOOKUP(EDATE(B25,-12),Database!$A:$AS,MATCH($Q$1,Database!$A$1:$AS$1,),)))))/(((VLOOKUP(EDATE(B25,-12),Database!$A:$AS,MATCH($Q$1,Database!$A$1:$AS$1,),))))</f>
        <v/>
      </c>
      <c r="R25" s="13">
        <f>((((VLOOKUP(B25,Database!$A:$AS,MATCH($R$1,Database!$A$1:$AS$1,),))))-(((VLOOKUP(EDATE(B25,-12),Database!$A:$AS,MATCH($R$1,Database!$A$1:$AS$1,),)))))/(((VLOOKUP(EDATE(B25,-12),Database!$A:$AS,MATCH($R$1,Database!$A$1:$AS$1,),))))</f>
        <v/>
      </c>
      <c r="S25" s="13">
        <f>((((VLOOKUP(B25,Database!$A:$AS,MATCH($S$1,Database!$A$1:$AS$1,),))))-(((VLOOKUP(EDATE(B25,-12),Database!$A:$AS,MATCH($S$1,Database!$A$1:$AS$1,),)))))/(((VLOOKUP(EDATE(B25,-12),Database!$A:$AS,MATCH($S$1,Database!$A$1:$AS$1,),))))</f>
        <v/>
      </c>
      <c r="T25" s="13">
        <f>((((VLOOKUP(B25,Database!$A:$AS,MATCH($T$1,Database!$A$1:$AS$1,),))))-(((VLOOKUP(EDATE(B25,-12),Database!$A:$AS,MATCH($T$1,Database!$A$1:$AS$1,),)))))/(((VLOOKUP(EDATE(B25,-12),Database!$A:$AS,MATCH($T$1,Database!$A$1:$AS$1,),))))</f>
        <v/>
      </c>
      <c r="U25" s="13">
        <f>((((VLOOKUP(B25,Database!$A:$AS,MATCH($U$1,Database!$A$1:$AS$1,),))))-(((VLOOKUP(EDATE(B25,-12),Database!$A:$AS,MATCH($U$1,Database!$A$1:$AS$1,),)))))/(((VLOOKUP(EDATE(B25,-12),Database!$A:$AS,MATCH($U$1,Database!$A$1:$AS$1,),))))</f>
        <v/>
      </c>
      <c r="V25" s="13">
        <f>((((VLOOKUP(B25,Database!$A:$AS,MATCH($V$1,Database!$A$1:$AS$1,),))))-(((VLOOKUP(EDATE(B25,-12),Database!$A:$AS,MATCH($V$1,Database!$A$1:$AS$1,),)))))/(((VLOOKUP(EDATE(B25,-12),Database!$A:$AS,MATCH($V$1,Database!$A$1:$AS$1,),))))</f>
        <v/>
      </c>
      <c r="X25" s="44">
        <f>EDATE(A25,-12)</f>
        <v/>
      </c>
    </row>
    <row r="26" customFormat="1" s="94">
      <c r="A26" s="44" t="n"/>
      <c r="B26" s="85" t="n">
        <v>32933</v>
      </c>
      <c r="C26" s="13">
        <f>((((VLOOKUP(B26,Database!$A:$AS,MATCH($C$1,Database!$A$1:$AS$1,),))))-(((VLOOKUP(EDATE(B26,-12),Database!$A:$AS,MATCH($C$1,Database!$A$1:$AS$1,),)))))/(((VLOOKUP(EDATE(B26,-12),Database!$A:$AS,MATCH($C$1,Database!$A$1:$AS$1,),))))</f>
        <v/>
      </c>
      <c r="D26" s="13">
        <f>((((VLOOKUP(B26,Database!$A:$AS,MATCH($D$1,Database!$A$1:$AS$1,),))))-(((VLOOKUP(EDATE(B26,-12),Database!$A:$AS,MATCH($D$1,Database!$A$1:$AS$1,),)))))/(((VLOOKUP(EDATE(B26,-12),Database!$A:$AS,MATCH($D$1,Database!$A$1:$AS$1,),))))</f>
        <v/>
      </c>
      <c r="E26" s="13">
        <f>((((VLOOKUP(B26,Database!$A:$AS,MATCH($E$1,Database!$A$1:$AS$1,),))))-(((VLOOKUP(EDATE(B26,-12),Database!$A:$AS,MATCH($E$1,Database!$A$1:$AS$1,),)))))/(((VLOOKUP(EDATE(B26,-12),Database!$A:$AS,MATCH($E$1,Database!$A$1:$AS$1,),))))</f>
        <v/>
      </c>
      <c r="F26" s="13">
        <f>((((VLOOKUP(B26,Database!$A:$AS,MATCH($F$1,Database!$A$1:$AS$1,),))))-(((VLOOKUP(EDATE(B26,-12),Database!$A:$AS,MATCH($F$1,Database!$A$1:$AS$1,),)))))/(((VLOOKUP(EDATE(B26,-12),Database!$A:$AS,MATCH($F$1,Database!$A$1:$AS$1,),))))</f>
        <v/>
      </c>
      <c r="G26" s="13">
        <f>((((VLOOKUP(B26,Database!$A:$AS,MATCH($G$1,Database!$A$1:$AS$1,),))))-(((VLOOKUP(EDATE(B26,-12),Database!$A:$AS,MATCH($G$1,Database!$A$1:$AS$1,),)))))/(((VLOOKUP(EDATE(B26,-12),Database!$A:$AS,MATCH($G$1,Database!$A$1:$AS$1,),))))</f>
        <v/>
      </c>
      <c r="H26" s="13">
        <f>((((VLOOKUP(B26,Database!$A:$AS,MATCH($H$1,Database!$A$1:$AS$1,),))))-(((VLOOKUP(EDATE(B26,-12),Database!$A:$AS,MATCH($H$1,Database!$A$1:$AS$1,),)))))/(((VLOOKUP(EDATE(B26,-12),Database!$A:$AS,MATCH($H$1,Database!$A$1:$AS$1,),))))</f>
        <v/>
      </c>
      <c r="I26" s="13">
        <f>((((VLOOKUP(B26,Database!$A:$AS,MATCH($I$1,Database!$A$1:$AS$1,),))))-(((VLOOKUP(EDATE(B26,-12),Database!$A:$AS,MATCH($I$1,Database!$A$1:$AS$1,),)))))/(((VLOOKUP(EDATE(B26,-12),Database!$A:$AS,MATCH($I$1,Database!$A$1:$AS$1,),))))</f>
        <v/>
      </c>
      <c r="J26" s="13">
        <f>((((VLOOKUP(B26,Database!$A:$AS,MATCH($J$1,Database!$A$1:$AS$1,),))))-(((VLOOKUP(EDATE(B26,-12),Database!$A:$AS,MATCH($J$1,Database!$A$1:$AS$1,),)))))/(((VLOOKUP(EDATE(B26,-12),Database!$A:$AS,MATCH($J$1,Database!$A$1:$AS$1,),))))</f>
        <v/>
      </c>
      <c r="K26" s="13">
        <f>((((VLOOKUP(B26,Database!$A:$AS,MATCH($K$1,Database!$A$1:$AS$1,),))))-(((VLOOKUP(EDATE(B26,-12),Database!$A:$AS,MATCH($K$1,Database!$A$1:$AS$1,),)))))/(((VLOOKUP(EDATE(B26,-12),Database!$A:$AS,MATCH($K$1,Database!$A$1:$AS$1,),))))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((((VLOOKUP(B26,Database!$A:$AS,MATCH($O$1,Database!$A$1:$AS$1,),))))-(((VLOOKUP(EDATE(B26,-12),Database!$A:$AS,MATCH($O$1,Database!$A$1:$AS$1,),)))))/(((VLOOKUP(EDATE(B26,-12),Database!$A:$AS,MATCH($O$1,Database!$A$1:$AS$1,),))))</f>
        <v/>
      </c>
      <c r="P26" s="13">
        <f>((((VLOOKUP(B26,Database!$A:$AS,MATCH($P$1,Database!$A$1:$AS$1,),))))-(((VLOOKUP(EDATE(B26,-12),Database!$A:$AS,MATCH($P$1,Database!$A$1:$AS$1,),)))))/(((VLOOKUP(EDATE(B26,-12),Database!$A:$AS,MATCH($P$1,Database!$A$1:$AS$1,),))))</f>
        <v/>
      </c>
      <c r="Q26" s="13">
        <f>((((VLOOKUP(B26,Database!$A:$AS,MATCH($Q$1,Database!$A$1:$AS$1,),))))-(((VLOOKUP(EDATE(B26,-12),Database!$A:$AS,MATCH($Q$1,Database!$A$1:$AS$1,),)))))/(((VLOOKUP(EDATE(B26,-12),Database!$A:$AS,MATCH($Q$1,Database!$A$1:$AS$1,),))))</f>
        <v/>
      </c>
      <c r="R26" s="13">
        <f>((((VLOOKUP(B26,Database!$A:$AS,MATCH($R$1,Database!$A$1:$AS$1,),))))-(((VLOOKUP(EDATE(B26,-12),Database!$A:$AS,MATCH($R$1,Database!$A$1:$AS$1,),)))))/(((VLOOKUP(EDATE(B26,-12),Database!$A:$AS,MATCH($R$1,Database!$A$1:$AS$1,),))))</f>
        <v/>
      </c>
      <c r="S26" s="13">
        <f>((((VLOOKUP(B26,Database!$A:$AS,MATCH($S$1,Database!$A$1:$AS$1,),))))-(((VLOOKUP(EDATE(B26,-12),Database!$A:$AS,MATCH($S$1,Database!$A$1:$AS$1,),)))))/(((VLOOKUP(EDATE(B26,-12),Database!$A:$AS,MATCH($S$1,Database!$A$1:$AS$1,),))))</f>
        <v/>
      </c>
      <c r="T26" s="13">
        <f>((((VLOOKUP(B26,Database!$A:$AS,MATCH($T$1,Database!$A$1:$AS$1,),))))-(((VLOOKUP(EDATE(B26,-12),Database!$A:$AS,MATCH($T$1,Database!$A$1:$AS$1,),)))))/(((VLOOKUP(EDATE(B26,-12),Database!$A:$AS,MATCH($T$1,Database!$A$1:$AS$1,),))))</f>
        <v/>
      </c>
      <c r="U26" s="13">
        <f>((((VLOOKUP(B26,Database!$A:$AS,MATCH($U$1,Database!$A$1:$AS$1,),))))-(((VLOOKUP(EDATE(B26,-12),Database!$A:$AS,MATCH($U$1,Database!$A$1:$AS$1,),)))))/(((VLOOKUP(EDATE(B26,-12),Database!$A:$AS,MATCH($U$1,Database!$A$1:$AS$1,),))))</f>
        <v/>
      </c>
      <c r="V26" s="13">
        <f>((((VLOOKUP(B26,Database!$A:$AS,MATCH($V$1,Database!$A$1:$AS$1,),))))-(((VLOOKUP(EDATE(B26,-12),Database!$A:$AS,MATCH($V$1,Database!$A$1:$AS$1,),)))))/(((VLOOKUP(EDATE(B26,-12),Database!$A:$AS,MATCH($V$1,Database!$A$1:$AS$1,),))))</f>
        <v/>
      </c>
    </row>
    <row r="27" customFormat="1" s="94">
      <c r="A27" s="44" t="n"/>
      <c r="B27" s="85" t="n">
        <v>32964</v>
      </c>
      <c r="C27" s="13">
        <f>((((VLOOKUP(B27,Database!$A:$AS,MATCH($C$1,Database!$A$1:$AS$1,),))))-(((VLOOKUP(EDATE(B27,-12),Database!$A:$AS,MATCH($C$1,Database!$A$1:$AS$1,),)))))/(((VLOOKUP(EDATE(B27,-12),Database!$A:$AS,MATCH($C$1,Database!$A$1:$AS$1,),))))</f>
        <v/>
      </c>
      <c r="D27" s="13">
        <f>((((VLOOKUP(B27,Database!$A:$AS,MATCH($D$1,Database!$A$1:$AS$1,),))))-(((VLOOKUP(EDATE(B27,-12),Database!$A:$AS,MATCH($D$1,Database!$A$1:$AS$1,),)))))/(((VLOOKUP(EDATE(B27,-12),Database!$A:$AS,MATCH($D$1,Database!$A$1:$AS$1,),))))</f>
        <v/>
      </c>
      <c r="E27" s="13">
        <f>((((VLOOKUP(B27,Database!$A:$AS,MATCH($E$1,Database!$A$1:$AS$1,),))))-(((VLOOKUP(EDATE(B27,-12),Database!$A:$AS,MATCH($E$1,Database!$A$1:$AS$1,),)))))/(((VLOOKUP(EDATE(B27,-12),Database!$A:$AS,MATCH($E$1,Database!$A$1:$AS$1,),))))</f>
        <v/>
      </c>
      <c r="F27" s="13">
        <f>((((VLOOKUP(B27,Database!$A:$AS,MATCH($F$1,Database!$A$1:$AS$1,),))))-(((VLOOKUP(EDATE(B27,-12),Database!$A:$AS,MATCH($F$1,Database!$A$1:$AS$1,),)))))/(((VLOOKUP(EDATE(B27,-12),Database!$A:$AS,MATCH($F$1,Database!$A$1:$AS$1,),))))</f>
        <v/>
      </c>
      <c r="G27" s="13">
        <f>((((VLOOKUP(B27,Database!$A:$AS,MATCH($G$1,Database!$A$1:$AS$1,),))))-(((VLOOKUP(EDATE(B27,-12),Database!$A:$AS,MATCH($G$1,Database!$A$1:$AS$1,),)))))/(((VLOOKUP(EDATE(B27,-12),Database!$A:$AS,MATCH($G$1,Database!$A$1:$AS$1,),))))</f>
        <v/>
      </c>
      <c r="H27" s="13">
        <f>((((VLOOKUP(B27,Database!$A:$AS,MATCH($H$1,Database!$A$1:$AS$1,),))))-(((VLOOKUP(EDATE(B27,-12),Database!$A:$AS,MATCH($H$1,Database!$A$1:$AS$1,),)))))/(((VLOOKUP(EDATE(B27,-12),Database!$A:$AS,MATCH($H$1,Database!$A$1:$AS$1,),))))</f>
        <v/>
      </c>
      <c r="I27" s="13">
        <f>((((VLOOKUP(B27,Database!$A:$AS,MATCH($I$1,Database!$A$1:$AS$1,),))))-(((VLOOKUP(EDATE(B27,-12),Database!$A:$AS,MATCH($I$1,Database!$A$1:$AS$1,),)))))/(((VLOOKUP(EDATE(B27,-12),Database!$A:$AS,MATCH($I$1,Database!$A$1:$AS$1,),))))</f>
        <v/>
      </c>
      <c r="J27" s="13">
        <f>((((VLOOKUP(B27,Database!$A:$AS,MATCH($J$1,Database!$A$1:$AS$1,),))))-(((VLOOKUP(EDATE(B27,-12),Database!$A:$AS,MATCH($J$1,Database!$A$1:$AS$1,),)))))/(((VLOOKUP(EDATE(B27,-12),Database!$A:$AS,MATCH($J$1,Database!$A$1:$AS$1,),))))</f>
        <v/>
      </c>
      <c r="K27" s="13">
        <f>((((VLOOKUP(B27,Database!$A:$AS,MATCH($K$1,Database!$A$1:$AS$1,),))))-(((VLOOKUP(EDATE(B27,-12),Database!$A:$AS,MATCH($K$1,Database!$A$1:$AS$1,),)))))/(((VLOOKUP(EDATE(B27,-12),Database!$A:$AS,MATCH($K$1,Database!$A$1:$AS$1,),))))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((((VLOOKUP(B27,Database!$A:$AS,MATCH($O$1,Database!$A$1:$AS$1,),))))-(((VLOOKUP(EDATE(B27,-12),Database!$A:$AS,MATCH($O$1,Database!$A$1:$AS$1,),)))))/(((VLOOKUP(EDATE(B27,-12),Database!$A:$AS,MATCH($O$1,Database!$A$1:$AS$1,),))))</f>
        <v/>
      </c>
      <c r="P27" s="13">
        <f>((((VLOOKUP(B27,Database!$A:$AS,MATCH($P$1,Database!$A$1:$AS$1,),))))-(((VLOOKUP(EDATE(B27,-12),Database!$A:$AS,MATCH($P$1,Database!$A$1:$AS$1,),)))))/(((VLOOKUP(EDATE(B27,-12),Database!$A:$AS,MATCH($P$1,Database!$A$1:$AS$1,),))))</f>
        <v/>
      </c>
      <c r="Q27" s="13">
        <f>((((VLOOKUP(B27,Database!$A:$AS,MATCH($Q$1,Database!$A$1:$AS$1,),))))-(((VLOOKUP(EDATE(B27,-12),Database!$A:$AS,MATCH($Q$1,Database!$A$1:$AS$1,),)))))/(((VLOOKUP(EDATE(B27,-12),Database!$A:$AS,MATCH($Q$1,Database!$A$1:$AS$1,),))))</f>
        <v/>
      </c>
      <c r="R27" s="13">
        <f>((((VLOOKUP(B27,Database!$A:$AS,MATCH($R$1,Database!$A$1:$AS$1,),))))-(((VLOOKUP(EDATE(B27,-12),Database!$A:$AS,MATCH($R$1,Database!$A$1:$AS$1,),)))))/(((VLOOKUP(EDATE(B27,-12),Database!$A:$AS,MATCH($R$1,Database!$A$1:$AS$1,),))))</f>
        <v/>
      </c>
      <c r="S27" s="13">
        <f>((((VLOOKUP(B27,Database!$A:$AS,MATCH($S$1,Database!$A$1:$AS$1,),))))-(((VLOOKUP(EDATE(B27,-12),Database!$A:$AS,MATCH($S$1,Database!$A$1:$AS$1,),)))))/(((VLOOKUP(EDATE(B27,-12),Database!$A:$AS,MATCH($S$1,Database!$A$1:$AS$1,),))))</f>
        <v/>
      </c>
      <c r="T27" s="13">
        <f>((((VLOOKUP(B27,Database!$A:$AS,MATCH($T$1,Database!$A$1:$AS$1,),))))-(((VLOOKUP(EDATE(B27,-12),Database!$A:$AS,MATCH($T$1,Database!$A$1:$AS$1,),)))))/(((VLOOKUP(EDATE(B27,-12),Database!$A:$AS,MATCH($T$1,Database!$A$1:$AS$1,),))))</f>
        <v/>
      </c>
      <c r="U27" s="13">
        <f>((((VLOOKUP(B27,Database!$A:$AS,MATCH($U$1,Database!$A$1:$AS$1,),))))-(((VLOOKUP(EDATE(B27,-12),Database!$A:$AS,MATCH($U$1,Database!$A$1:$AS$1,),)))))/(((VLOOKUP(EDATE(B27,-12),Database!$A:$AS,MATCH($U$1,Database!$A$1:$AS$1,),))))</f>
        <v/>
      </c>
      <c r="V27" s="13">
        <f>((((VLOOKUP(B27,Database!$A:$AS,MATCH($V$1,Database!$A$1:$AS$1,),))))-(((VLOOKUP(EDATE(B27,-12),Database!$A:$AS,MATCH($V$1,Database!$A$1:$AS$1,),)))))/(((VLOOKUP(EDATE(B27,-12),Database!$A:$AS,MATCH($V$1,Database!$A$1:$AS$1,),))))</f>
        <v/>
      </c>
    </row>
    <row r="28" customFormat="1" s="94">
      <c r="A28" s="44" t="n"/>
      <c r="B28" s="85" t="n">
        <v>32994</v>
      </c>
      <c r="C28" s="13">
        <f>((((VLOOKUP(B28,Database!$A:$AS,MATCH($C$1,Database!$A$1:$AS$1,),))))-(((VLOOKUP(EDATE(B28,-12),Database!$A:$AS,MATCH($C$1,Database!$A$1:$AS$1,),)))))/(((VLOOKUP(EDATE(B28,-12),Database!$A:$AS,MATCH($C$1,Database!$A$1:$AS$1,),))))</f>
        <v/>
      </c>
      <c r="D28" s="13">
        <f>((((VLOOKUP(B28,Database!$A:$AS,MATCH($D$1,Database!$A$1:$AS$1,),))))-(((VLOOKUP(EDATE(B28,-12),Database!$A:$AS,MATCH($D$1,Database!$A$1:$AS$1,),)))))/(((VLOOKUP(EDATE(B28,-12),Database!$A:$AS,MATCH($D$1,Database!$A$1:$AS$1,),))))</f>
        <v/>
      </c>
      <c r="E28" s="13">
        <f>((((VLOOKUP(B28,Database!$A:$AS,MATCH($E$1,Database!$A$1:$AS$1,),))))-(((VLOOKUP(EDATE(B28,-12),Database!$A:$AS,MATCH($E$1,Database!$A$1:$AS$1,),)))))/(((VLOOKUP(EDATE(B28,-12),Database!$A:$AS,MATCH($E$1,Database!$A$1:$AS$1,),))))</f>
        <v/>
      </c>
      <c r="F28" s="13">
        <f>((((VLOOKUP(B28,Database!$A:$AS,MATCH($F$1,Database!$A$1:$AS$1,),))))-(((VLOOKUP(EDATE(B28,-12),Database!$A:$AS,MATCH($F$1,Database!$A$1:$AS$1,),)))))/(((VLOOKUP(EDATE(B28,-12),Database!$A:$AS,MATCH($F$1,Database!$A$1:$AS$1,),))))</f>
        <v/>
      </c>
      <c r="G28" s="13">
        <f>((((VLOOKUP(B28,Database!$A:$AS,MATCH($G$1,Database!$A$1:$AS$1,),))))-(((VLOOKUP(EDATE(B28,-12),Database!$A:$AS,MATCH($G$1,Database!$A$1:$AS$1,),)))))/(((VLOOKUP(EDATE(B28,-12),Database!$A:$AS,MATCH($G$1,Database!$A$1:$AS$1,),))))</f>
        <v/>
      </c>
      <c r="H28" s="13">
        <f>((((VLOOKUP(B28,Database!$A:$AS,MATCH($H$1,Database!$A$1:$AS$1,),))))-(((VLOOKUP(EDATE(B28,-12),Database!$A:$AS,MATCH($H$1,Database!$A$1:$AS$1,),)))))/(((VLOOKUP(EDATE(B28,-12),Database!$A:$AS,MATCH($H$1,Database!$A$1:$AS$1,),))))</f>
        <v/>
      </c>
      <c r="I28" s="13">
        <f>((((VLOOKUP(B28,Database!$A:$AS,MATCH($I$1,Database!$A$1:$AS$1,),))))-(((VLOOKUP(EDATE(B28,-12),Database!$A:$AS,MATCH($I$1,Database!$A$1:$AS$1,),)))))/(((VLOOKUP(EDATE(B28,-12),Database!$A:$AS,MATCH($I$1,Database!$A$1:$AS$1,),))))</f>
        <v/>
      </c>
      <c r="J28" s="13">
        <f>((((VLOOKUP(B28,Database!$A:$AS,MATCH($J$1,Database!$A$1:$AS$1,),))))-(((VLOOKUP(EDATE(B28,-12),Database!$A:$AS,MATCH($J$1,Database!$A$1:$AS$1,),)))))/(((VLOOKUP(EDATE(B28,-12),Database!$A:$AS,MATCH($J$1,Database!$A$1:$AS$1,),))))</f>
        <v/>
      </c>
      <c r="K28" s="13">
        <f>((((VLOOKUP(B28,Database!$A:$AS,MATCH($K$1,Database!$A$1:$AS$1,),))))-(((VLOOKUP(EDATE(B28,-12),Database!$A:$AS,MATCH($K$1,Database!$A$1:$AS$1,),)))))/(((VLOOKUP(EDATE(B28,-12),Database!$A:$AS,MATCH($K$1,Database!$A$1:$AS$1,),))))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((((VLOOKUP(B28,Database!$A:$AS,MATCH($O$1,Database!$A$1:$AS$1,),))))-(((VLOOKUP(EDATE(B28,-12),Database!$A:$AS,MATCH($O$1,Database!$A$1:$AS$1,),)))))/(((VLOOKUP(EDATE(B28,-12),Database!$A:$AS,MATCH($O$1,Database!$A$1:$AS$1,),))))</f>
        <v/>
      </c>
      <c r="P28" s="13">
        <f>((((VLOOKUP(B28,Database!$A:$AS,MATCH($P$1,Database!$A$1:$AS$1,),))))-(((VLOOKUP(EDATE(B28,-12),Database!$A:$AS,MATCH($P$1,Database!$A$1:$AS$1,),)))))/(((VLOOKUP(EDATE(B28,-12),Database!$A:$AS,MATCH($P$1,Database!$A$1:$AS$1,),))))</f>
        <v/>
      </c>
      <c r="Q28" s="13">
        <f>((((VLOOKUP(B28,Database!$A:$AS,MATCH($Q$1,Database!$A$1:$AS$1,),))))-(((VLOOKUP(EDATE(B28,-12),Database!$A:$AS,MATCH($Q$1,Database!$A$1:$AS$1,),)))))/(((VLOOKUP(EDATE(B28,-12),Database!$A:$AS,MATCH($Q$1,Database!$A$1:$AS$1,),))))</f>
        <v/>
      </c>
      <c r="R28" s="13">
        <f>((((VLOOKUP(B28,Database!$A:$AS,MATCH($R$1,Database!$A$1:$AS$1,),))))-(((VLOOKUP(EDATE(B28,-12),Database!$A:$AS,MATCH($R$1,Database!$A$1:$AS$1,),)))))/(((VLOOKUP(EDATE(B28,-12),Database!$A:$AS,MATCH($R$1,Database!$A$1:$AS$1,),))))</f>
        <v/>
      </c>
      <c r="S28" s="13">
        <f>((((VLOOKUP(B28,Database!$A:$AS,MATCH($S$1,Database!$A$1:$AS$1,),))))-(((VLOOKUP(EDATE(B28,-12),Database!$A:$AS,MATCH($S$1,Database!$A$1:$AS$1,),)))))/(((VLOOKUP(EDATE(B28,-12),Database!$A:$AS,MATCH($S$1,Database!$A$1:$AS$1,),))))</f>
        <v/>
      </c>
      <c r="T28" s="13">
        <f>((((VLOOKUP(B28,Database!$A:$AS,MATCH($T$1,Database!$A$1:$AS$1,),))))-(((VLOOKUP(EDATE(B28,-12),Database!$A:$AS,MATCH($T$1,Database!$A$1:$AS$1,),)))))/(((VLOOKUP(EDATE(B28,-12),Database!$A:$AS,MATCH($T$1,Database!$A$1:$AS$1,),))))</f>
        <v/>
      </c>
      <c r="U28" s="13">
        <f>((((VLOOKUP(B28,Database!$A:$AS,MATCH($U$1,Database!$A$1:$AS$1,),))))-(((VLOOKUP(EDATE(B28,-12),Database!$A:$AS,MATCH($U$1,Database!$A$1:$AS$1,),)))))/(((VLOOKUP(EDATE(B28,-12),Database!$A:$AS,MATCH($U$1,Database!$A$1:$AS$1,),))))</f>
        <v/>
      </c>
      <c r="V28" s="13">
        <f>((((VLOOKUP(B28,Database!$A:$AS,MATCH($V$1,Database!$A$1:$AS$1,),))))-(((VLOOKUP(EDATE(B28,-12),Database!$A:$AS,MATCH($V$1,Database!$A$1:$AS$1,),)))))/(((VLOOKUP(EDATE(B28,-12),Database!$A:$AS,MATCH($V$1,Database!$A$1:$AS$1,),))))</f>
        <v/>
      </c>
    </row>
    <row r="29" customFormat="1" s="94">
      <c r="A29" s="44" t="n"/>
      <c r="B29" s="85" t="n">
        <v>33025</v>
      </c>
      <c r="C29" s="13">
        <f>((((VLOOKUP(B29,Database!$A:$AS,MATCH($C$1,Database!$A$1:$AS$1,),))))-(((VLOOKUP(EDATE(B29,-12),Database!$A:$AS,MATCH($C$1,Database!$A$1:$AS$1,),)))))/(((VLOOKUP(EDATE(B29,-12),Database!$A:$AS,MATCH($C$1,Database!$A$1:$AS$1,),))))</f>
        <v/>
      </c>
      <c r="D29" s="13">
        <f>((((VLOOKUP(B29,Database!$A:$AS,MATCH($D$1,Database!$A$1:$AS$1,),))))-(((VLOOKUP(EDATE(B29,-12),Database!$A:$AS,MATCH($D$1,Database!$A$1:$AS$1,),)))))/(((VLOOKUP(EDATE(B29,-12),Database!$A:$AS,MATCH($D$1,Database!$A$1:$AS$1,),))))</f>
        <v/>
      </c>
      <c r="E29" s="13">
        <f>((((VLOOKUP(B29,Database!$A:$AS,MATCH($E$1,Database!$A$1:$AS$1,),))))-(((VLOOKUP(EDATE(B29,-12),Database!$A:$AS,MATCH($E$1,Database!$A$1:$AS$1,),)))))/(((VLOOKUP(EDATE(B29,-12),Database!$A:$AS,MATCH($E$1,Database!$A$1:$AS$1,),))))</f>
        <v/>
      </c>
      <c r="F29" s="13">
        <f>((((VLOOKUP(B29,Database!$A:$AS,MATCH($F$1,Database!$A$1:$AS$1,),))))-(((VLOOKUP(EDATE(B29,-12),Database!$A:$AS,MATCH($F$1,Database!$A$1:$AS$1,),)))))/(((VLOOKUP(EDATE(B29,-12),Database!$A:$AS,MATCH($F$1,Database!$A$1:$AS$1,),))))</f>
        <v/>
      </c>
      <c r="G29" s="13">
        <f>((((VLOOKUP(B29,Database!$A:$AS,MATCH($G$1,Database!$A$1:$AS$1,),))))-(((VLOOKUP(EDATE(B29,-12),Database!$A:$AS,MATCH($G$1,Database!$A$1:$AS$1,),)))))/(((VLOOKUP(EDATE(B29,-12),Database!$A:$AS,MATCH($G$1,Database!$A$1:$AS$1,),))))</f>
        <v/>
      </c>
      <c r="H29" s="13">
        <f>((((VLOOKUP(B29,Database!$A:$AS,MATCH($H$1,Database!$A$1:$AS$1,),))))-(((VLOOKUP(EDATE(B29,-12),Database!$A:$AS,MATCH($H$1,Database!$A$1:$AS$1,),)))))/(((VLOOKUP(EDATE(B29,-12),Database!$A:$AS,MATCH($H$1,Database!$A$1:$AS$1,),))))</f>
        <v/>
      </c>
      <c r="I29" s="13">
        <f>((((VLOOKUP(B29,Database!$A:$AS,MATCH($I$1,Database!$A$1:$AS$1,),))))-(((VLOOKUP(EDATE(B29,-12),Database!$A:$AS,MATCH($I$1,Database!$A$1:$AS$1,),)))))/(((VLOOKUP(EDATE(B29,-12),Database!$A:$AS,MATCH($I$1,Database!$A$1:$AS$1,),))))</f>
        <v/>
      </c>
      <c r="J29" s="13">
        <f>((((VLOOKUP(B29,Database!$A:$AS,MATCH($J$1,Database!$A$1:$AS$1,),))))-(((VLOOKUP(EDATE(B29,-12),Database!$A:$AS,MATCH($J$1,Database!$A$1:$AS$1,),)))))/(((VLOOKUP(EDATE(B29,-12),Database!$A:$AS,MATCH($J$1,Database!$A$1:$AS$1,),))))</f>
        <v/>
      </c>
      <c r="K29" s="13">
        <f>((((VLOOKUP(B29,Database!$A:$AS,MATCH($K$1,Database!$A$1:$AS$1,),))))-(((VLOOKUP(EDATE(B29,-12),Database!$A:$AS,MATCH($K$1,Database!$A$1:$AS$1,),)))))/(((VLOOKUP(EDATE(B29,-12),Database!$A:$AS,MATCH($K$1,Database!$A$1:$AS$1,),))))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((((VLOOKUP(B29,Database!$A:$AS,MATCH($O$1,Database!$A$1:$AS$1,),))))-(((VLOOKUP(EDATE(B29,-12),Database!$A:$AS,MATCH($O$1,Database!$A$1:$AS$1,),)))))/(((VLOOKUP(EDATE(B29,-12),Database!$A:$AS,MATCH($O$1,Database!$A$1:$AS$1,),))))</f>
        <v/>
      </c>
      <c r="P29" s="13">
        <f>((((VLOOKUP(B29,Database!$A:$AS,MATCH($P$1,Database!$A$1:$AS$1,),))))-(((VLOOKUP(EDATE(B29,-12),Database!$A:$AS,MATCH($P$1,Database!$A$1:$AS$1,),)))))/(((VLOOKUP(EDATE(B29,-12),Database!$A:$AS,MATCH($P$1,Database!$A$1:$AS$1,),))))</f>
        <v/>
      </c>
      <c r="Q29" s="13">
        <f>((((VLOOKUP(B29,Database!$A:$AS,MATCH($Q$1,Database!$A$1:$AS$1,),))))-(((VLOOKUP(EDATE(B29,-12),Database!$A:$AS,MATCH($Q$1,Database!$A$1:$AS$1,),)))))/(((VLOOKUP(EDATE(B29,-12),Database!$A:$AS,MATCH($Q$1,Database!$A$1:$AS$1,),))))</f>
        <v/>
      </c>
      <c r="R29" s="13">
        <f>((((VLOOKUP(B29,Database!$A:$AS,MATCH($R$1,Database!$A$1:$AS$1,),))))-(((VLOOKUP(EDATE(B29,-12),Database!$A:$AS,MATCH($R$1,Database!$A$1:$AS$1,),)))))/(((VLOOKUP(EDATE(B29,-12),Database!$A:$AS,MATCH($R$1,Database!$A$1:$AS$1,),))))</f>
        <v/>
      </c>
      <c r="S29" s="13">
        <f>((((VLOOKUP(B29,Database!$A:$AS,MATCH($S$1,Database!$A$1:$AS$1,),))))-(((VLOOKUP(EDATE(B29,-12),Database!$A:$AS,MATCH($S$1,Database!$A$1:$AS$1,),)))))/(((VLOOKUP(EDATE(B29,-12),Database!$A:$AS,MATCH($S$1,Database!$A$1:$AS$1,),))))</f>
        <v/>
      </c>
      <c r="T29" s="13">
        <f>((((VLOOKUP(B29,Database!$A:$AS,MATCH($T$1,Database!$A$1:$AS$1,),))))-(((VLOOKUP(EDATE(B29,-12),Database!$A:$AS,MATCH($T$1,Database!$A$1:$AS$1,),)))))/(((VLOOKUP(EDATE(B29,-12),Database!$A:$AS,MATCH($T$1,Database!$A$1:$AS$1,),))))</f>
        <v/>
      </c>
      <c r="U29" s="13">
        <f>((((VLOOKUP(B29,Database!$A:$AS,MATCH($U$1,Database!$A$1:$AS$1,),))))-(((VLOOKUP(EDATE(B29,-12),Database!$A:$AS,MATCH($U$1,Database!$A$1:$AS$1,),)))))/(((VLOOKUP(EDATE(B29,-12),Database!$A:$AS,MATCH($U$1,Database!$A$1:$AS$1,),))))</f>
        <v/>
      </c>
      <c r="V29" s="13">
        <f>((((VLOOKUP(B29,Database!$A:$AS,MATCH($V$1,Database!$A$1:$AS$1,),))))-(((VLOOKUP(EDATE(B29,-12),Database!$A:$AS,MATCH($V$1,Database!$A$1:$AS$1,),)))))/(((VLOOKUP(EDATE(B29,-12),Database!$A:$AS,MATCH($V$1,Database!$A$1:$AS$1,),))))</f>
        <v/>
      </c>
    </row>
    <row r="30" customFormat="1" s="94">
      <c r="A30" s="44" t="n"/>
      <c r="B30" s="85" t="n">
        <v>33055</v>
      </c>
      <c r="C30" s="13">
        <f>((((VLOOKUP(B30,Database!$A:$AS,MATCH($C$1,Database!$A$1:$AS$1,),))))-(((VLOOKUP(EDATE(B30,-12),Database!$A:$AS,MATCH($C$1,Database!$A$1:$AS$1,),)))))/(((VLOOKUP(EDATE(B30,-12),Database!$A:$AS,MATCH($C$1,Database!$A$1:$AS$1,),))))</f>
        <v/>
      </c>
      <c r="D30" s="13">
        <f>((((VLOOKUP(B30,Database!$A:$AS,MATCH($D$1,Database!$A$1:$AS$1,),))))-(((VLOOKUP(EDATE(B30,-12),Database!$A:$AS,MATCH($D$1,Database!$A$1:$AS$1,),)))))/(((VLOOKUP(EDATE(B30,-12),Database!$A:$AS,MATCH($D$1,Database!$A$1:$AS$1,),))))</f>
        <v/>
      </c>
      <c r="E30" s="13">
        <f>((((VLOOKUP(B30,Database!$A:$AS,MATCH($E$1,Database!$A$1:$AS$1,),))))-(((VLOOKUP(EDATE(B30,-12),Database!$A:$AS,MATCH($E$1,Database!$A$1:$AS$1,),)))))/(((VLOOKUP(EDATE(B30,-12),Database!$A:$AS,MATCH($E$1,Database!$A$1:$AS$1,),))))</f>
        <v/>
      </c>
      <c r="F30" s="13">
        <f>((((VLOOKUP(B30,Database!$A:$AS,MATCH($F$1,Database!$A$1:$AS$1,),))))-(((VLOOKUP(EDATE(B30,-12),Database!$A:$AS,MATCH($F$1,Database!$A$1:$AS$1,),)))))/(((VLOOKUP(EDATE(B30,-12),Database!$A:$AS,MATCH($F$1,Database!$A$1:$AS$1,),))))</f>
        <v/>
      </c>
      <c r="G30" s="13">
        <f>((((VLOOKUP(B30,Database!$A:$AS,MATCH($G$1,Database!$A$1:$AS$1,),))))-(((VLOOKUP(EDATE(B30,-12),Database!$A:$AS,MATCH($G$1,Database!$A$1:$AS$1,),)))))/(((VLOOKUP(EDATE(B30,-12),Database!$A:$AS,MATCH($G$1,Database!$A$1:$AS$1,),))))</f>
        <v/>
      </c>
      <c r="H30" s="13">
        <f>((((VLOOKUP(B30,Database!$A:$AS,MATCH($H$1,Database!$A$1:$AS$1,),))))-(((VLOOKUP(EDATE(B30,-12),Database!$A:$AS,MATCH($H$1,Database!$A$1:$AS$1,),)))))/(((VLOOKUP(EDATE(B30,-12),Database!$A:$AS,MATCH($H$1,Database!$A$1:$AS$1,),))))</f>
        <v/>
      </c>
      <c r="I30" s="13">
        <f>((((VLOOKUP(B30,Database!$A:$AS,MATCH($I$1,Database!$A$1:$AS$1,),))))-(((VLOOKUP(EDATE(B30,-12),Database!$A:$AS,MATCH($I$1,Database!$A$1:$AS$1,),)))))/(((VLOOKUP(EDATE(B30,-12),Database!$A:$AS,MATCH($I$1,Database!$A$1:$AS$1,),))))</f>
        <v/>
      </c>
      <c r="J30" s="13">
        <f>((((VLOOKUP(B30,Database!$A:$AS,MATCH($J$1,Database!$A$1:$AS$1,),))))-(((VLOOKUP(EDATE(B30,-12),Database!$A:$AS,MATCH($J$1,Database!$A$1:$AS$1,),)))))/(((VLOOKUP(EDATE(B30,-12),Database!$A:$AS,MATCH($J$1,Database!$A$1:$AS$1,),))))</f>
        <v/>
      </c>
      <c r="K30" s="13">
        <f>((((VLOOKUP(B30,Database!$A:$AS,MATCH($K$1,Database!$A$1:$AS$1,),))))-(((VLOOKUP(EDATE(B30,-12),Database!$A:$AS,MATCH($K$1,Database!$A$1:$AS$1,),)))))/(((VLOOKUP(EDATE(B30,-12),Database!$A:$AS,MATCH($K$1,Database!$A$1:$AS$1,),))))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((((VLOOKUP(B30,Database!$A:$AS,MATCH($O$1,Database!$A$1:$AS$1,),))))-(((VLOOKUP(EDATE(B30,-12),Database!$A:$AS,MATCH($O$1,Database!$A$1:$AS$1,),)))))/(((VLOOKUP(EDATE(B30,-12),Database!$A:$AS,MATCH($O$1,Database!$A$1:$AS$1,),))))</f>
        <v/>
      </c>
      <c r="P30" s="13">
        <f>((((VLOOKUP(B30,Database!$A:$AS,MATCH($P$1,Database!$A$1:$AS$1,),))))-(((VLOOKUP(EDATE(B30,-12),Database!$A:$AS,MATCH($P$1,Database!$A$1:$AS$1,),)))))/(((VLOOKUP(EDATE(B30,-12),Database!$A:$AS,MATCH($P$1,Database!$A$1:$AS$1,),))))</f>
        <v/>
      </c>
      <c r="Q30" s="13">
        <f>((((VLOOKUP(B30,Database!$A:$AS,MATCH($Q$1,Database!$A$1:$AS$1,),))))-(((VLOOKUP(EDATE(B30,-12),Database!$A:$AS,MATCH($Q$1,Database!$A$1:$AS$1,),)))))/(((VLOOKUP(EDATE(B30,-12),Database!$A:$AS,MATCH($Q$1,Database!$A$1:$AS$1,),))))</f>
        <v/>
      </c>
      <c r="R30" s="13">
        <f>((((VLOOKUP(B30,Database!$A:$AS,MATCH($R$1,Database!$A$1:$AS$1,),))))-(((VLOOKUP(EDATE(B30,-12),Database!$A:$AS,MATCH($R$1,Database!$A$1:$AS$1,),)))))/(((VLOOKUP(EDATE(B30,-12),Database!$A:$AS,MATCH($R$1,Database!$A$1:$AS$1,),))))</f>
        <v/>
      </c>
      <c r="S30" s="13">
        <f>((((VLOOKUP(B30,Database!$A:$AS,MATCH($S$1,Database!$A$1:$AS$1,),))))-(((VLOOKUP(EDATE(B30,-12),Database!$A:$AS,MATCH($S$1,Database!$A$1:$AS$1,),)))))/(((VLOOKUP(EDATE(B30,-12),Database!$A:$AS,MATCH($S$1,Database!$A$1:$AS$1,),))))</f>
        <v/>
      </c>
      <c r="T30" s="13">
        <f>((((VLOOKUP(B30,Database!$A:$AS,MATCH($T$1,Database!$A$1:$AS$1,),))))-(((VLOOKUP(EDATE(B30,-12),Database!$A:$AS,MATCH($T$1,Database!$A$1:$AS$1,),)))))/(((VLOOKUP(EDATE(B30,-12),Database!$A:$AS,MATCH($T$1,Database!$A$1:$AS$1,),))))</f>
        <v/>
      </c>
      <c r="U30" s="13">
        <f>((((VLOOKUP(B30,Database!$A:$AS,MATCH($U$1,Database!$A$1:$AS$1,),))))-(((VLOOKUP(EDATE(B30,-12),Database!$A:$AS,MATCH($U$1,Database!$A$1:$AS$1,),)))))/(((VLOOKUP(EDATE(B30,-12),Database!$A:$AS,MATCH($U$1,Database!$A$1:$AS$1,),))))</f>
        <v/>
      </c>
      <c r="V30" s="13">
        <f>((((VLOOKUP(B30,Database!$A:$AS,MATCH($V$1,Database!$A$1:$AS$1,),))))-(((VLOOKUP(EDATE(B30,-12),Database!$A:$AS,MATCH($V$1,Database!$A$1:$AS$1,),)))))/(((VLOOKUP(EDATE(B30,-12),Database!$A:$AS,MATCH($V$1,Database!$A$1:$AS$1,),))))</f>
        <v/>
      </c>
    </row>
    <row r="31" customFormat="1" s="94">
      <c r="A31" s="44" t="n"/>
      <c r="B31" s="85" t="n">
        <v>33086</v>
      </c>
      <c r="C31" s="13">
        <f>((((VLOOKUP(B31,Database!$A:$AS,MATCH($C$1,Database!$A$1:$AS$1,),))))-(((VLOOKUP(EDATE(B31,-12),Database!$A:$AS,MATCH($C$1,Database!$A$1:$AS$1,),)))))/(((VLOOKUP(EDATE(B31,-12),Database!$A:$AS,MATCH($C$1,Database!$A$1:$AS$1,),))))</f>
        <v/>
      </c>
      <c r="D31" s="13">
        <f>((((VLOOKUP(B31,Database!$A:$AS,MATCH($D$1,Database!$A$1:$AS$1,),))))-(((VLOOKUP(EDATE(B31,-12),Database!$A:$AS,MATCH($D$1,Database!$A$1:$AS$1,),)))))/(((VLOOKUP(EDATE(B31,-12),Database!$A:$AS,MATCH($D$1,Database!$A$1:$AS$1,),))))</f>
        <v/>
      </c>
      <c r="E31" s="13">
        <f>((((VLOOKUP(B31,Database!$A:$AS,MATCH($E$1,Database!$A$1:$AS$1,),))))-(((VLOOKUP(EDATE(B31,-12),Database!$A:$AS,MATCH($E$1,Database!$A$1:$AS$1,),)))))/(((VLOOKUP(EDATE(B31,-12),Database!$A:$AS,MATCH($E$1,Database!$A$1:$AS$1,),))))</f>
        <v/>
      </c>
      <c r="F31" s="13">
        <f>((((VLOOKUP(B31,Database!$A:$AS,MATCH($F$1,Database!$A$1:$AS$1,),))))-(((VLOOKUP(EDATE(B31,-12),Database!$A:$AS,MATCH($F$1,Database!$A$1:$AS$1,),)))))/(((VLOOKUP(EDATE(B31,-12),Database!$A:$AS,MATCH($F$1,Database!$A$1:$AS$1,),))))</f>
        <v/>
      </c>
      <c r="G31" s="13">
        <f>((((VLOOKUP(B31,Database!$A:$AS,MATCH($G$1,Database!$A$1:$AS$1,),))))-(((VLOOKUP(EDATE(B31,-12),Database!$A:$AS,MATCH($G$1,Database!$A$1:$AS$1,),)))))/(((VLOOKUP(EDATE(B31,-12),Database!$A:$AS,MATCH($G$1,Database!$A$1:$AS$1,),))))</f>
        <v/>
      </c>
      <c r="H31" s="13">
        <f>((((VLOOKUP(B31,Database!$A:$AS,MATCH($H$1,Database!$A$1:$AS$1,),))))-(((VLOOKUP(EDATE(B31,-12),Database!$A:$AS,MATCH($H$1,Database!$A$1:$AS$1,),)))))/(((VLOOKUP(EDATE(B31,-12),Database!$A:$AS,MATCH($H$1,Database!$A$1:$AS$1,),))))</f>
        <v/>
      </c>
      <c r="I31" s="13">
        <f>((((VLOOKUP(B31,Database!$A:$AS,MATCH($I$1,Database!$A$1:$AS$1,),))))-(((VLOOKUP(EDATE(B31,-12),Database!$A:$AS,MATCH($I$1,Database!$A$1:$AS$1,),)))))/(((VLOOKUP(EDATE(B31,-12),Database!$A:$AS,MATCH($I$1,Database!$A$1:$AS$1,),))))</f>
        <v/>
      </c>
      <c r="J31" s="13">
        <f>((((VLOOKUP(B31,Database!$A:$AS,MATCH($J$1,Database!$A$1:$AS$1,),))))-(((VLOOKUP(EDATE(B31,-12),Database!$A:$AS,MATCH($J$1,Database!$A$1:$AS$1,),)))))/(((VLOOKUP(EDATE(B31,-12),Database!$A:$AS,MATCH($J$1,Database!$A$1:$AS$1,),))))</f>
        <v/>
      </c>
      <c r="K31" s="13">
        <f>((((VLOOKUP(B31,Database!$A:$AS,MATCH($K$1,Database!$A$1:$AS$1,),))))-(((VLOOKUP(EDATE(B31,-12),Database!$A:$AS,MATCH($K$1,Database!$A$1:$AS$1,),)))))/(((VLOOKUP(EDATE(B31,-12),Database!$A:$AS,MATCH($K$1,Database!$A$1:$AS$1,),))))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((((VLOOKUP(B31,Database!$A:$AS,MATCH($O$1,Database!$A$1:$AS$1,),))))-(((VLOOKUP(EDATE(B31,-12),Database!$A:$AS,MATCH($O$1,Database!$A$1:$AS$1,),)))))/(((VLOOKUP(EDATE(B31,-12),Database!$A:$AS,MATCH($O$1,Database!$A$1:$AS$1,),))))</f>
        <v/>
      </c>
      <c r="P31" s="13">
        <f>((((VLOOKUP(B31,Database!$A:$AS,MATCH($P$1,Database!$A$1:$AS$1,),))))-(((VLOOKUP(EDATE(B31,-12),Database!$A:$AS,MATCH($P$1,Database!$A$1:$AS$1,),)))))/(((VLOOKUP(EDATE(B31,-12),Database!$A:$AS,MATCH($P$1,Database!$A$1:$AS$1,),))))</f>
        <v/>
      </c>
      <c r="Q31" s="13">
        <f>((((VLOOKUP(B31,Database!$A:$AS,MATCH($Q$1,Database!$A$1:$AS$1,),))))-(((VLOOKUP(EDATE(B31,-12),Database!$A:$AS,MATCH($Q$1,Database!$A$1:$AS$1,),)))))/(((VLOOKUP(EDATE(B31,-12),Database!$A:$AS,MATCH($Q$1,Database!$A$1:$AS$1,),))))</f>
        <v/>
      </c>
      <c r="R31" s="13">
        <f>((((VLOOKUP(B31,Database!$A:$AS,MATCH($R$1,Database!$A$1:$AS$1,),))))-(((VLOOKUP(EDATE(B31,-12),Database!$A:$AS,MATCH($R$1,Database!$A$1:$AS$1,),)))))/(((VLOOKUP(EDATE(B31,-12),Database!$A:$AS,MATCH($R$1,Database!$A$1:$AS$1,),))))</f>
        <v/>
      </c>
      <c r="S31" s="13">
        <f>((((VLOOKUP(B31,Database!$A:$AS,MATCH($S$1,Database!$A$1:$AS$1,),))))-(((VLOOKUP(EDATE(B31,-12),Database!$A:$AS,MATCH($S$1,Database!$A$1:$AS$1,),)))))/(((VLOOKUP(EDATE(B31,-12),Database!$A:$AS,MATCH($S$1,Database!$A$1:$AS$1,),))))</f>
        <v/>
      </c>
      <c r="T31" s="13">
        <f>((((VLOOKUP(B31,Database!$A:$AS,MATCH($T$1,Database!$A$1:$AS$1,),))))-(((VLOOKUP(EDATE(B31,-12),Database!$A:$AS,MATCH($T$1,Database!$A$1:$AS$1,),)))))/(((VLOOKUP(EDATE(B31,-12),Database!$A:$AS,MATCH($T$1,Database!$A$1:$AS$1,),))))</f>
        <v/>
      </c>
      <c r="U31" s="13">
        <f>((((VLOOKUP(B31,Database!$A:$AS,MATCH($U$1,Database!$A$1:$AS$1,),))))-(((VLOOKUP(EDATE(B31,-12),Database!$A:$AS,MATCH($U$1,Database!$A$1:$AS$1,),)))))/(((VLOOKUP(EDATE(B31,-12),Database!$A:$AS,MATCH($U$1,Database!$A$1:$AS$1,),))))</f>
        <v/>
      </c>
      <c r="V31" s="13">
        <f>((((VLOOKUP(B31,Database!$A:$AS,MATCH($V$1,Database!$A$1:$AS$1,),))))-(((VLOOKUP(EDATE(B31,-12),Database!$A:$AS,MATCH($V$1,Database!$A$1:$AS$1,),)))))/(((VLOOKUP(EDATE(B31,-12),Database!$A:$AS,MATCH($V$1,Database!$A$1:$AS$1,),))))</f>
        <v/>
      </c>
    </row>
    <row r="32" customFormat="1" s="94">
      <c r="A32" s="44" t="n"/>
      <c r="B32" s="85" t="n">
        <v>33117</v>
      </c>
      <c r="C32" s="13">
        <f>((((VLOOKUP(B32,Database!$A:$AS,MATCH($C$1,Database!$A$1:$AS$1,),))))-(((VLOOKUP(EDATE(B32,-12),Database!$A:$AS,MATCH($C$1,Database!$A$1:$AS$1,),)))))/(((VLOOKUP(EDATE(B32,-12),Database!$A:$AS,MATCH($C$1,Database!$A$1:$AS$1,),))))</f>
        <v/>
      </c>
      <c r="D32" s="13">
        <f>((((VLOOKUP(B32,Database!$A:$AS,MATCH($D$1,Database!$A$1:$AS$1,),))))-(((VLOOKUP(EDATE(B32,-12),Database!$A:$AS,MATCH($D$1,Database!$A$1:$AS$1,),)))))/(((VLOOKUP(EDATE(B32,-12),Database!$A:$AS,MATCH($D$1,Database!$A$1:$AS$1,),))))</f>
        <v/>
      </c>
      <c r="E32" s="13">
        <f>((((VLOOKUP(B32,Database!$A:$AS,MATCH($E$1,Database!$A$1:$AS$1,),))))-(((VLOOKUP(EDATE(B32,-12),Database!$A:$AS,MATCH($E$1,Database!$A$1:$AS$1,),)))))/(((VLOOKUP(EDATE(B32,-12),Database!$A:$AS,MATCH($E$1,Database!$A$1:$AS$1,),))))</f>
        <v/>
      </c>
      <c r="F32" s="13">
        <f>((((VLOOKUP(B32,Database!$A:$AS,MATCH($F$1,Database!$A$1:$AS$1,),))))-(((VLOOKUP(EDATE(B32,-12),Database!$A:$AS,MATCH($F$1,Database!$A$1:$AS$1,),)))))/(((VLOOKUP(EDATE(B32,-12),Database!$A:$AS,MATCH($F$1,Database!$A$1:$AS$1,),))))</f>
        <v/>
      </c>
      <c r="G32" s="13">
        <f>((((VLOOKUP(B32,Database!$A:$AS,MATCH($G$1,Database!$A$1:$AS$1,),))))-(((VLOOKUP(EDATE(B32,-12),Database!$A:$AS,MATCH($G$1,Database!$A$1:$AS$1,),)))))/(((VLOOKUP(EDATE(B32,-12),Database!$A:$AS,MATCH($G$1,Database!$A$1:$AS$1,),))))</f>
        <v/>
      </c>
      <c r="H32" s="13">
        <f>((((VLOOKUP(B32,Database!$A:$AS,MATCH($H$1,Database!$A$1:$AS$1,),))))-(((VLOOKUP(EDATE(B32,-12),Database!$A:$AS,MATCH($H$1,Database!$A$1:$AS$1,),)))))/(((VLOOKUP(EDATE(B32,-12),Database!$A:$AS,MATCH($H$1,Database!$A$1:$AS$1,),))))</f>
        <v/>
      </c>
      <c r="I32" s="13">
        <f>((((VLOOKUP(B32,Database!$A:$AS,MATCH($I$1,Database!$A$1:$AS$1,),))))-(((VLOOKUP(EDATE(B32,-12),Database!$A:$AS,MATCH($I$1,Database!$A$1:$AS$1,),)))))/(((VLOOKUP(EDATE(B32,-12),Database!$A:$AS,MATCH($I$1,Database!$A$1:$AS$1,),))))</f>
        <v/>
      </c>
      <c r="J32" s="13">
        <f>((((VLOOKUP(B32,Database!$A:$AS,MATCH($J$1,Database!$A$1:$AS$1,),))))-(((VLOOKUP(EDATE(B32,-12),Database!$A:$AS,MATCH($J$1,Database!$A$1:$AS$1,),)))))/(((VLOOKUP(EDATE(B32,-12),Database!$A:$AS,MATCH($J$1,Database!$A$1:$AS$1,),))))</f>
        <v/>
      </c>
      <c r="K32" s="13">
        <f>((((VLOOKUP(B32,Database!$A:$AS,MATCH($K$1,Database!$A$1:$AS$1,),))))-(((VLOOKUP(EDATE(B32,-12),Database!$A:$AS,MATCH($K$1,Database!$A$1:$AS$1,),)))))/(((VLOOKUP(EDATE(B32,-12),Database!$A:$AS,MATCH($K$1,Database!$A$1:$AS$1,),))))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((((VLOOKUP(B32,Database!$A:$AS,MATCH($O$1,Database!$A$1:$AS$1,),))))-(((VLOOKUP(EDATE(B32,-12),Database!$A:$AS,MATCH($O$1,Database!$A$1:$AS$1,),)))))/(((VLOOKUP(EDATE(B32,-12),Database!$A:$AS,MATCH($O$1,Database!$A$1:$AS$1,),))))</f>
        <v/>
      </c>
      <c r="P32" s="13">
        <f>((((VLOOKUP(B32,Database!$A:$AS,MATCH($P$1,Database!$A$1:$AS$1,),))))-(((VLOOKUP(EDATE(B32,-12),Database!$A:$AS,MATCH($P$1,Database!$A$1:$AS$1,),)))))/(((VLOOKUP(EDATE(B32,-12),Database!$A:$AS,MATCH($P$1,Database!$A$1:$AS$1,),))))</f>
        <v/>
      </c>
      <c r="Q32" s="13">
        <f>((((VLOOKUP(B32,Database!$A:$AS,MATCH($Q$1,Database!$A$1:$AS$1,),))))-(((VLOOKUP(EDATE(B32,-12),Database!$A:$AS,MATCH($Q$1,Database!$A$1:$AS$1,),)))))/(((VLOOKUP(EDATE(B32,-12),Database!$A:$AS,MATCH($Q$1,Database!$A$1:$AS$1,),))))</f>
        <v/>
      </c>
      <c r="R32" s="13">
        <f>((((VLOOKUP(B32,Database!$A:$AS,MATCH($R$1,Database!$A$1:$AS$1,),))))-(((VLOOKUP(EDATE(B32,-12),Database!$A:$AS,MATCH($R$1,Database!$A$1:$AS$1,),)))))/(((VLOOKUP(EDATE(B32,-12),Database!$A:$AS,MATCH($R$1,Database!$A$1:$AS$1,),))))</f>
        <v/>
      </c>
      <c r="S32" s="13">
        <f>((((VLOOKUP(B32,Database!$A:$AS,MATCH($S$1,Database!$A$1:$AS$1,),))))-(((VLOOKUP(EDATE(B32,-12),Database!$A:$AS,MATCH($S$1,Database!$A$1:$AS$1,),)))))/(((VLOOKUP(EDATE(B32,-12),Database!$A:$AS,MATCH($S$1,Database!$A$1:$AS$1,),))))</f>
        <v/>
      </c>
      <c r="T32" s="13">
        <f>((((VLOOKUP(B32,Database!$A:$AS,MATCH($T$1,Database!$A$1:$AS$1,),))))-(((VLOOKUP(EDATE(B32,-12),Database!$A:$AS,MATCH($T$1,Database!$A$1:$AS$1,),)))))/(((VLOOKUP(EDATE(B32,-12),Database!$A:$AS,MATCH($T$1,Database!$A$1:$AS$1,),))))</f>
        <v/>
      </c>
      <c r="U32" s="13">
        <f>((((VLOOKUP(B32,Database!$A:$AS,MATCH($U$1,Database!$A$1:$AS$1,),))))-(((VLOOKUP(EDATE(B32,-12),Database!$A:$AS,MATCH($U$1,Database!$A$1:$AS$1,),)))))/(((VLOOKUP(EDATE(B32,-12),Database!$A:$AS,MATCH($U$1,Database!$A$1:$AS$1,),))))</f>
        <v/>
      </c>
      <c r="V32" s="13">
        <f>((((VLOOKUP(B32,Database!$A:$AS,MATCH($V$1,Database!$A$1:$AS$1,),))))-(((VLOOKUP(EDATE(B32,-12),Database!$A:$AS,MATCH($V$1,Database!$A$1:$AS$1,),)))))/(((VLOOKUP(EDATE(B32,-12),Database!$A:$AS,MATCH($V$1,Database!$A$1:$AS$1,),))))</f>
        <v/>
      </c>
    </row>
    <row r="33" customFormat="1" s="94">
      <c r="A33" s="44" t="n"/>
      <c r="B33" s="85" t="n">
        <v>33147</v>
      </c>
      <c r="C33" s="13">
        <f>((((VLOOKUP(B33,Database!$A:$AS,MATCH($C$1,Database!$A$1:$AS$1,),))))-(((VLOOKUP(EDATE(B33,-12),Database!$A:$AS,MATCH($C$1,Database!$A$1:$AS$1,),)))))/(((VLOOKUP(EDATE(B33,-12),Database!$A:$AS,MATCH($C$1,Database!$A$1:$AS$1,),))))</f>
        <v/>
      </c>
      <c r="D33" s="13">
        <f>((((VLOOKUP(B33,Database!$A:$AS,MATCH($D$1,Database!$A$1:$AS$1,),))))-(((VLOOKUP(EDATE(B33,-12),Database!$A:$AS,MATCH($D$1,Database!$A$1:$AS$1,),)))))/(((VLOOKUP(EDATE(B33,-12),Database!$A:$AS,MATCH($D$1,Database!$A$1:$AS$1,),))))</f>
        <v/>
      </c>
      <c r="E33" s="13">
        <f>((((VLOOKUP(B33,Database!$A:$AS,MATCH($E$1,Database!$A$1:$AS$1,),))))-(((VLOOKUP(EDATE(B33,-12),Database!$A:$AS,MATCH($E$1,Database!$A$1:$AS$1,),)))))/(((VLOOKUP(EDATE(B33,-12),Database!$A:$AS,MATCH($E$1,Database!$A$1:$AS$1,),))))</f>
        <v/>
      </c>
      <c r="F33" s="13">
        <f>((((VLOOKUP(B33,Database!$A:$AS,MATCH($F$1,Database!$A$1:$AS$1,),))))-(((VLOOKUP(EDATE(B33,-12),Database!$A:$AS,MATCH($F$1,Database!$A$1:$AS$1,),)))))/(((VLOOKUP(EDATE(B33,-12),Database!$A:$AS,MATCH($F$1,Database!$A$1:$AS$1,),))))</f>
        <v/>
      </c>
      <c r="G33" s="13">
        <f>((((VLOOKUP(B33,Database!$A:$AS,MATCH($G$1,Database!$A$1:$AS$1,),))))-(((VLOOKUP(EDATE(B33,-12),Database!$A:$AS,MATCH($G$1,Database!$A$1:$AS$1,),)))))/(((VLOOKUP(EDATE(B33,-12),Database!$A:$AS,MATCH($G$1,Database!$A$1:$AS$1,),))))</f>
        <v/>
      </c>
      <c r="H33" s="13">
        <f>((((VLOOKUP(B33,Database!$A:$AS,MATCH($H$1,Database!$A$1:$AS$1,),))))-(((VLOOKUP(EDATE(B33,-12),Database!$A:$AS,MATCH($H$1,Database!$A$1:$AS$1,),)))))/(((VLOOKUP(EDATE(B33,-12),Database!$A:$AS,MATCH($H$1,Database!$A$1:$AS$1,),))))</f>
        <v/>
      </c>
      <c r="I33" s="13">
        <f>((((VLOOKUP(B33,Database!$A:$AS,MATCH($I$1,Database!$A$1:$AS$1,),))))-(((VLOOKUP(EDATE(B33,-12),Database!$A:$AS,MATCH($I$1,Database!$A$1:$AS$1,),)))))/(((VLOOKUP(EDATE(B33,-12),Database!$A:$AS,MATCH($I$1,Database!$A$1:$AS$1,),))))</f>
        <v/>
      </c>
      <c r="J33" s="13">
        <f>((((VLOOKUP(B33,Database!$A:$AS,MATCH($J$1,Database!$A$1:$AS$1,),))))-(((VLOOKUP(EDATE(B33,-12),Database!$A:$AS,MATCH($J$1,Database!$A$1:$AS$1,),)))))/(((VLOOKUP(EDATE(B33,-12),Database!$A:$AS,MATCH($J$1,Database!$A$1:$AS$1,),))))</f>
        <v/>
      </c>
      <c r="K33" s="13">
        <f>((((VLOOKUP(B33,Database!$A:$AS,MATCH($K$1,Database!$A$1:$AS$1,),))))-(((VLOOKUP(EDATE(B33,-12),Database!$A:$AS,MATCH($K$1,Database!$A$1:$AS$1,),)))))/(((VLOOKUP(EDATE(B33,-12),Database!$A:$AS,MATCH($K$1,Database!$A$1:$AS$1,),))))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((((VLOOKUP(B33,Database!$A:$AS,MATCH($O$1,Database!$A$1:$AS$1,),))))-(((VLOOKUP(EDATE(B33,-12),Database!$A:$AS,MATCH($O$1,Database!$A$1:$AS$1,),)))))/(((VLOOKUP(EDATE(B33,-12),Database!$A:$AS,MATCH($O$1,Database!$A$1:$AS$1,),))))</f>
        <v/>
      </c>
      <c r="P33" s="13">
        <f>((((VLOOKUP(B33,Database!$A:$AS,MATCH($P$1,Database!$A$1:$AS$1,),))))-(((VLOOKUP(EDATE(B33,-12),Database!$A:$AS,MATCH($P$1,Database!$A$1:$AS$1,),)))))/(((VLOOKUP(EDATE(B33,-12),Database!$A:$AS,MATCH($P$1,Database!$A$1:$AS$1,),))))</f>
        <v/>
      </c>
      <c r="Q33" s="13">
        <f>((((VLOOKUP(B33,Database!$A:$AS,MATCH($Q$1,Database!$A$1:$AS$1,),))))-(((VLOOKUP(EDATE(B33,-12),Database!$A:$AS,MATCH($Q$1,Database!$A$1:$AS$1,),)))))/(((VLOOKUP(EDATE(B33,-12),Database!$A:$AS,MATCH($Q$1,Database!$A$1:$AS$1,),))))</f>
        <v/>
      </c>
      <c r="R33" s="13">
        <f>((((VLOOKUP(B33,Database!$A:$AS,MATCH($R$1,Database!$A$1:$AS$1,),))))-(((VLOOKUP(EDATE(B33,-12),Database!$A:$AS,MATCH($R$1,Database!$A$1:$AS$1,),)))))/(((VLOOKUP(EDATE(B33,-12),Database!$A:$AS,MATCH($R$1,Database!$A$1:$AS$1,),))))</f>
        <v/>
      </c>
      <c r="S33" s="13">
        <f>((((VLOOKUP(B33,Database!$A:$AS,MATCH($S$1,Database!$A$1:$AS$1,),))))-(((VLOOKUP(EDATE(B33,-12),Database!$A:$AS,MATCH($S$1,Database!$A$1:$AS$1,),)))))/(((VLOOKUP(EDATE(B33,-12),Database!$A:$AS,MATCH($S$1,Database!$A$1:$AS$1,),))))</f>
        <v/>
      </c>
      <c r="T33" s="13">
        <f>((((VLOOKUP(B33,Database!$A:$AS,MATCH($T$1,Database!$A$1:$AS$1,),))))-(((VLOOKUP(EDATE(B33,-12),Database!$A:$AS,MATCH($T$1,Database!$A$1:$AS$1,),)))))/(((VLOOKUP(EDATE(B33,-12),Database!$A:$AS,MATCH($T$1,Database!$A$1:$AS$1,),))))</f>
        <v/>
      </c>
      <c r="U33" s="13">
        <f>((((VLOOKUP(B33,Database!$A:$AS,MATCH($U$1,Database!$A$1:$AS$1,),))))-(((VLOOKUP(EDATE(B33,-12),Database!$A:$AS,MATCH($U$1,Database!$A$1:$AS$1,),)))))/(((VLOOKUP(EDATE(B33,-12),Database!$A:$AS,MATCH($U$1,Database!$A$1:$AS$1,),))))</f>
        <v/>
      </c>
      <c r="V33" s="13">
        <f>((((VLOOKUP(B33,Database!$A:$AS,MATCH($V$1,Database!$A$1:$AS$1,),))))-(((VLOOKUP(EDATE(B33,-12),Database!$A:$AS,MATCH($V$1,Database!$A$1:$AS$1,),)))))/(((VLOOKUP(EDATE(B33,-12),Database!$A:$AS,MATCH($V$1,Database!$A$1:$AS$1,),))))</f>
        <v/>
      </c>
    </row>
    <row r="34" customFormat="1" s="94">
      <c r="A34" s="44" t="n"/>
      <c r="B34" s="85" t="n">
        <v>33178</v>
      </c>
      <c r="C34" s="13">
        <f>((((VLOOKUP(B34,Database!$A:$AS,MATCH($C$1,Database!$A$1:$AS$1,),))))-(((VLOOKUP(EDATE(B34,-12),Database!$A:$AS,MATCH($C$1,Database!$A$1:$AS$1,),)))))/(((VLOOKUP(EDATE(B34,-12),Database!$A:$AS,MATCH($C$1,Database!$A$1:$AS$1,),))))</f>
        <v/>
      </c>
      <c r="D34" s="13">
        <f>((((VLOOKUP(B34,Database!$A:$AS,MATCH($D$1,Database!$A$1:$AS$1,),))))-(((VLOOKUP(EDATE(B34,-12),Database!$A:$AS,MATCH($D$1,Database!$A$1:$AS$1,),)))))/(((VLOOKUP(EDATE(B34,-12),Database!$A:$AS,MATCH($D$1,Database!$A$1:$AS$1,),))))</f>
        <v/>
      </c>
      <c r="E34" s="13">
        <f>((((VLOOKUP(B34,Database!$A:$AS,MATCH($E$1,Database!$A$1:$AS$1,),))))-(((VLOOKUP(EDATE(B34,-12),Database!$A:$AS,MATCH($E$1,Database!$A$1:$AS$1,),)))))/(((VLOOKUP(EDATE(B34,-12),Database!$A:$AS,MATCH($E$1,Database!$A$1:$AS$1,),))))</f>
        <v/>
      </c>
      <c r="F34" s="13">
        <f>((((VLOOKUP(B34,Database!$A:$AS,MATCH($F$1,Database!$A$1:$AS$1,),))))-(((VLOOKUP(EDATE(B34,-12),Database!$A:$AS,MATCH($F$1,Database!$A$1:$AS$1,),)))))/(((VLOOKUP(EDATE(B34,-12),Database!$A:$AS,MATCH($F$1,Database!$A$1:$AS$1,),))))</f>
        <v/>
      </c>
      <c r="G34" s="13">
        <f>((((VLOOKUP(B34,Database!$A:$AS,MATCH($G$1,Database!$A$1:$AS$1,),))))-(((VLOOKUP(EDATE(B34,-12),Database!$A:$AS,MATCH($G$1,Database!$A$1:$AS$1,),)))))/(((VLOOKUP(EDATE(B34,-12),Database!$A:$AS,MATCH($G$1,Database!$A$1:$AS$1,),))))</f>
        <v/>
      </c>
      <c r="H34" s="13">
        <f>((((VLOOKUP(B34,Database!$A:$AS,MATCH($H$1,Database!$A$1:$AS$1,),))))-(((VLOOKUP(EDATE(B34,-12),Database!$A:$AS,MATCH($H$1,Database!$A$1:$AS$1,),)))))/(((VLOOKUP(EDATE(B34,-12),Database!$A:$AS,MATCH($H$1,Database!$A$1:$AS$1,),))))</f>
        <v/>
      </c>
      <c r="I34" s="13">
        <f>((((VLOOKUP(B34,Database!$A:$AS,MATCH($I$1,Database!$A$1:$AS$1,),))))-(((VLOOKUP(EDATE(B34,-12),Database!$A:$AS,MATCH($I$1,Database!$A$1:$AS$1,),)))))/(((VLOOKUP(EDATE(B34,-12),Database!$A:$AS,MATCH($I$1,Database!$A$1:$AS$1,),))))</f>
        <v/>
      </c>
      <c r="J34" s="13">
        <f>((((VLOOKUP(B34,Database!$A:$AS,MATCH($J$1,Database!$A$1:$AS$1,),))))-(((VLOOKUP(EDATE(B34,-12),Database!$A:$AS,MATCH($J$1,Database!$A$1:$AS$1,),)))))/(((VLOOKUP(EDATE(B34,-12),Database!$A:$AS,MATCH($J$1,Database!$A$1:$AS$1,),))))</f>
        <v/>
      </c>
      <c r="K34" s="13">
        <f>((((VLOOKUP(B34,Database!$A:$AS,MATCH($K$1,Database!$A$1:$AS$1,),))))-(((VLOOKUP(EDATE(B34,-12),Database!$A:$AS,MATCH($K$1,Database!$A$1:$AS$1,),)))))/(((VLOOKUP(EDATE(B34,-12),Database!$A:$AS,MATCH($K$1,Database!$A$1:$AS$1,),))))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((((VLOOKUP(B34,Database!$A:$AS,MATCH($O$1,Database!$A$1:$AS$1,),))))-(((VLOOKUP(EDATE(B34,-12),Database!$A:$AS,MATCH($O$1,Database!$A$1:$AS$1,),)))))/(((VLOOKUP(EDATE(B34,-12),Database!$A:$AS,MATCH($O$1,Database!$A$1:$AS$1,),))))</f>
        <v/>
      </c>
      <c r="P34" s="13">
        <f>((((VLOOKUP(B34,Database!$A:$AS,MATCH($P$1,Database!$A$1:$AS$1,),))))-(((VLOOKUP(EDATE(B34,-12),Database!$A:$AS,MATCH($P$1,Database!$A$1:$AS$1,),)))))/(((VLOOKUP(EDATE(B34,-12),Database!$A:$AS,MATCH($P$1,Database!$A$1:$AS$1,),))))</f>
        <v/>
      </c>
      <c r="Q34" s="13">
        <f>((((VLOOKUP(B34,Database!$A:$AS,MATCH($Q$1,Database!$A$1:$AS$1,),))))-(((VLOOKUP(EDATE(B34,-12),Database!$A:$AS,MATCH($Q$1,Database!$A$1:$AS$1,),)))))/(((VLOOKUP(EDATE(B34,-12),Database!$A:$AS,MATCH($Q$1,Database!$A$1:$AS$1,),))))</f>
        <v/>
      </c>
      <c r="R34" s="13">
        <f>((((VLOOKUP(B34,Database!$A:$AS,MATCH($R$1,Database!$A$1:$AS$1,),))))-(((VLOOKUP(EDATE(B34,-12),Database!$A:$AS,MATCH($R$1,Database!$A$1:$AS$1,),)))))/(((VLOOKUP(EDATE(B34,-12),Database!$A:$AS,MATCH($R$1,Database!$A$1:$AS$1,),))))</f>
        <v/>
      </c>
      <c r="S34" s="13">
        <f>((((VLOOKUP(B34,Database!$A:$AS,MATCH($S$1,Database!$A$1:$AS$1,),))))-(((VLOOKUP(EDATE(B34,-12),Database!$A:$AS,MATCH($S$1,Database!$A$1:$AS$1,),)))))/(((VLOOKUP(EDATE(B34,-12),Database!$A:$AS,MATCH($S$1,Database!$A$1:$AS$1,),))))</f>
        <v/>
      </c>
      <c r="T34" s="13">
        <f>((((VLOOKUP(B34,Database!$A:$AS,MATCH($T$1,Database!$A$1:$AS$1,),))))-(((VLOOKUP(EDATE(B34,-12),Database!$A:$AS,MATCH($T$1,Database!$A$1:$AS$1,),)))))/(((VLOOKUP(EDATE(B34,-12),Database!$A:$AS,MATCH($T$1,Database!$A$1:$AS$1,),))))</f>
        <v/>
      </c>
      <c r="U34" s="13">
        <f>((((VLOOKUP(B34,Database!$A:$AS,MATCH($U$1,Database!$A$1:$AS$1,),))))-(((VLOOKUP(EDATE(B34,-12),Database!$A:$AS,MATCH($U$1,Database!$A$1:$AS$1,),)))))/(((VLOOKUP(EDATE(B34,-12),Database!$A:$AS,MATCH($U$1,Database!$A$1:$AS$1,),))))</f>
        <v/>
      </c>
      <c r="V34" s="13">
        <f>((((VLOOKUP(B34,Database!$A:$AS,MATCH($V$1,Database!$A$1:$AS$1,),))))-(((VLOOKUP(EDATE(B34,-12),Database!$A:$AS,MATCH($V$1,Database!$A$1:$AS$1,),)))))/(((VLOOKUP(EDATE(B34,-12),Database!$A:$AS,MATCH($V$1,Database!$A$1:$AS$1,),))))</f>
        <v/>
      </c>
    </row>
    <row r="35" customFormat="1" s="94">
      <c r="A35" s="44" t="n"/>
      <c r="B35" s="85" t="n">
        <v>33208</v>
      </c>
      <c r="C35" s="13">
        <f>((((VLOOKUP(B35,Database!$A:$AS,MATCH($C$1,Database!$A$1:$AS$1,),))))-(((VLOOKUP(EDATE(B35,-12),Database!$A:$AS,MATCH($C$1,Database!$A$1:$AS$1,),)))))/(((VLOOKUP(EDATE(B35,-12),Database!$A:$AS,MATCH($C$1,Database!$A$1:$AS$1,),))))</f>
        <v/>
      </c>
      <c r="D35" s="13">
        <f>((((VLOOKUP(B35,Database!$A:$AS,MATCH($D$1,Database!$A$1:$AS$1,),))))-(((VLOOKUP(EDATE(B35,-12),Database!$A:$AS,MATCH($D$1,Database!$A$1:$AS$1,),)))))/(((VLOOKUP(EDATE(B35,-12),Database!$A:$AS,MATCH($D$1,Database!$A$1:$AS$1,),))))</f>
        <v/>
      </c>
      <c r="E35" s="13">
        <f>((((VLOOKUP(B35,Database!$A:$AS,MATCH($E$1,Database!$A$1:$AS$1,),))))-(((VLOOKUP(EDATE(B35,-12),Database!$A:$AS,MATCH($E$1,Database!$A$1:$AS$1,),)))))/(((VLOOKUP(EDATE(B35,-12),Database!$A:$AS,MATCH($E$1,Database!$A$1:$AS$1,),))))</f>
        <v/>
      </c>
      <c r="F35" s="13">
        <f>((((VLOOKUP(B35,Database!$A:$AS,MATCH($F$1,Database!$A$1:$AS$1,),))))-(((VLOOKUP(EDATE(B35,-12),Database!$A:$AS,MATCH($F$1,Database!$A$1:$AS$1,),)))))/(((VLOOKUP(EDATE(B35,-12),Database!$A:$AS,MATCH($F$1,Database!$A$1:$AS$1,),))))</f>
        <v/>
      </c>
      <c r="G35" s="13">
        <f>((((VLOOKUP(B35,Database!$A:$AS,MATCH($G$1,Database!$A$1:$AS$1,),))))-(((VLOOKUP(EDATE(B35,-12),Database!$A:$AS,MATCH($G$1,Database!$A$1:$AS$1,),)))))/(((VLOOKUP(EDATE(B35,-12),Database!$A:$AS,MATCH($G$1,Database!$A$1:$AS$1,),))))</f>
        <v/>
      </c>
      <c r="H35" s="13">
        <f>((((VLOOKUP(B35,Database!$A:$AS,MATCH($H$1,Database!$A$1:$AS$1,),))))-(((VLOOKUP(EDATE(B35,-12),Database!$A:$AS,MATCH($H$1,Database!$A$1:$AS$1,),)))))/(((VLOOKUP(EDATE(B35,-12),Database!$A:$AS,MATCH($H$1,Database!$A$1:$AS$1,),))))</f>
        <v/>
      </c>
      <c r="I35" s="13">
        <f>((((VLOOKUP(B35,Database!$A:$AS,MATCH($I$1,Database!$A$1:$AS$1,),))))-(((VLOOKUP(EDATE(B35,-12),Database!$A:$AS,MATCH($I$1,Database!$A$1:$AS$1,),)))))/(((VLOOKUP(EDATE(B35,-12),Database!$A:$AS,MATCH($I$1,Database!$A$1:$AS$1,),))))</f>
        <v/>
      </c>
      <c r="J35" s="13">
        <f>((((VLOOKUP(B35,Database!$A:$AS,MATCH($J$1,Database!$A$1:$AS$1,),))))-(((VLOOKUP(EDATE(B35,-12),Database!$A:$AS,MATCH($J$1,Database!$A$1:$AS$1,),)))))/(((VLOOKUP(EDATE(B35,-12),Database!$A:$AS,MATCH($J$1,Database!$A$1:$AS$1,),))))</f>
        <v/>
      </c>
      <c r="K35" s="13">
        <f>((((VLOOKUP(B35,Database!$A:$AS,MATCH($K$1,Database!$A$1:$AS$1,),))))-(((VLOOKUP(EDATE(B35,-12),Database!$A:$AS,MATCH($K$1,Database!$A$1:$AS$1,),)))))/(((VLOOKUP(EDATE(B35,-12),Database!$A:$AS,MATCH($K$1,Database!$A$1:$AS$1,),))))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((((VLOOKUP(B35,Database!$A:$AS,MATCH($O$1,Database!$A$1:$AS$1,),))))-(((VLOOKUP(EDATE(B35,-12),Database!$A:$AS,MATCH($O$1,Database!$A$1:$AS$1,),)))))/(((VLOOKUP(EDATE(B35,-12),Database!$A:$AS,MATCH($O$1,Database!$A$1:$AS$1,),))))</f>
        <v/>
      </c>
      <c r="P35" s="13">
        <f>((((VLOOKUP(B35,Database!$A:$AS,MATCH($P$1,Database!$A$1:$AS$1,),))))-(((VLOOKUP(EDATE(B35,-12),Database!$A:$AS,MATCH($P$1,Database!$A$1:$AS$1,),)))))/(((VLOOKUP(EDATE(B35,-12),Database!$A:$AS,MATCH($P$1,Database!$A$1:$AS$1,),))))</f>
        <v/>
      </c>
      <c r="Q35" s="13">
        <f>((((VLOOKUP(B35,Database!$A:$AS,MATCH($Q$1,Database!$A$1:$AS$1,),))))-(((VLOOKUP(EDATE(B35,-12),Database!$A:$AS,MATCH($Q$1,Database!$A$1:$AS$1,),)))))/(((VLOOKUP(EDATE(B35,-12),Database!$A:$AS,MATCH($Q$1,Database!$A$1:$AS$1,),))))</f>
        <v/>
      </c>
      <c r="R35" s="13">
        <f>((((VLOOKUP(B35,Database!$A:$AS,MATCH($R$1,Database!$A$1:$AS$1,),))))-(((VLOOKUP(EDATE(B35,-12),Database!$A:$AS,MATCH($R$1,Database!$A$1:$AS$1,),)))))/(((VLOOKUP(EDATE(B35,-12),Database!$A:$AS,MATCH($R$1,Database!$A$1:$AS$1,),))))</f>
        <v/>
      </c>
      <c r="S35" s="13">
        <f>((((VLOOKUP(B35,Database!$A:$AS,MATCH($S$1,Database!$A$1:$AS$1,),))))-(((VLOOKUP(EDATE(B35,-12),Database!$A:$AS,MATCH($S$1,Database!$A$1:$AS$1,),)))))/(((VLOOKUP(EDATE(B35,-12),Database!$A:$AS,MATCH($S$1,Database!$A$1:$AS$1,),))))</f>
        <v/>
      </c>
      <c r="T35" s="13">
        <f>((((VLOOKUP(B35,Database!$A:$AS,MATCH($T$1,Database!$A$1:$AS$1,),))))-(((VLOOKUP(EDATE(B35,-12),Database!$A:$AS,MATCH($T$1,Database!$A$1:$AS$1,),)))))/(((VLOOKUP(EDATE(B35,-12),Database!$A:$AS,MATCH($T$1,Database!$A$1:$AS$1,),))))</f>
        <v/>
      </c>
      <c r="U35" s="13">
        <f>((((VLOOKUP(B35,Database!$A:$AS,MATCH($U$1,Database!$A$1:$AS$1,),))))-(((VLOOKUP(EDATE(B35,-12),Database!$A:$AS,MATCH($U$1,Database!$A$1:$AS$1,),)))))/(((VLOOKUP(EDATE(B35,-12),Database!$A:$AS,MATCH($U$1,Database!$A$1:$AS$1,),))))</f>
        <v/>
      </c>
      <c r="V35" s="13">
        <f>((((VLOOKUP(B35,Database!$A:$AS,MATCH($V$1,Database!$A$1:$AS$1,),))))-(((VLOOKUP(EDATE(B35,-12),Database!$A:$AS,MATCH($V$1,Database!$A$1:$AS$1,),)))))/(((VLOOKUP(EDATE(B35,-12),Database!$A:$AS,MATCH($V$1,Database!$A$1:$AS$1,),))))</f>
        <v/>
      </c>
    </row>
    <row r="36" customFormat="1" s="94">
      <c r="A36" s="44" t="n"/>
      <c r="B36" s="85" t="n">
        <v>33239</v>
      </c>
      <c r="C36" s="13">
        <f>((((VLOOKUP(B36,Database!$A:$AS,MATCH($C$1,Database!$A$1:$AS$1,),))))-(((VLOOKUP(EDATE(B36,-12),Database!$A:$AS,MATCH($C$1,Database!$A$1:$AS$1,),)))))/(((VLOOKUP(EDATE(B36,-12),Database!$A:$AS,MATCH($C$1,Database!$A$1:$AS$1,),))))</f>
        <v/>
      </c>
      <c r="D36" s="13">
        <f>((((VLOOKUP(B36,Database!$A:$AS,MATCH($D$1,Database!$A$1:$AS$1,),))))-(((VLOOKUP(EDATE(B36,-12),Database!$A:$AS,MATCH($D$1,Database!$A$1:$AS$1,),)))))/(((VLOOKUP(EDATE(B36,-12),Database!$A:$AS,MATCH($D$1,Database!$A$1:$AS$1,),))))</f>
        <v/>
      </c>
      <c r="E36" s="13">
        <f>((((VLOOKUP(B36,Database!$A:$AS,MATCH($E$1,Database!$A$1:$AS$1,),))))-(((VLOOKUP(EDATE(B36,-12),Database!$A:$AS,MATCH($E$1,Database!$A$1:$AS$1,),)))))/(((VLOOKUP(EDATE(B36,-12),Database!$A:$AS,MATCH($E$1,Database!$A$1:$AS$1,),))))</f>
        <v/>
      </c>
      <c r="F36" s="13">
        <f>((((VLOOKUP(B36,Database!$A:$AS,MATCH($F$1,Database!$A$1:$AS$1,),))))-(((VLOOKUP(EDATE(B36,-12),Database!$A:$AS,MATCH($F$1,Database!$A$1:$AS$1,),)))))/(((VLOOKUP(EDATE(B36,-12),Database!$A:$AS,MATCH($F$1,Database!$A$1:$AS$1,),))))</f>
        <v/>
      </c>
      <c r="G36" s="13">
        <f>((((VLOOKUP(B36,Database!$A:$AS,MATCH($G$1,Database!$A$1:$AS$1,),))))-(((VLOOKUP(EDATE(B36,-12),Database!$A:$AS,MATCH($G$1,Database!$A$1:$AS$1,),)))))/(((VLOOKUP(EDATE(B36,-12),Database!$A:$AS,MATCH($G$1,Database!$A$1:$AS$1,),))))</f>
        <v/>
      </c>
      <c r="H36" s="13">
        <f>((((VLOOKUP(B36,Database!$A:$AS,MATCH($H$1,Database!$A$1:$AS$1,),))))-(((VLOOKUP(EDATE(B36,-12),Database!$A:$AS,MATCH($H$1,Database!$A$1:$AS$1,),)))))/(((VLOOKUP(EDATE(B36,-12),Database!$A:$AS,MATCH($H$1,Database!$A$1:$AS$1,),))))</f>
        <v/>
      </c>
      <c r="I36" s="13">
        <f>((((VLOOKUP(B36,Database!$A:$AS,MATCH($I$1,Database!$A$1:$AS$1,),))))-(((VLOOKUP(EDATE(B36,-12),Database!$A:$AS,MATCH($I$1,Database!$A$1:$AS$1,),)))))/(((VLOOKUP(EDATE(B36,-12),Database!$A:$AS,MATCH($I$1,Database!$A$1:$AS$1,),))))</f>
        <v/>
      </c>
      <c r="J36" s="13">
        <f>((((VLOOKUP(B36,Database!$A:$AS,MATCH($J$1,Database!$A$1:$AS$1,),))))-(((VLOOKUP(EDATE(B36,-12),Database!$A:$AS,MATCH($J$1,Database!$A$1:$AS$1,),)))))/(((VLOOKUP(EDATE(B36,-12),Database!$A:$AS,MATCH($J$1,Database!$A$1:$AS$1,),))))</f>
        <v/>
      </c>
      <c r="K36" s="13">
        <f>((((VLOOKUP(B36,Database!$A:$AS,MATCH($K$1,Database!$A$1:$AS$1,),))))-(((VLOOKUP(EDATE(B36,-12),Database!$A:$AS,MATCH($K$1,Database!$A$1:$AS$1,),)))))/(((VLOOKUP(EDATE(B36,-12),Database!$A:$AS,MATCH($K$1,Database!$A$1:$AS$1,),))))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((((VLOOKUP(B36,Database!$A:$AS,MATCH($O$1,Database!$A$1:$AS$1,),))))-(((VLOOKUP(EDATE(B36,-12),Database!$A:$AS,MATCH($O$1,Database!$A$1:$AS$1,),)))))/(((VLOOKUP(EDATE(B36,-12),Database!$A:$AS,MATCH($O$1,Database!$A$1:$AS$1,),))))</f>
        <v/>
      </c>
      <c r="P36" s="13">
        <f>((((VLOOKUP(B36,Database!$A:$AS,MATCH($P$1,Database!$A$1:$AS$1,),))))-(((VLOOKUP(EDATE(B36,-12),Database!$A:$AS,MATCH($P$1,Database!$A$1:$AS$1,),)))))/(((VLOOKUP(EDATE(B36,-12),Database!$A:$AS,MATCH($P$1,Database!$A$1:$AS$1,),))))</f>
        <v/>
      </c>
      <c r="Q36" s="13">
        <f>((((VLOOKUP(B36,Database!$A:$AS,MATCH($Q$1,Database!$A$1:$AS$1,),))))-(((VLOOKUP(EDATE(B36,-12),Database!$A:$AS,MATCH($Q$1,Database!$A$1:$AS$1,),)))))/(((VLOOKUP(EDATE(B36,-12),Database!$A:$AS,MATCH($Q$1,Database!$A$1:$AS$1,),))))</f>
        <v/>
      </c>
      <c r="R36" s="13">
        <f>((((VLOOKUP(B36,Database!$A:$AS,MATCH($R$1,Database!$A$1:$AS$1,),))))-(((VLOOKUP(EDATE(B36,-12),Database!$A:$AS,MATCH($R$1,Database!$A$1:$AS$1,),)))))/(((VLOOKUP(EDATE(B36,-12),Database!$A:$AS,MATCH($R$1,Database!$A$1:$AS$1,),))))</f>
        <v/>
      </c>
      <c r="S36" s="13">
        <f>((((VLOOKUP(B36,Database!$A:$AS,MATCH($S$1,Database!$A$1:$AS$1,),))))-(((VLOOKUP(EDATE(B36,-12),Database!$A:$AS,MATCH($S$1,Database!$A$1:$AS$1,),)))))/(((VLOOKUP(EDATE(B36,-12),Database!$A:$AS,MATCH($S$1,Database!$A$1:$AS$1,),))))</f>
        <v/>
      </c>
      <c r="T36" s="13">
        <f>((((VLOOKUP(B36,Database!$A:$AS,MATCH($T$1,Database!$A$1:$AS$1,),))))-(((VLOOKUP(EDATE(B36,-12),Database!$A:$AS,MATCH($T$1,Database!$A$1:$AS$1,),)))))/(((VLOOKUP(EDATE(B36,-12),Database!$A:$AS,MATCH($T$1,Database!$A$1:$AS$1,),))))</f>
        <v/>
      </c>
      <c r="U36" s="13">
        <f>((((VLOOKUP(B36,Database!$A:$AS,MATCH($U$1,Database!$A$1:$AS$1,),))))-(((VLOOKUP(EDATE(B36,-12),Database!$A:$AS,MATCH($U$1,Database!$A$1:$AS$1,),)))))/(((VLOOKUP(EDATE(B36,-12),Database!$A:$AS,MATCH($U$1,Database!$A$1:$AS$1,),))))</f>
        <v/>
      </c>
      <c r="V36" s="13">
        <f>((((VLOOKUP(B36,Database!$A:$AS,MATCH($V$1,Database!$A$1:$AS$1,),))))-(((VLOOKUP(EDATE(B36,-12),Database!$A:$AS,MATCH($V$1,Database!$A$1:$AS$1,),)))))/(((VLOOKUP(EDATE(B36,-12),Database!$A:$AS,MATCH($V$1,Database!$A$1:$AS$1,),))))</f>
        <v/>
      </c>
    </row>
    <row r="37" customFormat="1" s="94">
      <c r="A37" s="44" t="n"/>
      <c r="B37" s="85" t="n">
        <v>33270</v>
      </c>
      <c r="C37" s="13">
        <f>((((VLOOKUP(B37,Database!$A:$AS,MATCH($C$1,Database!$A$1:$AS$1,),))))-(((VLOOKUP(EDATE(B37,-12),Database!$A:$AS,MATCH($C$1,Database!$A$1:$AS$1,),)))))/(((VLOOKUP(EDATE(B37,-12),Database!$A:$AS,MATCH($C$1,Database!$A$1:$AS$1,),))))</f>
        <v/>
      </c>
      <c r="D37" s="13">
        <f>((((VLOOKUP(B37,Database!$A:$AS,MATCH($D$1,Database!$A$1:$AS$1,),))))-(((VLOOKUP(EDATE(B37,-12),Database!$A:$AS,MATCH($D$1,Database!$A$1:$AS$1,),)))))/(((VLOOKUP(EDATE(B37,-12),Database!$A:$AS,MATCH($D$1,Database!$A$1:$AS$1,),))))</f>
        <v/>
      </c>
      <c r="E37" s="13">
        <f>((((VLOOKUP(B37,Database!$A:$AS,MATCH($E$1,Database!$A$1:$AS$1,),))))-(((VLOOKUP(EDATE(B37,-12),Database!$A:$AS,MATCH($E$1,Database!$A$1:$AS$1,),)))))/(((VLOOKUP(EDATE(B37,-12),Database!$A:$AS,MATCH($E$1,Database!$A$1:$AS$1,),))))</f>
        <v/>
      </c>
      <c r="F37" s="13">
        <f>((((VLOOKUP(B37,Database!$A:$AS,MATCH($F$1,Database!$A$1:$AS$1,),))))-(((VLOOKUP(EDATE(B37,-12),Database!$A:$AS,MATCH($F$1,Database!$A$1:$AS$1,),)))))/(((VLOOKUP(EDATE(B37,-12),Database!$A:$AS,MATCH($F$1,Database!$A$1:$AS$1,),))))</f>
        <v/>
      </c>
      <c r="G37" s="13">
        <f>((((VLOOKUP(B37,Database!$A:$AS,MATCH($G$1,Database!$A$1:$AS$1,),))))-(((VLOOKUP(EDATE(B37,-12),Database!$A:$AS,MATCH($G$1,Database!$A$1:$AS$1,),)))))/(((VLOOKUP(EDATE(B37,-12),Database!$A:$AS,MATCH($G$1,Database!$A$1:$AS$1,),))))</f>
        <v/>
      </c>
      <c r="H37" s="13">
        <f>((((VLOOKUP(B37,Database!$A:$AS,MATCH($H$1,Database!$A$1:$AS$1,),))))-(((VLOOKUP(EDATE(B37,-12),Database!$A:$AS,MATCH($H$1,Database!$A$1:$AS$1,),)))))/(((VLOOKUP(EDATE(B37,-12),Database!$A:$AS,MATCH($H$1,Database!$A$1:$AS$1,),))))</f>
        <v/>
      </c>
      <c r="I37" s="13">
        <f>((((VLOOKUP(B37,Database!$A:$AS,MATCH($I$1,Database!$A$1:$AS$1,),))))-(((VLOOKUP(EDATE(B37,-12),Database!$A:$AS,MATCH($I$1,Database!$A$1:$AS$1,),)))))/(((VLOOKUP(EDATE(B37,-12),Database!$A:$AS,MATCH($I$1,Database!$A$1:$AS$1,),))))</f>
        <v/>
      </c>
      <c r="J37" s="13">
        <f>((((VLOOKUP(B37,Database!$A:$AS,MATCH($J$1,Database!$A$1:$AS$1,),))))-(((VLOOKUP(EDATE(B37,-12),Database!$A:$AS,MATCH($J$1,Database!$A$1:$AS$1,),)))))/(((VLOOKUP(EDATE(B37,-12),Database!$A:$AS,MATCH($J$1,Database!$A$1:$AS$1,),))))</f>
        <v/>
      </c>
      <c r="K37" s="13">
        <f>((((VLOOKUP(B37,Database!$A:$AS,MATCH($K$1,Database!$A$1:$AS$1,),))))-(((VLOOKUP(EDATE(B37,-12),Database!$A:$AS,MATCH($K$1,Database!$A$1:$AS$1,),)))))/(((VLOOKUP(EDATE(B37,-12),Database!$A:$AS,MATCH($K$1,Database!$A$1:$AS$1,),))))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((((VLOOKUP(B37,Database!$A:$AS,MATCH($O$1,Database!$A$1:$AS$1,),))))-(((VLOOKUP(EDATE(B37,-12),Database!$A:$AS,MATCH($O$1,Database!$A$1:$AS$1,),)))))/(((VLOOKUP(EDATE(B37,-12),Database!$A:$AS,MATCH($O$1,Database!$A$1:$AS$1,),))))</f>
        <v/>
      </c>
      <c r="P37" s="13">
        <f>((((VLOOKUP(B37,Database!$A:$AS,MATCH($P$1,Database!$A$1:$AS$1,),))))-(((VLOOKUP(EDATE(B37,-12),Database!$A:$AS,MATCH($P$1,Database!$A$1:$AS$1,),)))))/(((VLOOKUP(EDATE(B37,-12),Database!$A:$AS,MATCH($P$1,Database!$A$1:$AS$1,),))))</f>
        <v/>
      </c>
      <c r="Q37" s="13">
        <f>((((VLOOKUP(B37,Database!$A:$AS,MATCH($Q$1,Database!$A$1:$AS$1,),))))-(((VLOOKUP(EDATE(B37,-12),Database!$A:$AS,MATCH($Q$1,Database!$A$1:$AS$1,),)))))/(((VLOOKUP(EDATE(B37,-12),Database!$A:$AS,MATCH($Q$1,Database!$A$1:$AS$1,),))))</f>
        <v/>
      </c>
      <c r="R37" s="13">
        <f>((((VLOOKUP(B37,Database!$A:$AS,MATCH($R$1,Database!$A$1:$AS$1,),))))-(((VLOOKUP(EDATE(B37,-12),Database!$A:$AS,MATCH($R$1,Database!$A$1:$AS$1,),)))))/(((VLOOKUP(EDATE(B37,-12),Database!$A:$AS,MATCH($R$1,Database!$A$1:$AS$1,),))))</f>
        <v/>
      </c>
      <c r="S37" s="13">
        <f>((((VLOOKUP(B37,Database!$A:$AS,MATCH($S$1,Database!$A$1:$AS$1,),))))-(((VLOOKUP(EDATE(B37,-12),Database!$A:$AS,MATCH($S$1,Database!$A$1:$AS$1,),)))))/(((VLOOKUP(EDATE(B37,-12),Database!$A:$AS,MATCH($S$1,Database!$A$1:$AS$1,),))))</f>
        <v/>
      </c>
      <c r="T37" s="13">
        <f>((((VLOOKUP(B37,Database!$A:$AS,MATCH($T$1,Database!$A$1:$AS$1,),))))-(((VLOOKUP(EDATE(B37,-12),Database!$A:$AS,MATCH($T$1,Database!$A$1:$AS$1,),)))))/(((VLOOKUP(EDATE(B37,-12),Database!$A:$AS,MATCH($T$1,Database!$A$1:$AS$1,),))))</f>
        <v/>
      </c>
      <c r="U37" s="13">
        <f>((((VLOOKUP(B37,Database!$A:$AS,MATCH($U$1,Database!$A$1:$AS$1,),))))-(((VLOOKUP(EDATE(B37,-12),Database!$A:$AS,MATCH($U$1,Database!$A$1:$AS$1,),)))))/(((VLOOKUP(EDATE(B37,-12),Database!$A:$AS,MATCH($U$1,Database!$A$1:$AS$1,),))))</f>
        <v/>
      </c>
      <c r="V37" s="13">
        <f>((((VLOOKUP(B37,Database!$A:$AS,MATCH($V$1,Database!$A$1:$AS$1,),))))-(((VLOOKUP(EDATE(B37,-12),Database!$A:$AS,MATCH($V$1,Database!$A$1:$AS$1,),)))))/(((VLOOKUP(EDATE(B37,-12),Database!$A:$AS,MATCH($V$1,Database!$A$1:$AS$1,),))))</f>
        <v/>
      </c>
    </row>
    <row r="38" customFormat="1" s="94">
      <c r="A38" s="44" t="n"/>
      <c r="B38" s="85" t="n">
        <v>33298</v>
      </c>
      <c r="C38" s="13">
        <f>((((VLOOKUP(B38,Database!$A:$AS,MATCH($C$1,Database!$A$1:$AS$1,),))))-(((VLOOKUP(EDATE(B38,-12),Database!$A:$AS,MATCH($C$1,Database!$A$1:$AS$1,),)))))/(((VLOOKUP(EDATE(B38,-12),Database!$A:$AS,MATCH($C$1,Database!$A$1:$AS$1,),))))</f>
        <v/>
      </c>
      <c r="D38" s="13">
        <f>((((VLOOKUP(B38,Database!$A:$AS,MATCH($D$1,Database!$A$1:$AS$1,),))))-(((VLOOKUP(EDATE(B38,-12),Database!$A:$AS,MATCH($D$1,Database!$A$1:$AS$1,),)))))/(((VLOOKUP(EDATE(B38,-12),Database!$A:$AS,MATCH($D$1,Database!$A$1:$AS$1,),))))</f>
        <v/>
      </c>
      <c r="E38" s="13">
        <f>((((VLOOKUP(B38,Database!$A:$AS,MATCH($E$1,Database!$A$1:$AS$1,),))))-(((VLOOKUP(EDATE(B38,-12),Database!$A:$AS,MATCH($E$1,Database!$A$1:$AS$1,),)))))/(((VLOOKUP(EDATE(B38,-12),Database!$A:$AS,MATCH($E$1,Database!$A$1:$AS$1,),))))</f>
        <v/>
      </c>
      <c r="F38" s="13">
        <f>((((VLOOKUP(B38,Database!$A:$AS,MATCH($F$1,Database!$A$1:$AS$1,),))))-(((VLOOKUP(EDATE(B38,-12),Database!$A:$AS,MATCH($F$1,Database!$A$1:$AS$1,),)))))/(((VLOOKUP(EDATE(B38,-12),Database!$A:$AS,MATCH($F$1,Database!$A$1:$AS$1,),))))</f>
        <v/>
      </c>
      <c r="G38" s="13">
        <f>((((VLOOKUP(B38,Database!$A:$AS,MATCH($G$1,Database!$A$1:$AS$1,),))))-(((VLOOKUP(EDATE(B38,-12),Database!$A:$AS,MATCH($G$1,Database!$A$1:$AS$1,),)))))/(((VLOOKUP(EDATE(B38,-12),Database!$A:$AS,MATCH($G$1,Database!$A$1:$AS$1,),))))</f>
        <v/>
      </c>
      <c r="H38" s="13">
        <f>((((VLOOKUP(B38,Database!$A:$AS,MATCH($H$1,Database!$A$1:$AS$1,),))))-(((VLOOKUP(EDATE(B38,-12),Database!$A:$AS,MATCH($H$1,Database!$A$1:$AS$1,),)))))/(((VLOOKUP(EDATE(B38,-12),Database!$A:$AS,MATCH($H$1,Database!$A$1:$AS$1,),))))</f>
        <v/>
      </c>
      <c r="I38" s="13">
        <f>((((VLOOKUP(B38,Database!$A:$AS,MATCH($I$1,Database!$A$1:$AS$1,),))))-(((VLOOKUP(EDATE(B38,-12),Database!$A:$AS,MATCH($I$1,Database!$A$1:$AS$1,),)))))/(((VLOOKUP(EDATE(B38,-12),Database!$A:$AS,MATCH($I$1,Database!$A$1:$AS$1,),))))</f>
        <v/>
      </c>
      <c r="J38" s="13">
        <f>((((VLOOKUP(B38,Database!$A:$AS,MATCH($J$1,Database!$A$1:$AS$1,),))))-(((VLOOKUP(EDATE(B38,-12),Database!$A:$AS,MATCH($J$1,Database!$A$1:$AS$1,),)))))/(((VLOOKUP(EDATE(B38,-12),Database!$A:$AS,MATCH($J$1,Database!$A$1:$AS$1,),))))</f>
        <v/>
      </c>
      <c r="K38" s="13">
        <f>((((VLOOKUP(B38,Database!$A:$AS,MATCH($K$1,Database!$A$1:$AS$1,),))))-(((VLOOKUP(EDATE(B38,-12),Database!$A:$AS,MATCH($K$1,Database!$A$1:$AS$1,),)))))/(((VLOOKUP(EDATE(B38,-12),Database!$A:$AS,MATCH($K$1,Database!$A$1:$AS$1,),))))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((((VLOOKUP(B38,Database!$A:$AS,MATCH($O$1,Database!$A$1:$AS$1,),))))-(((VLOOKUP(EDATE(B38,-12),Database!$A:$AS,MATCH($O$1,Database!$A$1:$AS$1,),)))))/(((VLOOKUP(EDATE(B38,-12),Database!$A:$AS,MATCH($O$1,Database!$A$1:$AS$1,),))))</f>
        <v/>
      </c>
      <c r="P38" s="13">
        <f>((((VLOOKUP(B38,Database!$A:$AS,MATCH($P$1,Database!$A$1:$AS$1,),))))-(((VLOOKUP(EDATE(B38,-12),Database!$A:$AS,MATCH($P$1,Database!$A$1:$AS$1,),)))))/(((VLOOKUP(EDATE(B38,-12),Database!$A:$AS,MATCH($P$1,Database!$A$1:$AS$1,),))))</f>
        <v/>
      </c>
      <c r="Q38" s="13">
        <f>((((VLOOKUP(B38,Database!$A:$AS,MATCH($Q$1,Database!$A$1:$AS$1,),))))-(((VLOOKUP(EDATE(B38,-12),Database!$A:$AS,MATCH($Q$1,Database!$A$1:$AS$1,),)))))/(((VLOOKUP(EDATE(B38,-12),Database!$A:$AS,MATCH($Q$1,Database!$A$1:$AS$1,),))))</f>
        <v/>
      </c>
      <c r="R38" s="13">
        <f>((((VLOOKUP(B38,Database!$A:$AS,MATCH($R$1,Database!$A$1:$AS$1,),))))-(((VLOOKUP(EDATE(B38,-12),Database!$A:$AS,MATCH($R$1,Database!$A$1:$AS$1,),)))))/(((VLOOKUP(EDATE(B38,-12),Database!$A:$AS,MATCH($R$1,Database!$A$1:$AS$1,),))))</f>
        <v/>
      </c>
      <c r="S38" s="13">
        <f>((((VLOOKUP(B38,Database!$A:$AS,MATCH($S$1,Database!$A$1:$AS$1,),))))-(((VLOOKUP(EDATE(B38,-12),Database!$A:$AS,MATCH($S$1,Database!$A$1:$AS$1,),)))))/(((VLOOKUP(EDATE(B38,-12),Database!$A:$AS,MATCH($S$1,Database!$A$1:$AS$1,),))))</f>
        <v/>
      </c>
      <c r="T38" s="13">
        <f>((((VLOOKUP(B38,Database!$A:$AS,MATCH($T$1,Database!$A$1:$AS$1,),))))-(((VLOOKUP(EDATE(B38,-12),Database!$A:$AS,MATCH($T$1,Database!$A$1:$AS$1,),)))))/(((VLOOKUP(EDATE(B38,-12),Database!$A:$AS,MATCH($T$1,Database!$A$1:$AS$1,),))))</f>
        <v/>
      </c>
      <c r="U38" s="13">
        <f>((((VLOOKUP(B38,Database!$A:$AS,MATCH($U$1,Database!$A$1:$AS$1,),))))-(((VLOOKUP(EDATE(B38,-12),Database!$A:$AS,MATCH($U$1,Database!$A$1:$AS$1,),)))))/(((VLOOKUP(EDATE(B38,-12),Database!$A:$AS,MATCH($U$1,Database!$A$1:$AS$1,),))))</f>
        <v/>
      </c>
      <c r="V38" s="13">
        <f>((((VLOOKUP(B38,Database!$A:$AS,MATCH($V$1,Database!$A$1:$AS$1,),))))-(((VLOOKUP(EDATE(B38,-12),Database!$A:$AS,MATCH($V$1,Database!$A$1:$AS$1,),)))))/(((VLOOKUP(EDATE(B38,-12),Database!$A:$AS,MATCH($V$1,Database!$A$1:$AS$1,),))))</f>
        <v/>
      </c>
    </row>
    <row r="39" customFormat="1" s="94">
      <c r="A39" s="44" t="n"/>
      <c r="B39" s="85" t="n">
        <v>33329</v>
      </c>
      <c r="C39" s="13">
        <f>((((VLOOKUP(B39,Database!$A:$AS,MATCH($C$1,Database!$A$1:$AS$1,),))))-(((VLOOKUP(EDATE(B39,-12),Database!$A:$AS,MATCH($C$1,Database!$A$1:$AS$1,),)))))/(((VLOOKUP(EDATE(B39,-12),Database!$A:$AS,MATCH($C$1,Database!$A$1:$AS$1,),))))</f>
        <v/>
      </c>
      <c r="D39" s="13">
        <f>((((VLOOKUP(B39,Database!$A:$AS,MATCH($D$1,Database!$A$1:$AS$1,),))))-(((VLOOKUP(EDATE(B39,-12),Database!$A:$AS,MATCH($D$1,Database!$A$1:$AS$1,),)))))/(((VLOOKUP(EDATE(B39,-12),Database!$A:$AS,MATCH($D$1,Database!$A$1:$AS$1,),))))</f>
        <v/>
      </c>
      <c r="E39" s="13">
        <f>((((VLOOKUP(B39,Database!$A:$AS,MATCH($E$1,Database!$A$1:$AS$1,),))))-(((VLOOKUP(EDATE(B39,-12),Database!$A:$AS,MATCH($E$1,Database!$A$1:$AS$1,),)))))/(((VLOOKUP(EDATE(B39,-12),Database!$A:$AS,MATCH($E$1,Database!$A$1:$AS$1,),))))</f>
        <v/>
      </c>
      <c r="F39" s="13">
        <f>((((VLOOKUP(B39,Database!$A:$AS,MATCH($F$1,Database!$A$1:$AS$1,),))))-(((VLOOKUP(EDATE(B39,-12),Database!$A:$AS,MATCH($F$1,Database!$A$1:$AS$1,),)))))/(((VLOOKUP(EDATE(B39,-12),Database!$A:$AS,MATCH($F$1,Database!$A$1:$AS$1,),))))</f>
        <v/>
      </c>
      <c r="G39" s="13">
        <f>((((VLOOKUP(B39,Database!$A:$AS,MATCH($G$1,Database!$A$1:$AS$1,),))))-(((VLOOKUP(EDATE(B39,-12),Database!$A:$AS,MATCH($G$1,Database!$A$1:$AS$1,),)))))/(((VLOOKUP(EDATE(B39,-12),Database!$A:$AS,MATCH($G$1,Database!$A$1:$AS$1,),))))</f>
        <v/>
      </c>
      <c r="H39" s="13">
        <f>((((VLOOKUP(B39,Database!$A:$AS,MATCH($H$1,Database!$A$1:$AS$1,),))))-(((VLOOKUP(EDATE(B39,-12),Database!$A:$AS,MATCH($H$1,Database!$A$1:$AS$1,),)))))/(((VLOOKUP(EDATE(B39,-12),Database!$A:$AS,MATCH($H$1,Database!$A$1:$AS$1,),))))</f>
        <v/>
      </c>
      <c r="I39" s="13">
        <f>((((VLOOKUP(B39,Database!$A:$AS,MATCH($I$1,Database!$A$1:$AS$1,),))))-(((VLOOKUP(EDATE(B39,-12),Database!$A:$AS,MATCH($I$1,Database!$A$1:$AS$1,),)))))/(((VLOOKUP(EDATE(B39,-12),Database!$A:$AS,MATCH($I$1,Database!$A$1:$AS$1,),))))</f>
        <v/>
      </c>
      <c r="J39" s="13">
        <f>((((VLOOKUP(B39,Database!$A:$AS,MATCH($J$1,Database!$A$1:$AS$1,),))))-(((VLOOKUP(EDATE(B39,-12),Database!$A:$AS,MATCH($J$1,Database!$A$1:$AS$1,),)))))/(((VLOOKUP(EDATE(B39,-12),Database!$A:$AS,MATCH($J$1,Database!$A$1:$AS$1,),))))</f>
        <v/>
      </c>
      <c r="K39" s="13">
        <f>((((VLOOKUP(B39,Database!$A:$AS,MATCH($K$1,Database!$A$1:$AS$1,),))))-(((VLOOKUP(EDATE(B39,-12),Database!$A:$AS,MATCH($K$1,Database!$A$1:$AS$1,),)))))/(((VLOOKUP(EDATE(B39,-12),Database!$A:$AS,MATCH($K$1,Database!$A$1:$AS$1,),))))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((((VLOOKUP(B39,Database!$A:$AS,MATCH($O$1,Database!$A$1:$AS$1,),))))-(((VLOOKUP(EDATE(B39,-12),Database!$A:$AS,MATCH($O$1,Database!$A$1:$AS$1,),)))))/(((VLOOKUP(EDATE(B39,-12),Database!$A:$AS,MATCH($O$1,Database!$A$1:$AS$1,),))))</f>
        <v/>
      </c>
      <c r="P39" s="13">
        <f>((((VLOOKUP(B39,Database!$A:$AS,MATCH($P$1,Database!$A$1:$AS$1,),))))-(((VLOOKUP(EDATE(B39,-12),Database!$A:$AS,MATCH($P$1,Database!$A$1:$AS$1,),)))))/(((VLOOKUP(EDATE(B39,-12),Database!$A:$AS,MATCH($P$1,Database!$A$1:$AS$1,),))))</f>
        <v/>
      </c>
      <c r="Q39" s="13">
        <f>((((VLOOKUP(B39,Database!$A:$AS,MATCH($Q$1,Database!$A$1:$AS$1,),))))-(((VLOOKUP(EDATE(B39,-12),Database!$A:$AS,MATCH($Q$1,Database!$A$1:$AS$1,),)))))/(((VLOOKUP(EDATE(B39,-12),Database!$A:$AS,MATCH($Q$1,Database!$A$1:$AS$1,),))))</f>
        <v/>
      </c>
      <c r="R39" s="13">
        <f>((((VLOOKUP(B39,Database!$A:$AS,MATCH($R$1,Database!$A$1:$AS$1,),))))-(((VLOOKUP(EDATE(B39,-12),Database!$A:$AS,MATCH($R$1,Database!$A$1:$AS$1,),)))))/(((VLOOKUP(EDATE(B39,-12),Database!$A:$AS,MATCH($R$1,Database!$A$1:$AS$1,),))))</f>
        <v/>
      </c>
      <c r="S39" s="13">
        <f>((((VLOOKUP(B39,Database!$A:$AS,MATCH($S$1,Database!$A$1:$AS$1,),))))-(((VLOOKUP(EDATE(B39,-12),Database!$A:$AS,MATCH($S$1,Database!$A$1:$AS$1,),)))))/(((VLOOKUP(EDATE(B39,-12),Database!$A:$AS,MATCH($S$1,Database!$A$1:$AS$1,),))))</f>
        <v/>
      </c>
      <c r="T39" s="13">
        <f>((((VLOOKUP(B39,Database!$A:$AS,MATCH($T$1,Database!$A$1:$AS$1,),))))-(((VLOOKUP(EDATE(B39,-12),Database!$A:$AS,MATCH($T$1,Database!$A$1:$AS$1,),)))))/(((VLOOKUP(EDATE(B39,-12),Database!$A:$AS,MATCH($T$1,Database!$A$1:$AS$1,),))))</f>
        <v/>
      </c>
      <c r="U39" s="13">
        <f>((((VLOOKUP(B39,Database!$A:$AS,MATCH($U$1,Database!$A$1:$AS$1,),))))-(((VLOOKUP(EDATE(B39,-12),Database!$A:$AS,MATCH($U$1,Database!$A$1:$AS$1,),)))))/(((VLOOKUP(EDATE(B39,-12),Database!$A:$AS,MATCH($U$1,Database!$A$1:$AS$1,),))))</f>
        <v/>
      </c>
      <c r="V39" s="13">
        <f>((((VLOOKUP(B39,Database!$A:$AS,MATCH($V$1,Database!$A$1:$AS$1,),))))-(((VLOOKUP(EDATE(B39,-12),Database!$A:$AS,MATCH($V$1,Database!$A$1:$AS$1,),)))))/(((VLOOKUP(EDATE(B39,-12),Database!$A:$AS,MATCH($V$1,Database!$A$1:$AS$1,),))))</f>
        <v/>
      </c>
    </row>
    <row r="40" customFormat="1" s="94">
      <c r="A40" s="44" t="n"/>
      <c r="B40" s="85" t="n">
        <v>33359</v>
      </c>
      <c r="C40" s="13">
        <f>((((VLOOKUP(B40,Database!$A:$AS,MATCH($C$1,Database!$A$1:$AS$1,),))))-(((VLOOKUP(EDATE(B40,-12),Database!$A:$AS,MATCH($C$1,Database!$A$1:$AS$1,),)))))/(((VLOOKUP(EDATE(B40,-12),Database!$A:$AS,MATCH($C$1,Database!$A$1:$AS$1,),))))</f>
        <v/>
      </c>
      <c r="D40" s="13">
        <f>((((VLOOKUP(B40,Database!$A:$AS,MATCH($D$1,Database!$A$1:$AS$1,),))))-(((VLOOKUP(EDATE(B40,-12),Database!$A:$AS,MATCH($D$1,Database!$A$1:$AS$1,),)))))/(((VLOOKUP(EDATE(B40,-12),Database!$A:$AS,MATCH($D$1,Database!$A$1:$AS$1,),))))</f>
        <v/>
      </c>
      <c r="E40" s="13">
        <f>((((VLOOKUP(B40,Database!$A:$AS,MATCH($E$1,Database!$A$1:$AS$1,),))))-(((VLOOKUP(EDATE(B40,-12),Database!$A:$AS,MATCH($E$1,Database!$A$1:$AS$1,),)))))/(((VLOOKUP(EDATE(B40,-12),Database!$A:$AS,MATCH($E$1,Database!$A$1:$AS$1,),))))</f>
        <v/>
      </c>
      <c r="F40" s="13">
        <f>((((VLOOKUP(B40,Database!$A:$AS,MATCH($F$1,Database!$A$1:$AS$1,),))))-(((VLOOKUP(EDATE(B40,-12),Database!$A:$AS,MATCH($F$1,Database!$A$1:$AS$1,),)))))/(((VLOOKUP(EDATE(B40,-12),Database!$A:$AS,MATCH($F$1,Database!$A$1:$AS$1,),))))</f>
        <v/>
      </c>
      <c r="G40" s="13">
        <f>((((VLOOKUP(B40,Database!$A:$AS,MATCH($G$1,Database!$A$1:$AS$1,),))))-(((VLOOKUP(EDATE(B40,-12),Database!$A:$AS,MATCH($G$1,Database!$A$1:$AS$1,),)))))/(((VLOOKUP(EDATE(B40,-12),Database!$A:$AS,MATCH($G$1,Database!$A$1:$AS$1,),))))</f>
        <v/>
      </c>
      <c r="H40" s="13">
        <f>((((VLOOKUP(B40,Database!$A:$AS,MATCH($H$1,Database!$A$1:$AS$1,),))))-(((VLOOKUP(EDATE(B40,-12),Database!$A:$AS,MATCH($H$1,Database!$A$1:$AS$1,),)))))/(((VLOOKUP(EDATE(B40,-12),Database!$A:$AS,MATCH($H$1,Database!$A$1:$AS$1,),))))</f>
        <v/>
      </c>
      <c r="I40" s="13">
        <f>((((VLOOKUP(B40,Database!$A:$AS,MATCH($I$1,Database!$A$1:$AS$1,),))))-(((VLOOKUP(EDATE(B40,-12),Database!$A:$AS,MATCH($I$1,Database!$A$1:$AS$1,),)))))/(((VLOOKUP(EDATE(B40,-12),Database!$A:$AS,MATCH($I$1,Database!$A$1:$AS$1,),))))</f>
        <v/>
      </c>
      <c r="J40" s="13">
        <f>((((VLOOKUP(B40,Database!$A:$AS,MATCH($J$1,Database!$A$1:$AS$1,),))))-(((VLOOKUP(EDATE(B40,-12),Database!$A:$AS,MATCH($J$1,Database!$A$1:$AS$1,),)))))/(((VLOOKUP(EDATE(B40,-12),Database!$A:$AS,MATCH($J$1,Database!$A$1:$AS$1,),))))</f>
        <v/>
      </c>
      <c r="K40" s="13">
        <f>((((VLOOKUP(B40,Database!$A:$AS,MATCH($K$1,Database!$A$1:$AS$1,),))))-(((VLOOKUP(EDATE(B40,-12),Database!$A:$AS,MATCH($K$1,Database!$A$1:$AS$1,),)))))/(((VLOOKUP(EDATE(B40,-12),Database!$A:$AS,MATCH($K$1,Database!$A$1:$AS$1,),))))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((((VLOOKUP(B40,Database!$A:$AS,MATCH($O$1,Database!$A$1:$AS$1,),))))-(((VLOOKUP(EDATE(B40,-12),Database!$A:$AS,MATCH($O$1,Database!$A$1:$AS$1,),)))))/(((VLOOKUP(EDATE(B40,-12),Database!$A:$AS,MATCH($O$1,Database!$A$1:$AS$1,),))))</f>
        <v/>
      </c>
      <c r="P40" s="13">
        <f>((((VLOOKUP(B40,Database!$A:$AS,MATCH($P$1,Database!$A$1:$AS$1,),))))-(((VLOOKUP(EDATE(B40,-12),Database!$A:$AS,MATCH($P$1,Database!$A$1:$AS$1,),)))))/(((VLOOKUP(EDATE(B40,-12),Database!$A:$AS,MATCH($P$1,Database!$A$1:$AS$1,),))))</f>
        <v/>
      </c>
      <c r="Q40" s="13">
        <f>((((VLOOKUP(B40,Database!$A:$AS,MATCH($Q$1,Database!$A$1:$AS$1,),))))-(((VLOOKUP(EDATE(B40,-12),Database!$A:$AS,MATCH($Q$1,Database!$A$1:$AS$1,),)))))/(((VLOOKUP(EDATE(B40,-12),Database!$A:$AS,MATCH($Q$1,Database!$A$1:$AS$1,),))))</f>
        <v/>
      </c>
      <c r="R40" s="13">
        <f>((((VLOOKUP(B40,Database!$A:$AS,MATCH($R$1,Database!$A$1:$AS$1,),))))-(((VLOOKUP(EDATE(B40,-12),Database!$A:$AS,MATCH($R$1,Database!$A$1:$AS$1,),)))))/(((VLOOKUP(EDATE(B40,-12),Database!$A:$AS,MATCH($R$1,Database!$A$1:$AS$1,),))))</f>
        <v/>
      </c>
      <c r="S40" s="13">
        <f>((((VLOOKUP(B40,Database!$A:$AS,MATCH($S$1,Database!$A$1:$AS$1,),))))-(((VLOOKUP(EDATE(B40,-12),Database!$A:$AS,MATCH($S$1,Database!$A$1:$AS$1,),)))))/(((VLOOKUP(EDATE(B40,-12),Database!$A:$AS,MATCH($S$1,Database!$A$1:$AS$1,),))))</f>
        <v/>
      </c>
      <c r="T40" s="13">
        <f>((((VLOOKUP(B40,Database!$A:$AS,MATCH($T$1,Database!$A$1:$AS$1,),))))-(((VLOOKUP(EDATE(B40,-12),Database!$A:$AS,MATCH($T$1,Database!$A$1:$AS$1,),)))))/(((VLOOKUP(EDATE(B40,-12),Database!$A:$AS,MATCH($T$1,Database!$A$1:$AS$1,),))))</f>
        <v/>
      </c>
      <c r="U40" s="13">
        <f>((((VLOOKUP(B40,Database!$A:$AS,MATCH($U$1,Database!$A$1:$AS$1,),))))-(((VLOOKUP(EDATE(B40,-12),Database!$A:$AS,MATCH($U$1,Database!$A$1:$AS$1,),)))))/(((VLOOKUP(EDATE(B40,-12),Database!$A:$AS,MATCH($U$1,Database!$A$1:$AS$1,),))))</f>
        <v/>
      </c>
      <c r="V40" s="13">
        <f>((((VLOOKUP(B40,Database!$A:$AS,MATCH($V$1,Database!$A$1:$AS$1,),))))-(((VLOOKUP(EDATE(B40,-12),Database!$A:$AS,MATCH($V$1,Database!$A$1:$AS$1,),)))))/(((VLOOKUP(EDATE(B40,-12),Database!$A:$AS,MATCH($V$1,Database!$A$1:$AS$1,),))))</f>
        <v/>
      </c>
    </row>
    <row r="41" customFormat="1" s="94">
      <c r="A41" s="44" t="n"/>
      <c r="B41" s="85" t="n">
        <v>33390</v>
      </c>
      <c r="C41" s="13">
        <f>((((VLOOKUP(B41,Database!$A:$AS,MATCH($C$1,Database!$A$1:$AS$1,),))))-(((VLOOKUP(EDATE(B41,-12),Database!$A:$AS,MATCH($C$1,Database!$A$1:$AS$1,),)))))/(((VLOOKUP(EDATE(B41,-12),Database!$A:$AS,MATCH($C$1,Database!$A$1:$AS$1,),))))</f>
        <v/>
      </c>
      <c r="D41" s="13">
        <f>((((VLOOKUP(B41,Database!$A:$AS,MATCH($D$1,Database!$A$1:$AS$1,),))))-(((VLOOKUP(EDATE(B41,-12),Database!$A:$AS,MATCH($D$1,Database!$A$1:$AS$1,),)))))/(((VLOOKUP(EDATE(B41,-12),Database!$A:$AS,MATCH($D$1,Database!$A$1:$AS$1,),))))</f>
        <v/>
      </c>
      <c r="E41" s="13">
        <f>((((VLOOKUP(B41,Database!$A:$AS,MATCH($E$1,Database!$A$1:$AS$1,),))))-(((VLOOKUP(EDATE(B41,-12),Database!$A:$AS,MATCH($E$1,Database!$A$1:$AS$1,),)))))/(((VLOOKUP(EDATE(B41,-12),Database!$A:$AS,MATCH($E$1,Database!$A$1:$AS$1,),))))</f>
        <v/>
      </c>
      <c r="F41" s="13">
        <f>((((VLOOKUP(B41,Database!$A:$AS,MATCH($F$1,Database!$A$1:$AS$1,),))))-(((VLOOKUP(EDATE(B41,-12),Database!$A:$AS,MATCH($F$1,Database!$A$1:$AS$1,),)))))/(((VLOOKUP(EDATE(B41,-12),Database!$A:$AS,MATCH($F$1,Database!$A$1:$AS$1,),))))</f>
        <v/>
      </c>
      <c r="G41" s="13">
        <f>((((VLOOKUP(B41,Database!$A:$AS,MATCH($G$1,Database!$A$1:$AS$1,),))))-(((VLOOKUP(EDATE(B41,-12),Database!$A:$AS,MATCH($G$1,Database!$A$1:$AS$1,),)))))/(((VLOOKUP(EDATE(B41,-12),Database!$A:$AS,MATCH($G$1,Database!$A$1:$AS$1,),))))</f>
        <v/>
      </c>
      <c r="H41" s="13">
        <f>((((VLOOKUP(B41,Database!$A:$AS,MATCH($H$1,Database!$A$1:$AS$1,),))))-(((VLOOKUP(EDATE(B41,-12),Database!$A:$AS,MATCH($H$1,Database!$A$1:$AS$1,),)))))/(((VLOOKUP(EDATE(B41,-12),Database!$A:$AS,MATCH($H$1,Database!$A$1:$AS$1,),))))</f>
        <v/>
      </c>
      <c r="I41" s="13">
        <f>((((VLOOKUP(B41,Database!$A:$AS,MATCH($I$1,Database!$A$1:$AS$1,),))))-(((VLOOKUP(EDATE(B41,-12),Database!$A:$AS,MATCH($I$1,Database!$A$1:$AS$1,),)))))/(((VLOOKUP(EDATE(B41,-12),Database!$A:$AS,MATCH($I$1,Database!$A$1:$AS$1,),))))</f>
        <v/>
      </c>
      <c r="J41" s="13">
        <f>((((VLOOKUP(B41,Database!$A:$AS,MATCH($J$1,Database!$A$1:$AS$1,),))))-(((VLOOKUP(EDATE(B41,-12),Database!$A:$AS,MATCH($J$1,Database!$A$1:$AS$1,),)))))/(((VLOOKUP(EDATE(B41,-12),Database!$A:$AS,MATCH($J$1,Database!$A$1:$AS$1,),))))</f>
        <v/>
      </c>
      <c r="K41" s="13">
        <f>((((VLOOKUP(B41,Database!$A:$AS,MATCH($K$1,Database!$A$1:$AS$1,),))))-(((VLOOKUP(EDATE(B41,-12),Database!$A:$AS,MATCH($K$1,Database!$A$1:$AS$1,),)))))/(((VLOOKUP(EDATE(B41,-12),Database!$A:$AS,MATCH($K$1,Database!$A$1:$AS$1,),))))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((((VLOOKUP(B41,Database!$A:$AS,MATCH($O$1,Database!$A$1:$AS$1,),))))-(((VLOOKUP(EDATE(B41,-12),Database!$A:$AS,MATCH($O$1,Database!$A$1:$AS$1,),)))))/(((VLOOKUP(EDATE(B41,-12),Database!$A:$AS,MATCH($O$1,Database!$A$1:$AS$1,),))))</f>
        <v/>
      </c>
      <c r="P41" s="13">
        <f>((((VLOOKUP(B41,Database!$A:$AS,MATCH($P$1,Database!$A$1:$AS$1,),))))-(((VLOOKUP(EDATE(B41,-12),Database!$A:$AS,MATCH($P$1,Database!$A$1:$AS$1,),)))))/(((VLOOKUP(EDATE(B41,-12),Database!$A:$AS,MATCH($P$1,Database!$A$1:$AS$1,),))))</f>
        <v/>
      </c>
      <c r="Q41" s="13">
        <f>((((VLOOKUP(B41,Database!$A:$AS,MATCH($Q$1,Database!$A$1:$AS$1,),))))-(((VLOOKUP(EDATE(B41,-12),Database!$A:$AS,MATCH($Q$1,Database!$A$1:$AS$1,),)))))/(((VLOOKUP(EDATE(B41,-12),Database!$A:$AS,MATCH($Q$1,Database!$A$1:$AS$1,),))))</f>
        <v/>
      </c>
      <c r="R41" s="13">
        <f>((((VLOOKUP(B41,Database!$A:$AS,MATCH($R$1,Database!$A$1:$AS$1,),))))-(((VLOOKUP(EDATE(B41,-12),Database!$A:$AS,MATCH($R$1,Database!$A$1:$AS$1,),)))))/(((VLOOKUP(EDATE(B41,-12),Database!$A:$AS,MATCH($R$1,Database!$A$1:$AS$1,),))))</f>
        <v/>
      </c>
      <c r="S41" s="13">
        <f>((((VLOOKUP(B41,Database!$A:$AS,MATCH($S$1,Database!$A$1:$AS$1,),))))-(((VLOOKUP(EDATE(B41,-12),Database!$A:$AS,MATCH($S$1,Database!$A$1:$AS$1,),)))))/(((VLOOKUP(EDATE(B41,-12),Database!$A:$AS,MATCH($S$1,Database!$A$1:$AS$1,),))))</f>
        <v/>
      </c>
      <c r="T41" s="13">
        <f>((((VLOOKUP(B41,Database!$A:$AS,MATCH($T$1,Database!$A$1:$AS$1,),))))-(((VLOOKUP(EDATE(B41,-12),Database!$A:$AS,MATCH($T$1,Database!$A$1:$AS$1,),)))))/(((VLOOKUP(EDATE(B41,-12),Database!$A:$AS,MATCH($T$1,Database!$A$1:$AS$1,),))))</f>
        <v/>
      </c>
      <c r="U41" s="13">
        <f>((((VLOOKUP(B41,Database!$A:$AS,MATCH($U$1,Database!$A$1:$AS$1,),))))-(((VLOOKUP(EDATE(B41,-12),Database!$A:$AS,MATCH($U$1,Database!$A$1:$AS$1,),)))))/(((VLOOKUP(EDATE(B41,-12),Database!$A:$AS,MATCH($U$1,Database!$A$1:$AS$1,),))))</f>
        <v/>
      </c>
      <c r="V41" s="13">
        <f>((((VLOOKUP(B41,Database!$A:$AS,MATCH($V$1,Database!$A$1:$AS$1,),))))-(((VLOOKUP(EDATE(B41,-12),Database!$A:$AS,MATCH($V$1,Database!$A$1:$AS$1,),)))))/(((VLOOKUP(EDATE(B41,-12),Database!$A:$AS,MATCH($V$1,Database!$A$1:$AS$1,),))))</f>
        <v/>
      </c>
    </row>
    <row r="42" customFormat="1" s="94">
      <c r="A42" s="44" t="n"/>
      <c r="B42" s="85" t="n">
        <v>33420</v>
      </c>
      <c r="C42" s="13">
        <f>((((VLOOKUP(B42,Database!$A:$AS,MATCH($C$1,Database!$A$1:$AS$1,),))))-(((VLOOKUP(EDATE(B42,-12),Database!$A:$AS,MATCH($C$1,Database!$A$1:$AS$1,),)))))/(((VLOOKUP(EDATE(B42,-12),Database!$A:$AS,MATCH($C$1,Database!$A$1:$AS$1,),))))</f>
        <v/>
      </c>
      <c r="D42" s="13">
        <f>((((VLOOKUP(B42,Database!$A:$AS,MATCH($D$1,Database!$A$1:$AS$1,),))))-(((VLOOKUP(EDATE(B42,-12),Database!$A:$AS,MATCH($D$1,Database!$A$1:$AS$1,),)))))/(((VLOOKUP(EDATE(B42,-12),Database!$A:$AS,MATCH($D$1,Database!$A$1:$AS$1,),))))</f>
        <v/>
      </c>
      <c r="E42" s="13">
        <f>((((VLOOKUP(B42,Database!$A:$AS,MATCH($E$1,Database!$A$1:$AS$1,),))))-(((VLOOKUP(EDATE(B42,-12),Database!$A:$AS,MATCH($E$1,Database!$A$1:$AS$1,),)))))/(((VLOOKUP(EDATE(B42,-12),Database!$A:$AS,MATCH($E$1,Database!$A$1:$AS$1,),))))</f>
        <v/>
      </c>
      <c r="F42" s="13">
        <f>((((VLOOKUP(B42,Database!$A:$AS,MATCH($F$1,Database!$A$1:$AS$1,),))))-(((VLOOKUP(EDATE(B42,-12),Database!$A:$AS,MATCH($F$1,Database!$A$1:$AS$1,),)))))/(((VLOOKUP(EDATE(B42,-12),Database!$A:$AS,MATCH($F$1,Database!$A$1:$AS$1,),))))</f>
        <v/>
      </c>
      <c r="G42" s="13">
        <f>((((VLOOKUP(B42,Database!$A:$AS,MATCH($G$1,Database!$A$1:$AS$1,),))))-(((VLOOKUP(EDATE(B42,-12),Database!$A:$AS,MATCH($G$1,Database!$A$1:$AS$1,),)))))/(((VLOOKUP(EDATE(B42,-12),Database!$A:$AS,MATCH($G$1,Database!$A$1:$AS$1,),))))</f>
        <v/>
      </c>
      <c r="H42" s="13">
        <f>((((VLOOKUP(B42,Database!$A:$AS,MATCH($H$1,Database!$A$1:$AS$1,),))))-(((VLOOKUP(EDATE(B42,-12),Database!$A:$AS,MATCH($H$1,Database!$A$1:$AS$1,),)))))/(((VLOOKUP(EDATE(B42,-12),Database!$A:$AS,MATCH($H$1,Database!$A$1:$AS$1,),))))</f>
        <v/>
      </c>
      <c r="I42" s="13">
        <f>((((VLOOKUP(B42,Database!$A:$AS,MATCH($I$1,Database!$A$1:$AS$1,),))))-(((VLOOKUP(EDATE(B42,-12),Database!$A:$AS,MATCH($I$1,Database!$A$1:$AS$1,),)))))/(((VLOOKUP(EDATE(B42,-12),Database!$A:$AS,MATCH($I$1,Database!$A$1:$AS$1,),))))</f>
        <v/>
      </c>
      <c r="J42" s="13">
        <f>((((VLOOKUP(B42,Database!$A:$AS,MATCH($J$1,Database!$A$1:$AS$1,),))))-(((VLOOKUP(EDATE(B42,-12),Database!$A:$AS,MATCH($J$1,Database!$A$1:$AS$1,),)))))/(((VLOOKUP(EDATE(B42,-12),Database!$A:$AS,MATCH($J$1,Database!$A$1:$AS$1,),))))</f>
        <v/>
      </c>
      <c r="K42" s="13">
        <f>((((VLOOKUP(B42,Database!$A:$AS,MATCH($K$1,Database!$A$1:$AS$1,),))))-(((VLOOKUP(EDATE(B42,-12),Database!$A:$AS,MATCH($K$1,Database!$A$1:$AS$1,),)))))/(((VLOOKUP(EDATE(B42,-12),Database!$A:$AS,MATCH($K$1,Database!$A$1:$AS$1,),))))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((((VLOOKUP(B42,Database!$A:$AS,MATCH($O$1,Database!$A$1:$AS$1,),))))-(((VLOOKUP(EDATE(B42,-12),Database!$A:$AS,MATCH($O$1,Database!$A$1:$AS$1,),)))))/(((VLOOKUP(EDATE(B42,-12),Database!$A:$AS,MATCH($O$1,Database!$A$1:$AS$1,),))))</f>
        <v/>
      </c>
      <c r="P42" s="13">
        <f>((((VLOOKUP(B42,Database!$A:$AS,MATCH($P$1,Database!$A$1:$AS$1,),))))-(((VLOOKUP(EDATE(B42,-12),Database!$A:$AS,MATCH($P$1,Database!$A$1:$AS$1,),)))))/(((VLOOKUP(EDATE(B42,-12),Database!$A:$AS,MATCH($P$1,Database!$A$1:$AS$1,),))))</f>
        <v/>
      </c>
      <c r="Q42" s="13">
        <f>((((VLOOKUP(B42,Database!$A:$AS,MATCH($Q$1,Database!$A$1:$AS$1,),))))-(((VLOOKUP(EDATE(B42,-12),Database!$A:$AS,MATCH($Q$1,Database!$A$1:$AS$1,),)))))/(((VLOOKUP(EDATE(B42,-12),Database!$A:$AS,MATCH($Q$1,Database!$A$1:$AS$1,),))))</f>
        <v/>
      </c>
      <c r="R42" s="13">
        <f>((((VLOOKUP(B42,Database!$A:$AS,MATCH($R$1,Database!$A$1:$AS$1,),))))-(((VLOOKUP(EDATE(B42,-12),Database!$A:$AS,MATCH($R$1,Database!$A$1:$AS$1,),)))))/(((VLOOKUP(EDATE(B42,-12),Database!$A:$AS,MATCH($R$1,Database!$A$1:$AS$1,),))))</f>
        <v/>
      </c>
      <c r="S42" s="13">
        <f>((((VLOOKUP(B42,Database!$A:$AS,MATCH($S$1,Database!$A$1:$AS$1,),))))-(((VLOOKUP(EDATE(B42,-12),Database!$A:$AS,MATCH($S$1,Database!$A$1:$AS$1,),)))))/(((VLOOKUP(EDATE(B42,-12),Database!$A:$AS,MATCH($S$1,Database!$A$1:$AS$1,),))))</f>
        <v/>
      </c>
      <c r="T42" s="13">
        <f>((((VLOOKUP(B42,Database!$A:$AS,MATCH($T$1,Database!$A$1:$AS$1,),))))-(((VLOOKUP(EDATE(B42,-12),Database!$A:$AS,MATCH($T$1,Database!$A$1:$AS$1,),)))))/(((VLOOKUP(EDATE(B42,-12),Database!$A:$AS,MATCH($T$1,Database!$A$1:$AS$1,),))))</f>
        <v/>
      </c>
      <c r="U42" s="13">
        <f>((((VLOOKUP(B42,Database!$A:$AS,MATCH($U$1,Database!$A$1:$AS$1,),))))-(((VLOOKUP(EDATE(B42,-12),Database!$A:$AS,MATCH($U$1,Database!$A$1:$AS$1,),)))))/(((VLOOKUP(EDATE(B42,-12),Database!$A:$AS,MATCH($U$1,Database!$A$1:$AS$1,),))))</f>
        <v/>
      </c>
      <c r="V42" s="13">
        <f>((((VLOOKUP(B42,Database!$A:$AS,MATCH($V$1,Database!$A$1:$AS$1,),))))-(((VLOOKUP(EDATE(B42,-12),Database!$A:$AS,MATCH($V$1,Database!$A$1:$AS$1,),)))))/(((VLOOKUP(EDATE(B42,-12),Database!$A:$AS,MATCH($V$1,Database!$A$1:$AS$1,),))))</f>
        <v/>
      </c>
    </row>
    <row r="43" customFormat="1" s="94">
      <c r="A43" s="44" t="n"/>
      <c r="B43" s="85" t="n">
        <v>33451</v>
      </c>
      <c r="C43" s="13">
        <f>((((VLOOKUP(B43,Database!$A:$AS,MATCH($C$1,Database!$A$1:$AS$1,),))))-(((VLOOKUP(EDATE(B43,-12),Database!$A:$AS,MATCH($C$1,Database!$A$1:$AS$1,),)))))/(((VLOOKUP(EDATE(B43,-12),Database!$A:$AS,MATCH($C$1,Database!$A$1:$AS$1,),))))</f>
        <v/>
      </c>
      <c r="D43" s="13">
        <f>((((VLOOKUP(B43,Database!$A:$AS,MATCH($D$1,Database!$A$1:$AS$1,),))))-(((VLOOKUP(EDATE(B43,-12),Database!$A:$AS,MATCH($D$1,Database!$A$1:$AS$1,),)))))/(((VLOOKUP(EDATE(B43,-12),Database!$A:$AS,MATCH($D$1,Database!$A$1:$AS$1,),))))</f>
        <v/>
      </c>
      <c r="E43" s="13">
        <f>((((VLOOKUP(B43,Database!$A:$AS,MATCH($E$1,Database!$A$1:$AS$1,),))))-(((VLOOKUP(EDATE(B43,-12),Database!$A:$AS,MATCH($E$1,Database!$A$1:$AS$1,),)))))/(((VLOOKUP(EDATE(B43,-12),Database!$A:$AS,MATCH($E$1,Database!$A$1:$AS$1,),))))</f>
        <v/>
      </c>
      <c r="F43" s="13">
        <f>((((VLOOKUP(B43,Database!$A:$AS,MATCH($F$1,Database!$A$1:$AS$1,),))))-(((VLOOKUP(EDATE(B43,-12),Database!$A:$AS,MATCH($F$1,Database!$A$1:$AS$1,),)))))/(((VLOOKUP(EDATE(B43,-12),Database!$A:$AS,MATCH($F$1,Database!$A$1:$AS$1,),))))</f>
        <v/>
      </c>
      <c r="G43" s="13">
        <f>((((VLOOKUP(B43,Database!$A:$AS,MATCH($G$1,Database!$A$1:$AS$1,),))))-(((VLOOKUP(EDATE(B43,-12),Database!$A:$AS,MATCH($G$1,Database!$A$1:$AS$1,),)))))/(((VLOOKUP(EDATE(B43,-12),Database!$A:$AS,MATCH($G$1,Database!$A$1:$AS$1,),))))</f>
        <v/>
      </c>
      <c r="H43" s="13">
        <f>((((VLOOKUP(B43,Database!$A:$AS,MATCH($H$1,Database!$A$1:$AS$1,),))))-(((VLOOKUP(EDATE(B43,-12),Database!$A:$AS,MATCH($H$1,Database!$A$1:$AS$1,),)))))/(((VLOOKUP(EDATE(B43,-12),Database!$A:$AS,MATCH($H$1,Database!$A$1:$AS$1,),))))</f>
        <v/>
      </c>
      <c r="I43" s="13">
        <f>((((VLOOKUP(B43,Database!$A:$AS,MATCH($I$1,Database!$A$1:$AS$1,),))))-(((VLOOKUP(EDATE(B43,-12),Database!$A:$AS,MATCH($I$1,Database!$A$1:$AS$1,),)))))/(((VLOOKUP(EDATE(B43,-12),Database!$A:$AS,MATCH($I$1,Database!$A$1:$AS$1,),))))</f>
        <v/>
      </c>
      <c r="J43" s="13">
        <f>((((VLOOKUP(B43,Database!$A:$AS,MATCH($J$1,Database!$A$1:$AS$1,),))))-(((VLOOKUP(EDATE(B43,-12),Database!$A:$AS,MATCH($J$1,Database!$A$1:$AS$1,),)))))/(((VLOOKUP(EDATE(B43,-12),Database!$A:$AS,MATCH($J$1,Database!$A$1:$AS$1,),))))</f>
        <v/>
      </c>
      <c r="K43" s="13">
        <f>((((VLOOKUP(B43,Database!$A:$AS,MATCH($K$1,Database!$A$1:$AS$1,),))))-(((VLOOKUP(EDATE(B43,-12),Database!$A:$AS,MATCH($K$1,Database!$A$1:$AS$1,),)))))/(((VLOOKUP(EDATE(B43,-12),Database!$A:$AS,MATCH($K$1,Database!$A$1:$AS$1,),))))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((((VLOOKUP(B43,Database!$A:$AS,MATCH($O$1,Database!$A$1:$AS$1,),))))-(((VLOOKUP(EDATE(B43,-12),Database!$A:$AS,MATCH($O$1,Database!$A$1:$AS$1,),)))))/(((VLOOKUP(EDATE(B43,-12),Database!$A:$AS,MATCH($O$1,Database!$A$1:$AS$1,),))))</f>
        <v/>
      </c>
      <c r="P43" s="13">
        <f>((((VLOOKUP(B43,Database!$A:$AS,MATCH($P$1,Database!$A$1:$AS$1,),))))-(((VLOOKUP(EDATE(B43,-12),Database!$A:$AS,MATCH($P$1,Database!$A$1:$AS$1,),)))))/(((VLOOKUP(EDATE(B43,-12),Database!$A:$AS,MATCH($P$1,Database!$A$1:$AS$1,),))))</f>
        <v/>
      </c>
      <c r="Q43" s="13">
        <f>((((VLOOKUP(B43,Database!$A:$AS,MATCH($Q$1,Database!$A$1:$AS$1,),))))-(((VLOOKUP(EDATE(B43,-12),Database!$A:$AS,MATCH($Q$1,Database!$A$1:$AS$1,),)))))/(((VLOOKUP(EDATE(B43,-12),Database!$A:$AS,MATCH($Q$1,Database!$A$1:$AS$1,),))))</f>
        <v/>
      </c>
      <c r="R43" s="13">
        <f>((((VLOOKUP(B43,Database!$A:$AS,MATCH($R$1,Database!$A$1:$AS$1,),))))-(((VLOOKUP(EDATE(B43,-12),Database!$A:$AS,MATCH($R$1,Database!$A$1:$AS$1,),)))))/(((VLOOKUP(EDATE(B43,-12),Database!$A:$AS,MATCH($R$1,Database!$A$1:$AS$1,),))))</f>
        <v/>
      </c>
      <c r="S43" s="13">
        <f>((((VLOOKUP(B43,Database!$A:$AS,MATCH($S$1,Database!$A$1:$AS$1,),))))-(((VLOOKUP(EDATE(B43,-12),Database!$A:$AS,MATCH($S$1,Database!$A$1:$AS$1,),)))))/(((VLOOKUP(EDATE(B43,-12),Database!$A:$AS,MATCH($S$1,Database!$A$1:$AS$1,),))))</f>
        <v/>
      </c>
      <c r="T43" s="13">
        <f>((((VLOOKUP(B43,Database!$A:$AS,MATCH($T$1,Database!$A$1:$AS$1,),))))-(((VLOOKUP(EDATE(B43,-12),Database!$A:$AS,MATCH($T$1,Database!$A$1:$AS$1,),)))))/(((VLOOKUP(EDATE(B43,-12),Database!$A:$AS,MATCH($T$1,Database!$A$1:$AS$1,),))))</f>
        <v/>
      </c>
      <c r="U43" s="13">
        <f>((((VLOOKUP(B43,Database!$A:$AS,MATCH($U$1,Database!$A$1:$AS$1,),))))-(((VLOOKUP(EDATE(B43,-12),Database!$A:$AS,MATCH($U$1,Database!$A$1:$AS$1,),)))))/(((VLOOKUP(EDATE(B43,-12),Database!$A:$AS,MATCH($U$1,Database!$A$1:$AS$1,),))))</f>
        <v/>
      </c>
      <c r="V43" s="13">
        <f>((((VLOOKUP(B43,Database!$A:$AS,MATCH($V$1,Database!$A$1:$AS$1,),))))-(((VLOOKUP(EDATE(B43,-12),Database!$A:$AS,MATCH($V$1,Database!$A$1:$AS$1,),)))))/(((VLOOKUP(EDATE(B43,-12),Database!$A:$AS,MATCH($V$1,Database!$A$1:$AS$1,),))))</f>
        <v/>
      </c>
    </row>
    <row r="44" customFormat="1" s="94">
      <c r="A44" s="44" t="n"/>
      <c r="B44" s="85" t="n">
        <v>33482</v>
      </c>
      <c r="C44" s="13">
        <f>((((VLOOKUP(B44,Database!$A:$AS,MATCH($C$1,Database!$A$1:$AS$1,),))))-(((VLOOKUP(EDATE(B44,-12),Database!$A:$AS,MATCH($C$1,Database!$A$1:$AS$1,),)))))/(((VLOOKUP(EDATE(B44,-12),Database!$A:$AS,MATCH($C$1,Database!$A$1:$AS$1,),))))</f>
        <v/>
      </c>
      <c r="D44" s="13">
        <f>((((VLOOKUP(B44,Database!$A:$AS,MATCH($D$1,Database!$A$1:$AS$1,),))))-(((VLOOKUP(EDATE(B44,-12),Database!$A:$AS,MATCH($D$1,Database!$A$1:$AS$1,),)))))/(((VLOOKUP(EDATE(B44,-12),Database!$A:$AS,MATCH($D$1,Database!$A$1:$AS$1,),))))</f>
        <v/>
      </c>
      <c r="E44" s="13">
        <f>((((VLOOKUP(B44,Database!$A:$AS,MATCH($E$1,Database!$A$1:$AS$1,),))))-(((VLOOKUP(EDATE(B44,-12),Database!$A:$AS,MATCH($E$1,Database!$A$1:$AS$1,),)))))/(((VLOOKUP(EDATE(B44,-12),Database!$A:$AS,MATCH($E$1,Database!$A$1:$AS$1,),))))</f>
        <v/>
      </c>
      <c r="F44" s="13">
        <f>((((VLOOKUP(B44,Database!$A:$AS,MATCH($F$1,Database!$A$1:$AS$1,),))))-(((VLOOKUP(EDATE(B44,-12),Database!$A:$AS,MATCH($F$1,Database!$A$1:$AS$1,),)))))/(((VLOOKUP(EDATE(B44,-12),Database!$A:$AS,MATCH($F$1,Database!$A$1:$AS$1,),))))</f>
        <v/>
      </c>
      <c r="G44" s="13">
        <f>((((VLOOKUP(B44,Database!$A:$AS,MATCH($G$1,Database!$A$1:$AS$1,),))))-(((VLOOKUP(EDATE(B44,-12),Database!$A:$AS,MATCH($G$1,Database!$A$1:$AS$1,),)))))/(((VLOOKUP(EDATE(B44,-12),Database!$A:$AS,MATCH($G$1,Database!$A$1:$AS$1,),))))</f>
        <v/>
      </c>
      <c r="H44" s="13">
        <f>((((VLOOKUP(B44,Database!$A:$AS,MATCH($H$1,Database!$A$1:$AS$1,),))))-(((VLOOKUP(EDATE(B44,-12),Database!$A:$AS,MATCH($H$1,Database!$A$1:$AS$1,),)))))/(((VLOOKUP(EDATE(B44,-12),Database!$A:$AS,MATCH($H$1,Database!$A$1:$AS$1,),))))</f>
        <v/>
      </c>
      <c r="I44" s="13">
        <f>((((VLOOKUP(B44,Database!$A:$AS,MATCH($I$1,Database!$A$1:$AS$1,),))))-(((VLOOKUP(EDATE(B44,-12),Database!$A:$AS,MATCH($I$1,Database!$A$1:$AS$1,),)))))/(((VLOOKUP(EDATE(B44,-12),Database!$A:$AS,MATCH($I$1,Database!$A$1:$AS$1,),))))</f>
        <v/>
      </c>
      <c r="J44" s="13">
        <f>((((VLOOKUP(B44,Database!$A:$AS,MATCH($J$1,Database!$A$1:$AS$1,),))))-(((VLOOKUP(EDATE(B44,-12),Database!$A:$AS,MATCH($J$1,Database!$A$1:$AS$1,),)))))/(((VLOOKUP(EDATE(B44,-12),Database!$A:$AS,MATCH($J$1,Database!$A$1:$AS$1,),))))</f>
        <v/>
      </c>
      <c r="K44" s="13">
        <f>((((VLOOKUP(B44,Database!$A:$AS,MATCH($K$1,Database!$A$1:$AS$1,),))))-(((VLOOKUP(EDATE(B44,-12),Database!$A:$AS,MATCH($K$1,Database!$A$1:$AS$1,),)))))/(((VLOOKUP(EDATE(B44,-12),Database!$A:$AS,MATCH($K$1,Database!$A$1:$AS$1,),))))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((((VLOOKUP(B44,Database!$A:$AS,MATCH($O$1,Database!$A$1:$AS$1,),))))-(((VLOOKUP(EDATE(B44,-12),Database!$A:$AS,MATCH($O$1,Database!$A$1:$AS$1,),)))))/(((VLOOKUP(EDATE(B44,-12),Database!$A:$AS,MATCH($O$1,Database!$A$1:$AS$1,),))))</f>
        <v/>
      </c>
      <c r="P44" s="13">
        <f>((((VLOOKUP(B44,Database!$A:$AS,MATCH($P$1,Database!$A$1:$AS$1,),))))-(((VLOOKUP(EDATE(B44,-12),Database!$A:$AS,MATCH($P$1,Database!$A$1:$AS$1,),)))))/(((VLOOKUP(EDATE(B44,-12),Database!$A:$AS,MATCH($P$1,Database!$A$1:$AS$1,),))))</f>
        <v/>
      </c>
      <c r="Q44" s="13">
        <f>((((VLOOKUP(B44,Database!$A:$AS,MATCH($Q$1,Database!$A$1:$AS$1,),))))-(((VLOOKUP(EDATE(B44,-12),Database!$A:$AS,MATCH($Q$1,Database!$A$1:$AS$1,),)))))/(((VLOOKUP(EDATE(B44,-12),Database!$A:$AS,MATCH($Q$1,Database!$A$1:$AS$1,),))))</f>
        <v/>
      </c>
      <c r="R44" s="13">
        <f>((((VLOOKUP(B44,Database!$A:$AS,MATCH($R$1,Database!$A$1:$AS$1,),))))-(((VLOOKUP(EDATE(B44,-12),Database!$A:$AS,MATCH($R$1,Database!$A$1:$AS$1,),)))))/(((VLOOKUP(EDATE(B44,-12),Database!$A:$AS,MATCH($R$1,Database!$A$1:$AS$1,),))))</f>
        <v/>
      </c>
      <c r="S44" s="13">
        <f>((((VLOOKUP(B44,Database!$A:$AS,MATCH($S$1,Database!$A$1:$AS$1,),))))-(((VLOOKUP(EDATE(B44,-12),Database!$A:$AS,MATCH($S$1,Database!$A$1:$AS$1,),)))))/(((VLOOKUP(EDATE(B44,-12),Database!$A:$AS,MATCH($S$1,Database!$A$1:$AS$1,),))))</f>
        <v/>
      </c>
      <c r="T44" s="13">
        <f>((((VLOOKUP(B44,Database!$A:$AS,MATCH($T$1,Database!$A$1:$AS$1,),))))-(((VLOOKUP(EDATE(B44,-12),Database!$A:$AS,MATCH($T$1,Database!$A$1:$AS$1,),)))))/(((VLOOKUP(EDATE(B44,-12),Database!$A:$AS,MATCH($T$1,Database!$A$1:$AS$1,),))))</f>
        <v/>
      </c>
      <c r="U44" s="13">
        <f>((((VLOOKUP(B44,Database!$A:$AS,MATCH($U$1,Database!$A$1:$AS$1,),))))-(((VLOOKUP(EDATE(B44,-12),Database!$A:$AS,MATCH($U$1,Database!$A$1:$AS$1,),)))))/(((VLOOKUP(EDATE(B44,-12),Database!$A:$AS,MATCH($U$1,Database!$A$1:$AS$1,),))))</f>
        <v/>
      </c>
      <c r="V44" s="13">
        <f>((((VLOOKUP(B44,Database!$A:$AS,MATCH($V$1,Database!$A$1:$AS$1,),))))-(((VLOOKUP(EDATE(B44,-12),Database!$A:$AS,MATCH($V$1,Database!$A$1:$AS$1,),)))))/(((VLOOKUP(EDATE(B44,-12),Database!$A:$AS,MATCH($V$1,Database!$A$1:$AS$1,),))))</f>
        <v/>
      </c>
    </row>
    <row r="45" customFormat="1" s="94">
      <c r="A45" s="44" t="n"/>
      <c r="B45" s="85" t="n">
        <v>33512</v>
      </c>
      <c r="C45" s="13">
        <f>((((VLOOKUP(B45,Database!$A:$AS,MATCH($C$1,Database!$A$1:$AS$1,),))))-(((VLOOKUP(EDATE(B45,-12),Database!$A:$AS,MATCH($C$1,Database!$A$1:$AS$1,),)))))/(((VLOOKUP(EDATE(B45,-12),Database!$A:$AS,MATCH($C$1,Database!$A$1:$AS$1,),))))</f>
        <v/>
      </c>
      <c r="D45" s="13">
        <f>((((VLOOKUP(B45,Database!$A:$AS,MATCH($D$1,Database!$A$1:$AS$1,),))))-(((VLOOKUP(EDATE(B45,-12),Database!$A:$AS,MATCH($D$1,Database!$A$1:$AS$1,),)))))/(((VLOOKUP(EDATE(B45,-12),Database!$A:$AS,MATCH($D$1,Database!$A$1:$AS$1,),))))</f>
        <v/>
      </c>
      <c r="E45" s="13">
        <f>((((VLOOKUP(B45,Database!$A:$AS,MATCH($E$1,Database!$A$1:$AS$1,),))))-(((VLOOKUP(EDATE(B45,-12),Database!$A:$AS,MATCH($E$1,Database!$A$1:$AS$1,),)))))/(((VLOOKUP(EDATE(B45,-12),Database!$A:$AS,MATCH($E$1,Database!$A$1:$AS$1,),))))</f>
        <v/>
      </c>
      <c r="F45" s="13">
        <f>((((VLOOKUP(B45,Database!$A:$AS,MATCH($F$1,Database!$A$1:$AS$1,),))))-(((VLOOKUP(EDATE(B45,-12),Database!$A:$AS,MATCH($F$1,Database!$A$1:$AS$1,),)))))/(((VLOOKUP(EDATE(B45,-12),Database!$A:$AS,MATCH($F$1,Database!$A$1:$AS$1,),))))</f>
        <v/>
      </c>
      <c r="G45" s="13">
        <f>((((VLOOKUP(B45,Database!$A:$AS,MATCH($G$1,Database!$A$1:$AS$1,),))))-(((VLOOKUP(EDATE(B45,-12),Database!$A:$AS,MATCH($G$1,Database!$A$1:$AS$1,),)))))/(((VLOOKUP(EDATE(B45,-12),Database!$A:$AS,MATCH($G$1,Database!$A$1:$AS$1,),))))</f>
        <v/>
      </c>
      <c r="H45" s="13">
        <f>((((VLOOKUP(B45,Database!$A:$AS,MATCH($H$1,Database!$A$1:$AS$1,),))))-(((VLOOKUP(EDATE(B45,-12),Database!$A:$AS,MATCH($H$1,Database!$A$1:$AS$1,),)))))/(((VLOOKUP(EDATE(B45,-12),Database!$A:$AS,MATCH($H$1,Database!$A$1:$AS$1,),))))</f>
        <v/>
      </c>
      <c r="I45" s="13">
        <f>((((VLOOKUP(B45,Database!$A:$AS,MATCH($I$1,Database!$A$1:$AS$1,),))))-(((VLOOKUP(EDATE(B45,-12),Database!$A:$AS,MATCH($I$1,Database!$A$1:$AS$1,),)))))/(((VLOOKUP(EDATE(B45,-12),Database!$A:$AS,MATCH($I$1,Database!$A$1:$AS$1,),))))</f>
        <v/>
      </c>
      <c r="J45" s="13">
        <f>((((VLOOKUP(B45,Database!$A:$AS,MATCH($J$1,Database!$A$1:$AS$1,),))))-(((VLOOKUP(EDATE(B45,-12),Database!$A:$AS,MATCH($J$1,Database!$A$1:$AS$1,),)))))/(((VLOOKUP(EDATE(B45,-12),Database!$A:$AS,MATCH($J$1,Database!$A$1:$AS$1,),))))</f>
        <v/>
      </c>
      <c r="K45" s="13">
        <f>((((VLOOKUP(B45,Database!$A:$AS,MATCH($K$1,Database!$A$1:$AS$1,),))))-(((VLOOKUP(EDATE(B45,-12),Database!$A:$AS,MATCH($K$1,Database!$A$1:$AS$1,),)))))/(((VLOOKUP(EDATE(B45,-12),Database!$A:$AS,MATCH($K$1,Database!$A$1:$AS$1,),))))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((((VLOOKUP(B45,Database!$A:$AS,MATCH($O$1,Database!$A$1:$AS$1,),))))-(((VLOOKUP(EDATE(B45,-12),Database!$A:$AS,MATCH($O$1,Database!$A$1:$AS$1,),)))))/(((VLOOKUP(EDATE(B45,-12),Database!$A:$AS,MATCH($O$1,Database!$A$1:$AS$1,),))))</f>
        <v/>
      </c>
      <c r="P45" s="13">
        <f>((((VLOOKUP(B45,Database!$A:$AS,MATCH($P$1,Database!$A$1:$AS$1,),))))-(((VLOOKUP(EDATE(B45,-12),Database!$A:$AS,MATCH($P$1,Database!$A$1:$AS$1,),)))))/(((VLOOKUP(EDATE(B45,-12),Database!$A:$AS,MATCH($P$1,Database!$A$1:$AS$1,),))))</f>
        <v/>
      </c>
      <c r="Q45" s="13">
        <f>((((VLOOKUP(B45,Database!$A:$AS,MATCH($Q$1,Database!$A$1:$AS$1,),))))-(((VLOOKUP(EDATE(B45,-12),Database!$A:$AS,MATCH($Q$1,Database!$A$1:$AS$1,),)))))/(((VLOOKUP(EDATE(B45,-12),Database!$A:$AS,MATCH($Q$1,Database!$A$1:$AS$1,),))))</f>
        <v/>
      </c>
      <c r="R45" s="13">
        <f>((((VLOOKUP(B45,Database!$A:$AS,MATCH($R$1,Database!$A$1:$AS$1,),))))-(((VLOOKUP(EDATE(B45,-12),Database!$A:$AS,MATCH($R$1,Database!$A$1:$AS$1,),)))))/(((VLOOKUP(EDATE(B45,-12),Database!$A:$AS,MATCH($R$1,Database!$A$1:$AS$1,),))))</f>
        <v/>
      </c>
      <c r="S45" s="13">
        <f>((((VLOOKUP(B45,Database!$A:$AS,MATCH($S$1,Database!$A$1:$AS$1,),))))-(((VLOOKUP(EDATE(B45,-12),Database!$A:$AS,MATCH($S$1,Database!$A$1:$AS$1,),)))))/(((VLOOKUP(EDATE(B45,-12),Database!$A:$AS,MATCH($S$1,Database!$A$1:$AS$1,),))))</f>
        <v/>
      </c>
      <c r="T45" s="13">
        <f>((((VLOOKUP(B45,Database!$A:$AS,MATCH($T$1,Database!$A$1:$AS$1,),))))-(((VLOOKUP(EDATE(B45,-12),Database!$A:$AS,MATCH($T$1,Database!$A$1:$AS$1,),)))))/(((VLOOKUP(EDATE(B45,-12),Database!$A:$AS,MATCH($T$1,Database!$A$1:$AS$1,),))))</f>
        <v/>
      </c>
      <c r="U45" s="13">
        <f>((((VLOOKUP(B45,Database!$A:$AS,MATCH($U$1,Database!$A$1:$AS$1,),))))-(((VLOOKUP(EDATE(B45,-12),Database!$A:$AS,MATCH($U$1,Database!$A$1:$AS$1,),)))))/(((VLOOKUP(EDATE(B45,-12),Database!$A:$AS,MATCH($U$1,Database!$A$1:$AS$1,),))))</f>
        <v/>
      </c>
      <c r="V45" s="13">
        <f>((((VLOOKUP(B45,Database!$A:$AS,MATCH($V$1,Database!$A$1:$AS$1,),))))-(((VLOOKUP(EDATE(B45,-12),Database!$A:$AS,MATCH($V$1,Database!$A$1:$AS$1,),)))))/(((VLOOKUP(EDATE(B45,-12),Database!$A:$AS,MATCH($V$1,Database!$A$1:$AS$1,),))))</f>
        <v/>
      </c>
    </row>
    <row r="46" customFormat="1" s="94">
      <c r="A46" s="44" t="n"/>
      <c r="B46" s="85" t="n">
        <v>33543</v>
      </c>
      <c r="C46" s="13">
        <f>((((VLOOKUP(B46,Database!$A:$AS,MATCH($C$1,Database!$A$1:$AS$1,),))))-(((VLOOKUP(EDATE(B46,-12),Database!$A:$AS,MATCH($C$1,Database!$A$1:$AS$1,),)))))/(((VLOOKUP(EDATE(B46,-12),Database!$A:$AS,MATCH($C$1,Database!$A$1:$AS$1,),))))</f>
        <v/>
      </c>
      <c r="D46" s="13">
        <f>((((VLOOKUP(B46,Database!$A:$AS,MATCH($D$1,Database!$A$1:$AS$1,),))))-(((VLOOKUP(EDATE(B46,-12),Database!$A:$AS,MATCH($D$1,Database!$A$1:$AS$1,),)))))/(((VLOOKUP(EDATE(B46,-12),Database!$A:$AS,MATCH($D$1,Database!$A$1:$AS$1,),))))</f>
        <v/>
      </c>
      <c r="E46" s="13">
        <f>((((VLOOKUP(B46,Database!$A:$AS,MATCH($E$1,Database!$A$1:$AS$1,),))))-(((VLOOKUP(EDATE(B46,-12),Database!$A:$AS,MATCH($E$1,Database!$A$1:$AS$1,),)))))/(((VLOOKUP(EDATE(B46,-12),Database!$A:$AS,MATCH($E$1,Database!$A$1:$AS$1,),))))</f>
        <v/>
      </c>
      <c r="F46" s="13">
        <f>((((VLOOKUP(B46,Database!$A:$AS,MATCH($F$1,Database!$A$1:$AS$1,),))))-(((VLOOKUP(EDATE(B46,-12),Database!$A:$AS,MATCH($F$1,Database!$A$1:$AS$1,),)))))/(((VLOOKUP(EDATE(B46,-12),Database!$A:$AS,MATCH($F$1,Database!$A$1:$AS$1,),))))</f>
        <v/>
      </c>
      <c r="G46" s="13">
        <f>((((VLOOKUP(B46,Database!$A:$AS,MATCH($G$1,Database!$A$1:$AS$1,),))))-(((VLOOKUP(EDATE(B46,-12),Database!$A:$AS,MATCH($G$1,Database!$A$1:$AS$1,),)))))/(((VLOOKUP(EDATE(B46,-12),Database!$A:$AS,MATCH($G$1,Database!$A$1:$AS$1,),))))</f>
        <v/>
      </c>
      <c r="H46" s="13">
        <f>((((VLOOKUP(B46,Database!$A:$AS,MATCH($H$1,Database!$A$1:$AS$1,),))))-(((VLOOKUP(EDATE(B46,-12),Database!$A:$AS,MATCH($H$1,Database!$A$1:$AS$1,),)))))/(((VLOOKUP(EDATE(B46,-12),Database!$A:$AS,MATCH($H$1,Database!$A$1:$AS$1,),))))</f>
        <v/>
      </c>
      <c r="I46" s="13">
        <f>((((VLOOKUP(B46,Database!$A:$AS,MATCH($I$1,Database!$A$1:$AS$1,),))))-(((VLOOKUP(EDATE(B46,-12),Database!$A:$AS,MATCH($I$1,Database!$A$1:$AS$1,),)))))/(((VLOOKUP(EDATE(B46,-12),Database!$A:$AS,MATCH($I$1,Database!$A$1:$AS$1,),))))</f>
        <v/>
      </c>
      <c r="J46" s="13">
        <f>((((VLOOKUP(B46,Database!$A:$AS,MATCH($J$1,Database!$A$1:$AS$1,),))))-(((VLOOKUP(EDATE(B46,-12),Database!$A:$AS,MATCH($J$1,Database!$A$1:$AS$1,),)))))/(((VLOOKUP(EDATE(B46,-12),Database!$A:$AS,MATCH($J$1,Database!$A$1:$AS$1,),))))</f>
        <v/>
      </c>
      <c r="K46" s="13">
        <f>((((VLOOKUP(B46,Database!$A:$AS,MATCH($K$1,Database!$A$1:$AS$1,),))))-(((VLOOKUP(EDATE(B46,-12),Database!$A:$AS,MATCH($K$1,Database!$A$1:$AS$1,),)))))/(((VLOOKUP(EDATE(B46,-12),Database!$A:$AS,MATCH($K$1,Database!$A$1:$AS$1,),))))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((((VLOOKUP(B46,Database!$A:$AS,MATCH($O$1,Database!$A$1:$AS$1,),))))-(((VLOOKUP(EDATE(B46,-12),Database!$A:$AS,MATCH($O$1,Database!$A$1:$AS$1,),)))))/(((VLOOKUP(EDATE(B46,-12),Database!$A:$AS,MATCH($O$1,Database!$A$1:$AS$1,),))))</f>
        <v/>
      </c>
      <c r="P46" s="13">
        <f>((((VLOOKUP(B46,Database!$A:$AS,MATCH($P$1,Database!$A$1:$AS$1,),))))-(((VLOOKUP(EDATE(B46,-12),Database!$A:$AS,MATCH($P$1,Database!$A$1:$AS$1,),)))))/(((VLOOKUP(EDATE(B46,-12),Database!$A:$AS,MATCH($P$1,Database!$A$1:$AS$1,),))))</f>
        <v/>
      </c>
      <c r="Q46" s="13">
        <f>((((VLOOKUP(B46,Database!$A:$AS,MATCH($Q$1,Database!$A$1:$AS$1,),))))-(((VLOOKUP(EDATE(B46,-12),Database!$A:$AS,MATCH($Q$1,Database!$A$1:$AS$1,),)))))/(((VLOOKUP(EDATE(B46,-12),Database!$A:$AS,MATCH($Q$1,Database!$A$1:$AS$1,),))))</f>
        <v/>
      </c>
      <c r="R46" s="13">
        <f>((((VLOOKUP(B46,Database!$A:$AS,MATCH($R$1,Database!$A$1:$AS$1,),))))-(((VLOOKUP(EDATE(B46,-12),Database!$A:$AS,MATCH($R$1,Database!$A$1:$AS$1,),)))))/(((VLOOKUP(EDATE(B46,-12),Database!$A:$AS,MATCH($R$1,Database!$A$1:$AS$1,),))))</f>
        <v/>
      </c>
      <c r="S46" s="13">
        <f>((((VLOOKUP(B46,Database!$A:$AS,MATCH($S$1,Database!$A$1:$AS$1,),))))-(((VLOOKUP(EDATE(B46,-12),Database!$A:$AS,MATCH($S$1,Database!$A$1:$AS$1,),)))))/(((VLOOKUP(EDATE(B46,-12),Database!$A:$AS,MATCH($S$1,Database!$A$1:$AS$1,),))))</f>
        <v/>
      </c>
      <c r="T46" s="13">
        <f>((((VLOOKUP(B46,Database!$A:$AS,MATCH($T$1,Database!$A$1:$AS$1,),))))-(((VLOOKUP(EDATE(B46,-12),Database!$A:$AS,MATCH($T$1,Database!$A$1:$AS$1,),)))))/(((VLOOKUP(EDATE(B46,-12),Database!$A:$AS,MATCH($T$1,Database!$A$1:$AS$1,),))))</f>
        <v/>
      </c>
      <c r="U46" s="13">
        <f>((((VLOOKUP(B46,Database!$A:$AS,MATCH($U$1,Database!$A$1:$AS$1,),))))-(((VLOOKUP(EDATE(B46,-12),Database!$A:$AS,MATCH($U$1,Database!$A$1:$AS$1,),)))))/(((VLOOKUP(EDATE(B46,-12),Database!$A:$AS,MATCH($U$1,Database!$A$1:$AS$1,),))))</f>
        <v/>
      </c>
      <c r="V46" s="13">
        <f>((((VLOOKUP(B46,Database!$A:$AS,MATCH($V$1,Database!$A$1:$AS$1,),))))-(((VLOOKUP(EDATE(B46,-12),Database!$A:$AS,MATCH($V$1,Database!$A$1:$AS$1,),)))))/(((VLOOKUP(EDATE(B46,-12),Database!$A:$AS,MATCH($V$1,Database!$A$1:$AS$1,),))))</f>
        <v/>
      </c>
    </row>
    <row r="47" customFormat="1" s="94">
      <c r="A47" s="44" t="n"/>
      <c r="B47" s="85" t="n">
        <v>33573</v>
      </c>
      <c r="C47" s="13">
        <f>((((VLOOKUP(B47,Database!$A:$AS,MATCH($C$1,Database!$A$1:$AS$1,),))))-(((VLOOKUP(EDATE(B47,-12),Database!$A:$AS,MATCH($C$1,Database!$A$1:$AS$1,),)))))/(((VLOOKUP(EDATE(B47,-12),Database!$A:$AS,MATCH($C$1,Database!$A$1:$AS$1,),))))</f>
        <v/>
      </c>
      <c r="D47" s="13">
        <f>((((VLOOKUP(B47,Database!$A:$AS,MATCH($D$1,Database!$A$1:$AS$1,),))))-(((VLOOKUP(EDATE(B47,-12),Database!$A:$AS,MATCH($D$1,Database!$A$1:$AS$1,),)))))/(((VLOOKUP(EDATE(B47,-12),Database!$A:$AS,MATCH($D$1,Database!$A$1:$AS$1,),))))</f>
        <v/>
      </c>
      <c r="E47" s="13">
        <f>((((VLOOKUP(B47,Database!$A:$AS,MATCH($E$1,Database!$A$1:$AS$1,),))))-(((VLOOKUP(EDATE(B47,-12),Database!$A:$AS,MATCH($E$1,Database!$A$1:$AS$1,),)))))/(((VLOOKUP(EDATE(B47,-12),Database!$A:$AS,MATCH($E$1,Database!$A$1:$AS$1,),))))</f>
        <v/>
      </c>
      <c r="F47" s="13">
        <f>((((VLOOKUP(B47,Database!$A:$AS,MATCH($F$1,Database!$A$1:$AS$1,),))))-(((VLOOKUP(EDATE(B47,-12),Database!$A:$AS,MATCH($F$1,Database!$A$1:$AS$1,),)))))/(((VLOOKUP(EDATE(B47,-12),Database!$A:$AS,MATCH($F$1,Database!$A$1:$AS$1,),))))</f>
        <v/>
      </c>
      <c r="G47" s="13">
        <f>((((VLOOKUP(B47,Database!$A:$AS,MATCH($G$1,Database!$A$1:$AS$1,),))))-(((VLOOKUP(EDATE(B47,-12),Database!$A:$AS,MATCH($G$1,Database!$A$1:$AS$1,),)))))/(((VLOOKUP(EDATE(B47,-12),Database!$A:$AS,MATCH($G$1,Database!$A$1:$AS$1,),))))</f>
        <v/>
      </c>
      <c r="H47" s="13">
        <f>((((VLOOKUP(B47,Database!$A:$AS,MATCH($H$1,Database!$A$1:$AS$1,),))))-(((VLOOKUP(EDATE(B47,-12),Database!$A:$AS,MATCH($H$1,Database!$A$1:$AS$1,),)))))/(((VLOOKUP(EDATE(B47,-12),Database!$A:$AS,MATCH($H$1,Database!$A$1:$AS$1,),))))</f>
        <v/>
      </c>
      <c r="I47" s="13">
        <f>((((VLOOKUP(B47,Database!$A:$AS,MATCH($I$1,Database!$A$1:$AS$1,),))))-(((VLOOKUP(EDATE(B47,-12),Database!$A:$AS,MATCH($I$1,Database!$A$1:$AS$1,),)))))/(((VLOOKUP(EDATE(B47,-12),Database!$A:$AS,MATCH($I$1,Database!$A$1:$AS$1,),))))</f>
        <v/>
      </c>
      <c r="J47" s="13">
        <f>((((VLOOKUP(B47,Database!$A:$AS,MATCH($J$1,Database!$A$1:$AS$1,),))))-(((VLOOKUP(EDATE(B47,-12),Database!$A:$AS,MATCH($J$1,Database!$A$1:$AS$1,),)))))/(((VLOOKUP(EDATE(B47,-12),Database!$A:$AS,MATCH($J$1,Database!$A$1:$AS$1,),))))</f>
        <v/>
      </c>
      <c r="K47" s="13">
        <f>((((VLOOKUP(B47,Database!$A:$AS,MATCH($K$1,Database!$A$1:$AS$1,),))))-(((VLOOKUP(EDATE(B47,-12),Database!$A:$AS,MATCH($K$1,Database!$A$1:$AS$1,),)))))/(((VLOOKUP(EDATE(B47,-12),Database!$A:$AS,MATCH($K$1,Database!$A$1:$AS$1,),))))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((((VLOOKUP(B47,Database!$A:$AS,MATCH($O$1,Database!$A$1:$AS$1,),))))-(((VLOOKUP(EDATE(B47,-12),Database!$A:$AS,MATCH($O$1,Database!$A$1:$AS$1,),)))))/(((VLOOKUP(EDATE(B47,-12),Database!$A:$AS,MATCH($O$1,Database!$A$1:$AS$1,),))))</f>
        <v/>
      </c>
      <c r="P47" s="13">
        <f>((((VLOOKUP(B47,Database!$A:$AS,MATCH($P$1,Database!$A$1:$AS$1,),))))-(((VLOOKUP(EDATE(B47,-12),Database!$A:$AS,MATCH($P$1,Database!$A$1:$AS$1,),)))))/(((VLOOKUP(EDATE(B47,-12),Database!$A:$AS,MATCH($P$1,Database!$A$1:$AS$1,),))))</f>
        <v/>
      </c>
      <c r="Q47" s="13">
        <f>((((VLOOKUP(B47,Database!$A:$AS,MATCH($Q$1,Database!$A$1:$AS$1,),))))-(((VLOOKUP(EDATE(B47,-12),Database!$A:$AS,MATCH($Q$1,Database!$A$1:$AS$1,),)))))/(((VLOOKUP(EDATE(B47,-12),Database!$A:$AS,MATCH($Q$1,Database!$A$1:$AS$1,),))))</f>
        <v/>
      </c>
      <c r="R47" s="13">
        <f>((((VLOOKUP(B47,Database!$A:$AS,MATCH($R$1,Database!$A$1:$AS$1,),))))-(((VLOOKUP(EDATE(B47,-12),Database!$A:$AS,MATCH($R$1,Database!$A$1:$AS$1,),)))))/(((VLOOKUP(EDATE(B47,-12),Database!$A:$AS,MATCH($R$1,Database!$A$1:$AS$1,),))))</f>
        <v/>
      </c>
      <c r="S47" s="13">
        <f>((((VLOOKUP(B47,Database!$A:$AS,MATCH($S$1,Database!$A$1:$AS$1,),))))-(((VLOOKUP(EDATE(B47,-12),Database!$A:$AS,MATCH($S$1,Database!$A$1:$AS$1,),)))))/(((VLOOKUP(EDATE(B47,-12),Database!$A:$AS,MATCH($S$1,Database!$A$1:$AS$1,),))))</f>
        <v/>
      </c>
      <c r="T47" s="13">
        <f>((((VLOOKUP(B47,Database!$A:$AS,MATCH($T$1,Database!$A$1:$AS$1,),))))-(((VLOOKUP(EDATE(B47,-12),Database!$A:$AS,MATCH($T$1,Database!$A$1:$AS$1,),)))))/(((VLOOKUP(EDATE(B47,-12),Database!$A:$AS,MATCH($T$1,Database!$A$1:$AS$1,),))))</f>
        <v/>
      </c>
      <c r="U47" s="13">
        <f>((((VLOOKUP(B47,Database!$A:$AS,MATCH($U$1,Database!$A$1:$AS$1,),))))-(((VLOOKUP(EDATE(B47,-12),Database!$A:$AS,MATCH($U$1,Database!$A$1:$AS$1,),)))))/(((VLOOKUP(EDATE(B47,-12),Database!$A:$AS,MATCH($U$1,Database!$A$1:$AS$1,),))))</f>
        <v/>
      </c>
      <c r="V47" s="13">
        <f>((((VLOOKUP(B47,Database!$A:$AS,MATCH($V$1,Database!$A$1:$AS$1,),))))-(((VLOOKUP(EDATE(B47,-12),Database!$A:$AS,MATCH($V$1,Database!$A$1:$AS$1,),)))))/(((VLOOKUP(EDATE(B47,-12),Database!$A:$AS,MATCH($V$1,Database!$A$1:$AS$1,),))))</f>
        <v/>
      </c>
    </row>
    <row r="48" customFormat="1" s="94">
      <c r="A48" s="44" t="n"/>
      <c r="B48" s="85" t="n">
        <v>33604</v>
      </c>
      <c r="C48" s="13">
        <f>((((VLOOKUP(B48,Database!$A:$AS,MATCH($C$1,Database!$A$1:$AS$1,),))))-(((VLOOKUP(EDATE(B48,-12),Database!$A:$AS,MATCH($C$1,Database!$A$1:$AS$1,),)))))/(((VLOOKUP(EDATE(B48,-12),Database!$A:$AS,MATCH($C$1,Database!$A$1:$AS$1,),))))</f>
        <v/>
      </c>
      <c r="D48" s="13">
        <f>((((VLOOKUP(B48,Database!$A:$AS,MATCH($D$1,Database!$A$1:$AS$1,),))))-(((VLOOKUP(EDATE(B48,-12),Database!$A:$AS,MATCH($D$1,Database!$A$1:$AS$1,),)))))/(((VLOOKUP(EDATE(B48,-12),Database!$A:$AS,MATCH($D$1,Database!$A$1:$AS$1,),))))</f>
        <v/>
      </c>
      <c r="E48" s="13">
        <f>((((VLOOKUP(B48,Database!$A:$AS,MATCH($E$1,Database!$A$1:$AS$1,),))))-(((VLOOKUP(EDATE(B48,-12),Database!$A:$AS,MATCH($E$1,Database!$A$1:$AS$1,),)))))/(((VLOOKUP(EDATE(B48,-12),Database!$A:$AS,MATCH($E$1,Database!$A$1:$AS$1,),))))</f>
        <v/>
      </c>
      <c r="F48" s="13">
        <f>((((VLOOKUP(B48,Database!$A:$AS,MATCH($F$1,Database!$A$1:$AS$1,),))))-(((VLOOKUP(EDATE(B48,-12),Database!$A:$AS,MATCH($F$1,Database!$A$1:$AS$1,),)))))/(((VLOOKUP(EDATE(B48,-12),Database!$A:$AS,MATCH($F$1,Database!$A$1:$AS$1,),))))</f>
        <v/>
      </c>
      <c r="G48" s="13">
        <f>((((VLOOKUP(B48,Database!$A:$AS,MATCH($G$1,Database!$A$1:$AS$1,),))))-(((VLOOKUP(EDATE(B48,-12),Database!$A:$AS,MATCH($G$1,Database!$A$1:$AS$1,),)))))/(((VLOOKUP(EDATE(B48,-12),Database!$A:$AS,MATCH($G$1,Database!$A$1:$AS$1,),))))</f>
        <v/>
      </c>
      <c r="H48" s="13">
        <f>((((VLOOKUP(B48,Database!$A:$AS,MATCH($H$1,Database!$A$1:$AS$1,),))))-(((VLOOKUP(EDATE(B48,-12),Database!$A:$AS,MATCH($H$1,Database!$A$1:$AS$1,),)))))/(((VLOOKUP(EDATE(B48,-12),Database!$A:$AS,MATCH($H$1,Database!$A$1:$AS$1,),))))</f>
        <v/>
      </c>
      <c r="I48" s="13">
        <f>((((VLOOKUP(B48,Database!$A:$AS,MATCH($I$1,Database!$A$1:$AS$1,),))))-(((VLOOKUP(EDATE(B48,-12),Database!$A:$AS,MATCH($I$1,Database!$A$1:$AS$1,),)))))/(((VLOOKUP(EDATE(B48,-12),Database!$A:$AS,MATCH($I$1,Database!$A$1:$AS$1,),))))</f>
        <v/>
      </c>
      <c r="J48" s="13">
        <f>((((VLOOKUP(B48,Database!$A:$AS,MATCH($J$1,Database!$A$1:$AS$1,),))))-(((VLOOKUP(EDATE(B48,-12),Database!$A:$AS,MATCH($J$1,Database!$A$1:$AS$1,),)))))/(((VLOOKUP(EDATE(B48,-12),Database!$A:$AS,MATCH($J$1,Database!$A$1:$AS$1,),))))</f>
        <v/>
      </c>
      <c r="K48" s="13">
        <f>((((VLOOKUP(B48,Database!$A:$AS,MATCH($K$1,Database!$A$1:$AS$1,),))))-(((VLOOKUP(EDATE(B48,-12),Database!$A:$AS,MATCH($K$1,Database!$A$1:$AS$1,),)))))/(((VLOOKUP(EDATE(B48,-12),Database!$A:$AS,MATCH($K$1,Database!$A$1:$AS$1,),))))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((((VLOOKUP(B48,Database!$A:$AS,MATCH($O$1,Database!$A$1:$AS$1,),))))-(((VLOOKUP(EDATE(B48,-12),Database!$A:$AS,MATCH($O$1,Database!$A$1:$AS$1,),)))))/(((VLOOKUP(EDATE(B48,-12),Database!$A:$AS,MATCH($O$1,Database!$A$1:$AS$1,),))))</f>
        <v/>
      </c>
      <c r="P48" s="13">
        <f>((((VLOOKUP(B48,Database!$A:$AS,MATCH($P$1,Database!$A$1:$AS$1,),))))-(((VLOOKUP(EDATE(B48,-12),Database!$A:$AS,MATCH($P$1,Database!$A$1:$AS$1,),)))))/(((VLOOKUP(EDATE(B48,-12),Database!$A:$AS,MATCH($P$1,Database!$A$1:$AS$1,),))))</f>
        <v/>
      </c>
      <c r="Q48" s="13">
        <f>((((VLOOKUP(B48,Database!$A:$AS,MATCH($Q$1,Database!$A$1:$AS$1,),))))-(((VLOOKUP(EDATE(B48,-12),Database!$A:$AS,MATCH($Q$1,Database!$A$1:$AS$1,),)))))/(((VLOOKUP(EDATE(B48,-12),Database!$A:$AS,MATCH($Q$1,Database!$A$1:$AS$1,),))))</f>
        <v/>
      </c>
      <c r="R48" s="13">
        <f>((((VLOOKUP(B48,Database!$A:$AS,MATCH($R$1,Database!$A$1:$AS$1,),))))-(((VLOOKUP(EDATE(B48,-12),Database!$A:$AS,MATCH($R$1,Database!$A$1:$AS$1,),)))))/(((VLOOKUP(EDATE(B48,-12),Database!$A:$AS,MATCH($R$1,Database!$A$1:$AS$1,),))))</f>
        <v/>
      </c>
      <c r="S48" s="13">
        <f>((((VLOOKUP(B48,Database!$A:$AS,MATCH($S$1,Database!$A$1:$AS$1,),))))-(((VLOOKUP(EDATE(B48,-12),Database!$A:$AS,MATCH($S$1,Database!$A$1:$AS$1,),)))))/(((VLOOKUP(EDATE(B48,-12),Database!$A:$AS,MATCH($S$1,Database!$A$1:$AS$1,),))))</f>
        <v/>
      </c>
      <c r="T48" s="13">
        <f>((((VLOOKUP(B48,Database!$A:$AS,MATCH($T$1,Database!$A$1:$AS$1,),))))-(((VLOOKUP(EDATE(B48,-12),Database!$A:$AS,MATCH($T$1,Database!$A$1:$AS$1,),)))))/(((VLOOKUP(EDATE(B48,-12),Database!$A:$AS,MATCH($T$1,Database!$A$1:$AS$1,),))))</f>
        <v/>
      </c>
      <c r="U48" s="13">
        <f>((((VLOOKUP(B48,Database!$A:$AS,MATCH($U$1,Database!$A$1:$AS$1,),))))-(((VLOOKUP(EDATE(B48,-12),Database!$A:$AS,MATCH($U$1,Database!$A$1:$AS$1,),)))))/(((VLOOKUP(EDATE(B48,-12),Database!$A:$AS,MATCH($U$1,Database!$A$1:$AS$1,),))))</f>
        <v/>
      </c>
      <c r="V48" s="13">
        <f>((((VLOOKUP(B48,Database!$A:$AS,MATCH($V$1,Database!$A$1:$AS$1,),))))-(((VLOOKUP(EDATE(B48,-12),Database!$A:$AS,MATCH($V$1,Database!$A$1:$AS$1,),)))))/(((VLOOKUP(EDATE(B48,-12),Database!$A:$AS,MATCH($V$1,Database!$A$1:$AS$1,),))))</f>
        <v/>
      </c>
    </row>
    <row r="49" customFormat="1" s="94">
      <c r="A49" s="44" t="n"/>
      <c r="B49" s="85" t="n">
        <v>33635</v>
      </c>
      <c r="C49" s="13">
        <f>((((VLOOKUP(B49,Database!$A:$AS,MATCH($C$1,Database!$A$1:$AS$1,),))))-(((VLOOKUP(EDATE(B49,-12),Database!$A:$AS,MATCH($C$1,Database!$A$1:$AS$1,),)))))/(((VLOOKUP(EDATE(B49,-12),Database!$A:$AS,MATCH($C$1,Database!$A$1:$AS$1,),))))</f>
        <v/>
      </c>
      <c r="D49" s="13">
        <f>((((VLOOKUP(B49,Database!$A:$AS,MATCH($D$1,Database!$A$1:$AS$1,),))))-(((VLOOKUP(EDATE(B49,-12),Database!$A:$AS,MATCH($D$1,Database!$A$1:$AS$1,),)))))/(((VLOOKUP(EDATE(B49,-12),Database!$A:$AS,MATCH($D$1,Database!$A$1:$AS$1,),))))</f>
        <v/>
      </c>
      <c r="E49" s="13">
        <f>((((VLOOKUP(B49,Database!$A:$AS,MATCH($E$1,Database!$A$1:$AS$1,),))))-(((VLOOKUP(EDATE(B49,-12),Database!$A:$AS,MATCH($E$1,Database!$A$1:$AS$1,),)))))/(((VLOOKUP(EDATE(B49,-12),Database!$A:$AS,MATCH($E$1,Database!$A$1:$AS$1,),))))</f>
        <v/>
      </c>
      <c r="F49" s="13">
        <f>((((VLOOKUP(B49,Database!$A:$AS,MATCH($F$1,Database!$A$1:$AS$1,),))))-(((VLOOKUP(EDATE(B49,-12),Database!$A:$AS,MATCH($F$1,Database!$A$1:$AS$1,),)))))/(((VLOOKUP(EDATE(B49,-12),Database!$A:$AS,MATCH($F$1,Database!$A$1:$AS$1,),))))</f>
        <v/>
      </c>
      <c r="G49" s="13">
        <f>((((VLOOKUP(B49,Database!$A:$AS,MATCH($G$1,Database!$A$1:$AS$1,),))))-(((VLOOKUP(EDATE(B49,-12),Database!$A:$AS,MATCH($G$1,Database!$A$1:$AS$1,),)))))/(((VLOOKUP(EDATE(B49,-12),Database!$A:$AS,MATCH($G$1,Database!$A$1:$AS$1,),))))</f>
        <v/>
      </c>
      <c r="H49" s="13">
        <f>((((VLOOKUP(B49,Database!$A:$AS,MATCH($H$1,Database!$A$1:$AS$1,),))))-(((VLOOKUP(EDATE(B49,-12),Database!$A:$AS,MATCH($H$1,Database!$A$1:$AS$1,),)))))/(((VLOOKUP(EDATE(B49,-12),Database!$A:$AS,MATCH($H$1,Database!$A$1:$AS$1,),))))</f>
        <v/>
      </c>
      <c r="I49" s="13">
        <f>((((VLOOKUP(B49,Database!$A:$AS,MATCH($I$1,Database!$A$1:$AS$1,),))))-(((VLOOKUP(EDATE(B49,-12),Database!$A:$AS,MATCH($I$1,Database!$A$1:$AS$1,),)))))/(((VLOOKUP(EDATE(B49,-12),Database!$A:$AS,MATCH($I$1,Database!$A$1:$AS$1,),))))</f>
        <v/>
      </c>
      <c r="J49" s="13">
        <f>((((VLOOKUP(B49,Database!$A:$AS,MATCH($J$1,Database!$A$1:$AS$1,),))))-(((VLOOKUP(EDATE(B49,-12),Database!$A:$AS,MATCH($J$1,Database!$A$1:$AS$1,),)))))/(((VLOOKUP(EDATE(B49,-12),Database!$A:$AS,MATCH($J$1,Database!$A$1:$AS$1,),))))</f>
        <v/>
      </c>
      <c r="K49" s="13">
        <f>((((VLOOKUP(B49,Database!$A:$AS,MATCH($K$1,Database!$A$1:$AS$1,),))))-(((VLOOKUP(EDATE(B49,-12),Database!$A:$AS,MATCH($K$1,Database!$A$1:$AS$1,),)))))/(((VLOOKUP(EDATE(B49,-12),Database!$A:$AS,MATCH($K$1,Database!$A$1:$AS$1,),))))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((((VLOOKUP(B49,Database!$A:$AS,MATCH($O$1,Database!$A$1:$AS$1,),))))-(((VLOOKUP(EDATE(B49,-12),Database!$A:$AS,MATCH($O$1,Database!$A$1:$AS$1,),)))))/(((VLOOKUP(EDATE(B49,-12),Database!$A:$AS,MATCH($O$1,Database!$A$1:$AS$1,),))))</f>
        <v/>
      </c>
      <c r="P49" s="13">
        <f>((((VLOOKUP(B49,Database!$A:$AS,MATCH($P$1,Database!$A$1:$AS$1,),))))-(((VLOOKUP(EDATE(B49,-12),Database!$A:$AS,MATCH($P$1,Database!$A$1:$AS$1,),)))))/(((VLOOKUP(EDATE(B49,-12),Database!$A:$AS,MATCH($P$1,Database!$A$1:$AS$1,),))))</f>
        <v/>
      </c>
      <c r="Q49" s="13">
        <f>((((VLOOKUP(B49,Database!$A:$AS,MATCH($Q$1,Database!$A$1:$AS$1,),))))-(((VLOOKUP(EDATE(B49,-12),Database!$A:$AS,MATCH($Q$1,Database!$A$1:$AS$1,),)))))/(((VLOOKUP(EDATE(B49,-12),Database!$A:$AS,MATCH($Q$1,Database!$A$1:$AS$1,),))))</f>
        <v/>
      </c>
      <c r="R49" s="13">
        <f>((((VLOOKUP(B49,Database!$A:$AS,MATCH($R$1,Database!$A$1:$AS$1,),))))-(((VLOOKUP(EDATE(B49,-12),Database!$A:$AS,MATCH($R$1,Database!$A$1:$AS$1,),)))))/(((VLOOKUP(EDATE(B49,-12),Database!$A:$AS,MATCH($R$1,Database!$A$1:$AS$1,),))))</f>
        <v/>
      </c>
      <c r="S49" s="13">
        <f>((((VLOOKUP(B49,Database!$A:$AS,MATCH($S$1,Database!$A$1:$AS$1,),))))-(((VLOOKUP(EDATE(B49,-12),Database!$A:$AS,MATCH($S$1,Database!$A$1:$AS$1,),)))))/(((VLOOKUP(EDATE(B49,-12),Database!$A:$AS,MATCH($S$1,Database!$A$1:$AS$1,),))))</f>
        <v/>
      </c>
      <c r="T49" s="13">
        <f>((((VLOOKUP(B49,Database!$A:$AS,MATCH($T$1,Database!$A$1:$AS$1,),))))-(((VLOOKUP(EDATE(B49,-12),Database!$A:$AS,MATCH($T$1,Database!$A$1:$AS$1,),)))))/(((VLOOKUP(EDATE(B49,-12),Database!$A:$AS,MATCH($T$1,Database!$A$1:$AS$1,),))))</f>
        <v/>
      </c>
      <c r="U49" s="13">
        <f>((((VLOOKUP(B49,Database!$A:$AS,MATCH($U$1,Database!$A$1:$AS$1,),))))-(((VLOOKUP(EDATE(B49,-12),Database!$A:$AS,MATCH($U$1,Database!$A$1:$AS$1,),)))))/(((VLOOKUP(EDATE(B49,-12),Database!$A:$AS,MATCH($U$1,Database!$A$1:$AS$1,),))))</f>
        <v/>
      </c>
      <c r="V49" s="13">
        <f>((((VLOOKUP(B49,Database!$A:$AS,MATCH($V$1,Database!$A$1:$AS$1,),))))-(((VLOOKUP(EDATE(B49,-12),Database!$A:$AS,MATCH($V$1,Database!$A$1:$AS$1,),)))))/(((VLOOKUP(EDATE(B49,-12),Database!$A:$AS,MATCH($V$1,Database!$A$1:$AS$1,),))))</f>
        <v/>
      </c>
    </row>
    <row r="50" customFormat="1" s="94">
      <c r="A50" s="44" t="n"/>
      <c r="B50" s="85" t="n">
        <v>33664</v>
      </c>
      <c r="C50" s="13">
        <f>((((VLOOKUP(B50,Database!$A:$AS,MATCH($C$1,Database!$A$1:$AS$1,),))))-(((VLOOKUP(EDATE(B50,-12),Database!$A:$AS,MATCH($C$1,Database!$A$1:$AS$1,),)))))/(((VLOOKUP(EDATE(B50,-12),Database!$A:$AS,MATCH($C$1,Database!$A$1:$AS$1,),))))</f>
        <v/>
      </c>
      <c r="D50" s="13">
        <f>((((VLOOKUP(B50,Database!$A:$AS,MATCH($D$1,Database!$A$1:$AS$1,),))))-(((VLOOKUP(EDATE(B50,-12),Database!$A:$AS,MATCH($D$1,Database!$A$1:$AS$1,),)))))/(((VLOOKUP(EDATE(B50,-12),Database!$A:$AS,MATCH($D$1,Database!$A$1:$AS$1,),))))</f>
        <v/>
      </c>
      <c r="E50" s="13">
        <f>((((VLOOKUP(B50,Database!$A:$AS,MATCH($E$1,Database!$A$1:$AS$1,),))))-(((VLOOKUP(EDATE(B50,-12),Database!$A:$AS,MATCH($E$1,Database!$A$1:$AS$1,),)))))/(((VLOOKUP(EDATE(B50,-12),Database!$A:$AS,MATCH($E$1,Database!$A$1:$AS$1,),))))</f>
        <v/>
      </c>
      <c r="F50" s="13">
        <f>((((VLOOKUP(B50,Database!$A:$AS,MATCH($F$1,Database!$A$1:$AS$1,),))))-(((VLOOKUP(EDATE(B50,-12),Database!$A:$AS,MATCH($F$1,Database!$A$1:$AS$1,),)))))/(((VLOOKUP(EDATE(B50,-12),Database!$A:$AS,MATCH($F$1,Database!$A$1:$AS$1,),))))</f>
        <v/>
      </c>
      <c r="G50" s="13">
        <f>((((VLOOKUP(B50,Database!$A:$AS,MATCH($G$1,Database!$A$1:$AS$1,),))))-(((VLOOKUP(EDATE(B50,-12),Database!$A:$AS,MATCH($G$1,Database!$A$1:$AS$1,),)))))/(((VLOOKUP(EDATE(B50,-12),Database!$A:$AS,MATCH($G$1,Database!$A$1:$AS$1,),))))</f>
        <v/>
      </c>
      <c r="H50" s="13">
        <f>((((VLOOKUP(B50,Database!$A:$AS,MATCH($H$1,Database!$A$1:$AS$1,),))))-(((VLOOKUP(EDATE(B50,-12),Database!$A:$AS,MATCH($H$1,Database!$A$1:$AS$1,),)))))/(((VLOOKUP(EDATE(B50,-12),Database!$A:$AS,MATCH($H$1,Database!$A$1:$AS$1,),))))</f>
        <v/>
      </c>
      <c r="I50" s="13">
        <f>((((VLOOKUP(B50,Database!$A:$AS,MATCH($I$1,Database!$A$1:$AS$1,),))))-(((VLOOKUP(EDATE(B50,-12),Database!$A:$AS,MATCH($I$1,Database!$A$1:$AS$1,),)))))/(((VLOOKUP(EDATE(B50,-12),Database!$A:$AS,MATCH($I$1,Database!$A$1:$AS$1,),))))</f>
        <v/>
      </c>
      <c r="J50" s="13">
        <f>((((VLOOKUP(B50,Database!$A:$AS,MATCH($J$1,Database!$A$1:$AS$1,),))))-(((VLOOKUP(EDATE(B50,-12),Database!$A:$AS,MATCH($J$1,Database!$A$1:$AS$1,),)))))/(((VLOOKUP(EDATE(B50,-12),Database!$A:$AS,MATCH($J$1,Database!$A$1:$AS$1,),))))</f>
        <v/>
      </c>
      <c r="K50" s="13">
        <f>((((VLOOKUP(B50,Database!$A:$AS,MATCH($K$1,Database!$A$1:$AS$1,),))))-(((VLOOKUP(EDATE(B50,-12),Database!$A:$AS,MATCH($K$1,Database!$A$1:$AS$1,),)))))/(((VLOOKUP(EDATE(B50,-12),Database!$A:$AS,MATCH($K$1,Database!$A$1:$AS$1,),))))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((((VLOOKUP(B50,Database!$A:$AS,MATCH($O$1,Database!$A$1:$AS$1,),))))-(((VLOOKUP(EDATE(B50,-12),Database!$A:$AS,MATCH($O$1,Database!$A$1:$AS$1,),)))))/(((VLOOKUP(EDATE(B50,-12),Database!$A:$AS,MATCH($O$1,Database!$A$1:$AS$1,),))))</f>
        <v/>
      </c>
      <c r="P50" s="13">
        <f>((((VLOOKUP(B50,Database!$A:$AS,MATCH($P$1,Database!$A$1:$AS$1,),))))-(((VLOOKUP(EDATE(B50,-12),Database!$A:$AS,MATCH($P$1,Database!$A$1:$AS$1,),)))))/(((VLOOKUP(EDATE(B50,-12),Database!$A:$AS,MATCH($P$1,Database!$A$1:$AS$1,),))))</f>
        <v/>
      </c>
      <c r="Q50" s="13">
        <f>((((VLOOKUP(B50,Database!$A:$AS,MATCH($Q$1,Database!$A$1:$AS$1,),))))-(((VLOOKUP(EDATE(B50,-12),Database!$A:$AS,MATCH($Q$1,Database!$A$1:$AS$1,),)))))/(((VLOOKUP(EDATE(B50,-12),Database!$A:$AS,MATCH($Q$1,Database!$A$1:$AS$1,),))))</f>
        <v/>
      </c>
      <c r="R50" s="13">
        <f>((((VLOOKUP(B50,Database!$A:$AS,MATCH($R$1,Database!$A$1:$AS$1,),))))-(((VLOOKUP(EDATE(B50,-12),Database!$A:$AS,MATCH($R$1,Database!$A$1:$AS$1,),)))))/(((VLOOKUP(EDATE(B50,-12),Database!$A:$AS,MATCH($R$1,Database!$A$1:$AS$1,),))))</f>
        <v/>
      </c>
      <c r="S50" s="13">
        <f>((((VLOOKUP(B50,Database!$A:$AS,MATCH($S$1,Database!$A$1:$AS$1,),))))-(((VLOOKUP(EDATE(B50,-12),Database!$A:$AS,MATCH($S$1,Database!$A$1:$AS$1,),)))))/(((VLOOKUP(EDATE(B50,-12),Database!$A:$AS,MATCH($S$1,Database!$A$1:$AS$1,),))))</f>
        <v/>
      </c>
      <c r="T50" s="13">
        <f>((((VLOOKUP(B50,Database!$A:$AS,MATCH($T$1,Database!$A$1:$AS$1,),))))-(((VLOOKUP(EDATE(B50,-12),Database!$A:$AS,MATCH($T$1,Database!$A$1:$AS$1,),)))))/(((VLOOKUP(EDATE(B50,-12),Database!$A:$AS,MATCH($T$1,Database!$A$1:$AS$1,),))))</f>
        <v/>
      </c>
      <c r="U50" s="13">
        <f>((((VLOOKUP(B50,Database!$A:$AS,MATCH($U$1,Database!$A$1:$AS$1,),))))-(((VLOOKUP(EDATE(B50,-12),Database!$A:$AS,MATCH($U$1,Database!$A$1:$AS$1,),)))))/(((VLOOKUP(EDATE(B50,-12),Database!$A:$AS,MATCH($U$1,Database!$A$1:$AS$1,),))))</f>
        <v/>
      </c>
      <c r="V50" s="13">
        <f>((((VLOOKUP(B50,Database!$A:$AS,MATCH($V$1,Database!$A$1:$AS$1,),))))-(((VLOOKUP(EDATE(B50,-12),Database!$A:$AS,MATCH($V$1,Database!$A$1:$AS$1,),)))))/(((VLOOKUP(EDATE(B50,-12),Database!$A:$AS,MATCH($V$1,Database!$A$1:$AS$1,),))))</f>
        <v/>
      </c>
    </row>
    <row r="51" customFormat="1" s="94">
      <c r="A51" s="44" t="n"/>
      <c r="B51" s="85" t="n">
        <v>33695</v>
      </c>
      <c r="C51" s="13">
        <f>((((VLOOKUP(B51,Database!$A:$AS,MATCH($C$1,Database!$A$1:$AS$1,),))))-(((VLOOKUP(EDATE(B51,-12),Database!$A:$AS,MATCH($C$1,Database!$A$1:$AS$1,),)))))/(((VLOOKUP(EDATE(B51,-12),Database!$A:$AS,MATCH($C$1,Database!$A$1:$AS$1,),))))</f>
        <v/>
      </c>
      <c r="D51" s="13">
        <f>((((VLOOKUP(B51,Database!$A:$AS,MATCH($D$1,Database!$A$1:$AS$1,),))))-(((VLOOKUP(EDATE(B51,-12),Database!$A:$AS,MATCH($D$1,Database!$A$1:$AS$1,),)))))/(((VLOOKUP(EDATE(B51,-12),Database!$A:$AS,MATCH($D$1,Database!$A$1:$AS$1,),))))</f>
        <v/>
      </c>
      <c r="E51" s="13">
        <f>((((VLOOKUP(B51,Database!$A:$AS,MATCH($E$1,Database!$A$1:$AS$1,),))))-(((VLOOKUP(EDATE(B51,-12),Database!$A:$AS,MATCH($E$1,Database!$A$1:$AS$1,),)))))/(((VLOOKUP(EDATE(B51,-12),Database!$A:$AS,MATCH($E$1,Database!$A$1:$AS$1,),))))</f>
        <v/>
      </c>
      <c r="F51" s="13">
        <f>((((VLOOKUP(B51,Database!$A:$AS,MATCH($F$1,Database!$A$1:$AS$1,),))))-(((VLOOKUP(EDATE(B51,-12),Database!$A:$AS,MATCH($F$1,Database!$A$1:$AS$1,),)))))/(((VLOOKUP(EDATE(B51,-12),Database!$A:$AS,MATCH($F$1,Database!$A$1:$AS$1,),))))</f>
        <v/>
      </c>
      <c r="G51" s="13">
        <f>((((VLOOKUP(B51,Database!$A:$AS,MATCH($G$1,Database!$A$1:$AS$1,),))))-(((VLOOKUP(EDATE(B51,-12),Database!$A:$AS,MATCH($G$1,Database!$A$1:$AS$1,),)))))/(((VLOOKUP(EDATE(B51,-12),Database!$A:$AS,MATCH($G$1,Database!$A$1:$AS$1,),))))</f>
        <v/>
      </c>
      <c r="H51" s="13">
        <f>((((VLOOKUP(B51,Database!$A:$AS,MATCH($H$1,Database!$A$1:$AS$1,),))))-(((VLOOKUP(EDATE(B51,-12),Database!$A:$AS,MATCH($H$1,Database!$A$1:$AS$1,),)))))/(((VLOOKUP(EDATE(B51,-12),Database!$A:$AS,MATCH($H$1,Database!$A$1:$AS$1,),))))</f>
        <v/>
      </c>
      <c r="I51" s="13">
        <f>((((VLOOKUP(B51,Database!$A:$AS,MATCH($I$1,Database!$A$1:$AS$1,),))))-(((VLOOKUP(EDATE(B51,-12),Database!$A:$AS,MATCH($I$1,Database!$A$1:$AS$1,),)))))/(((VLOOKUP(EDATE(B51,-12),Database!$A:$AS,MATCH($I$1,Database!$A$1:$AS$1,),))))</f>
        <v/>
      </c>
      <c r="J51" s="13">
        <f>((((VLOOKUP(B51,Database!$A:$AS,MATCH($J$1,Database!$A$1:$AS$1,),))))-(((VLOOKUP(EDATE(B51,-12),Database!$A:$AS,MATCH($J$1,Database!$A$1:$AS$1,),)))))/(((VLOOKUP(EDATE(B51,-12),Database!$A:$AS,MATCH($J$1,Database!$A$1:$AS$1,),))))</f>
        <v/>
      </c>
      <c r="K51" s="13">
        <f>((((VLOOKUP(B51,Database!$A:$AS,MATCH($K$1,Database!$A$1:$AS$1,),))))-(((VLOOKUP(EDATE(B51,-12),Database!$A:$AS,MATCH($K$1,Database!$A$1:$AS$1,),)))))/(((VLOOKUP(EDATE(B51,-12),Database!$A:$AS,MATCH($K$1,Database!$A$1:$AS$1,),))))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((((VLOOKUP(B51,Database!$A:$AS,MATCH($O$1,Database!$A$1:$AS$1,),))))-(((VLOOKUP(EDATE(B51,-12),Database!$A:$AS,MATCH($O$1,Database!$A$1:$AS$1,),)))))/(((VLOOKUP(EDATE(B51,-12),Database!$A:$AS,MATCH($O$1,Database!$A$1:$AS$1,),))))</f>
        <v/>
      </c>
      <c r="P51" s="13">
        <f>((((VLOOKUP(B51,Database!$A:$AS,MATCH($P$1,Database!$A$1:$AS$1,),))))-(((VLOOKUP(EDATE(B51,-12),Database!$A:$AS,MATCH($P$1,Database!$A$1:$AS$1,),)))))/(((VLOOKUP(EDATE(B51,-12),Database!$A:$AS,MATCH($P$1,Database!$A$1:$AS$1,),))))</f>
        <v/>
      </c>
      <c r="Q51" s="13">
        <f>((((VLOOKUP(B51,Database!$A:$AS,MATCH($Q$1,Database!$A$1:$AS$1,),))))-(((VLOOKUP(EDATE(B51,-12),Database!$A:$AS,MATCH($Q$1,Database!$A$1:$AS$1,),)))))/(((VLOOKUP(EDATE(B51,-12),Database!$A:$AS,MATCH($Q$1,Database!$A$1:$AS$1,),))))</f>
        <v/>
      </c>
      <c r="R51" s="13">
        <f>((((VLOOKUP(B51,Database!$A:$AS,MATCH($R$1,Database!$A$1:$AS$1,),))))-(((VLOOKUP(EDATE(B51,-12),Database!$A:$AS,MATCH($R$1,Database!$A$1:$AS$1,),)))))/(((VLOOKUP(EDATE(B51,-12),Database!$A:$AS,MATCH($R$1,Database!$A$1:$AS$1,),))))</f>
        <v/>
      </c>
      <c r="S51" s="13">
        <f>((((VLOOKUP(B51,Database!$A:$AS,MATCH($S$1,Database!$A$1:$AS$1,),))))-(((VLOOKUP(EDATE(B51,-12),Database!$A:$AS,MATCH($S$1,Database!$A$1:$AS$1,),)))))/(((VLOOKUP(EDATE(B51,-12),Database!$A:$AS,MATCH($S$1,Database!$A$1:$AS$1,),))))</f>
        <v/>
      </c>
      <c r="T51" s="13">
        <f>((((VLOOKUP(B51,Database!$A:$AS,MATCH($T$1,Database!$A$1:$AS$1,),))))-(((VLOOKUP(EDATE(B51,-12),Database!$A:$AS,MATCH($T$1,Database!$A$1:$AS$1,),)))))/(((VLOOKUP(EDATE(B51,-12),Database!$A:$AS,MATCH($T$1,Database!$A$1:$AS$1,),))))</f>
        <v/>
      </c>
      <c r="U51" s="13">
        <f>((((VLOOKUP(B51,Database!$A:$AS,MATCH($U$1,Database!$A$1:$AS$1,),))))-(((VLOOKUP(EDATE(B51,-12),Database!$A:$AS,MATCH($U$1,Database!$A$1:$AS$1,),)))))/(((VLOOKUP(EDATE(B51,-12),Database!$A:$AS,MATCH($U$1,Database!$A$1:$AS$1,),))))</f>
        <v/>
      </c>
      <c r="V51" s="13">
        <f>((((VLOOKUP(B51,Database!$A:$AS,MATCH($V$1,Database!$A$1:$AS$1,),))))-(((VLOOKUP(EDATE(B51,-12),Database!$A:$AS,MATCH($V$1,Database!$A$1:$AS$1,),)))))/(((VLOOKUP(EDATE(B51,-12),Database!$A:$AS,MATCH($V$1,Database!$A$1:$AS$1,),))))</f>
        <v/>
      </c>
    </row>
    <row r="52" customFormat="1" s="94">
      <c r="A52" s="44" t="n"/>
      <c r="B52" s="85" t="n">
        <v>33725</v>
      </c>
      <c r="C52" s="13">
        <f>((((VLOOKUP(B52,Database!$A:$AS,MATCH($C$1,Database!$A$1:$AS$1,),))))-(((VLOOKUP(EDATE(B52,-12),Database!$A:$AS,MATCH($C$1,Database!$A$1:$AS$1,),)))))/(((VLOOKUP(EDATE(B52,-12),Database!$A:$AS,MATCH($C$1,Database!$A$1:$AS$1,),))))</f>
        <v/>
      </c>
      <c r="D52" s="13">
        <f>((((VLOOKUP(B52,Database!$A:$AS,MATCH($D$1,Database!$A$1:$AS$1,),))))-(((VLOOKUP(EDATE(B52,-12),Database!$A:$AS,MATCH($D$1,Database!$A$1:$AS$1,),)))))/(((VLOOKUP(EDATE(B52,-12),Database!$A:$AS,MATCH($D$1,Database!$A$1:$AS$1,),))))</f>
        <v/>
      </c>
      <c r="E52" s="13">
        <f>((((VLOOKUP(B52,Database!$A:$AS,MATCH($E$1,Database!$A$1:$AS$1,),))))-(((VLOOKUP(EDATE(B52,-12),Database!$A:$AS,MATCH($E$1,Database!$A$1:$AS$1,),)))))/(((VLOOKUP(EDATE(B52,-12),Database!$A:$AS,MATCH($E$1,Database!$A$1:$AS$1,),))))</f>
        <v/>
      </c>
      <c r="F52" s="13">
        <f>((((VLOOKUP(B52,Database!$A:$AS,MATCH($F$1,Database!$A$1:$AS$1,),))))-(((VLOOKUP(EDATE(B52,-12),Database!$A:$AS,MATCH($F$1,Database!$A$1:$AS$1,),)))))/(((VLOOKUP(EDATE(B52,-12),Database!$A:$AS,MATCH($F$1,Database!$A$1:$AS$1,),))))</f>
        <v/>
      </c>
      <c r="G52" s="13">
        <f>((((VLOOKUP(B52,Database!$A:$AS,MATCH($G$1,Database!$A$1:$AS$1,),))))-(((VLOOKUP(EDATE(B52,-12),Database!$A:$AS,MATCH($G$1,Database!$A$1:$AS$1,),)))))/(((VLOOKUP(EDATE(B52,-12),Database!$A:$AS,MATCH($G$1,Database!$A$1:$AS$1,),))))</f>
        <v/>
      </c>
      <c r="H52" s="13">
        <f>((((VLOOKUP(B52,Database!$A:$AS,MATCH($H$1,Database!$A$1:$AS$1,),))))-(((VLOOKUP(EDATE(B52,-12),Database!$A:$AS,MATCH($H$1,Database!$A$1:$AS$1,),)))))/(((VLOOKUP(EDATE(B52,-12),Database!$A:$AS,MATCH($H$1,Database!$A$1:$AS$1,),))))</f>
        <v/>
      </c>
      <c r="I52" s="13">
        <f>((((VLOOKUP(B52,Database!$A:$AS,MATCH($I$1,Database!$A$1:$AS$1,),))))-(((VLOOKUP(EDATE(B52,-12),Database!$A:$AS,MATCH($I$1,Database!$A$1:$AS$1,),)))))/(((VLOOKUP(EDATE(B52,-12),Database!$A:$AS,MATCH($I$1,Database!$A$1:$AS$1,),))))</f>
        <v/>
      </c>
      <c r="J52" s="13">
        <f>((((VLOOKUP(B52,Database!$A:$AS,MATCH($J$1,Database!$A$1:$AS$1,),))))-(((VLOOKUP(EDATE(B52,-12),Database!$A:$AS,MATCH($J$1,Database!$A$1:$AS$1,),)))))/(((VLOOKUP(EDATE(B52,-12),Database!$A:$AS,MATCH($J$1,Database!$A$1:$AS$1,),))))</f>
        <v/>
      </c>
      <c r="K52" s="13">
        <f>((((VLOOKUP(B52,Database!$A:$AS,MATCH($K$1,Database!$A$1:$AS$1,),))))-(((VLOOKUP(EDATE(B52,-12),Database!$A:$AS,MATCH($K$1,Database!$A$1:$AS$1,),)))))/(((VLOOKUP(EDATE(B52,-12),Database!$A:$AS,MATCH($K$1,Database!$A$1:$AS$1,),))))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((((VLOOKUP(B52,Database!$A:$AS,MATCH($O$1,Database!$A$1:$AS$1,),))))-(((VLOOKUP(EDATE(B52,-12),Database!$A:$AS,MATCH($O$1,Database!$A$1:$AS$1,),)))))/(((VLOOKUP(EDATE(B52,-12),Database!$A:$AS,MATCH($O$1,Database!$A$1:$AS$1,),))))</f>
        <v/>
      </c>
      <c r="P52" s="13">
        <f>((((VLOOKUP(B52,Database!$A:$AS,MATCH($P$1,Database!$A$1:$AS$1,),))))-(((VLOOKUP(EDATE(B52,-12),Database!$A:$AS,MATCH($P$1,Database!$A$1:$AS$1,),)))))/(((VLOOKUP(EDATE(B52,-12),Database!$A:$AS,MATCH($P$1,Database!$A$1:$AS$1,),))))</f>
        <v/>
      </c>
      <c r="Q52" s="13">
        <f>((((VLOOKUP(B52,Database!$A:$AS,MATCH($Q$1,Database!$A$1:$AS$1,),))))-(((VLOOKUP(EDATE(B52,-12),Database!$A:$AS,MATCH($Q$1,Database!$A$1:$AS$1,),)))))/(((VLOOKUP(EDATE(B52,-12),Database!$A:$AS,MATCH($Q$1,Database!$A$1:$AS$1,),))))</f>
        <v/>
      </c>
      <c r="R52" s="13">
        <f>((((VLOOKUP(B52,Database!$A:$AS,MATCH($R$1,Database!$A$1:$AS$1,),))))-(((VLOOKUP(EDATE(B52,-12),Database!$A:$AS,MATCH($R$1,Database!$A$1:$AS$1,),)))))/(((VLOOKUP(EDATE(B52,-12),Database!$A:$AS,MATCH($R$1,Database!$A$1:$AS$1,),))))</f>
        <v/>
      </c>
      <c r="S52" s="13">
        <f>((((VLOOKUP(B52,Database!$A:$AS,MATCH($S$1,Database!$A$1:$AS$1,),))))-(((VLOOKUP(EDATE(B52,-12),Database!$A:$AS,MATCH($S$1,Database!$A$1:$AS$1,),)))))/(((VLOOKUP(EDATE(B52,-12),Database!$A:$AS,MATCH($S$1,Database!$A$1:$AS$1,),))))</f>
        <v/>
      </c>
      <c r="T52" s="13">
        <f>((((VLOOKUP(B52,Database!$A:$AS,MATCH($T$1,Database!$A$1:$AS$1,),))))-(((VLOOKUP(EDATE(B52,-12),Database!$A:$AS,MATCH($T$1,Database!$A$1:$AS$1,),)))))/(((VLOOKUP(EDATE(B52,-12),Database!$A:$AS,MATCH($T$1,Database!$A$1:$AS$1,),))))</f>
        <v/>
      </c>
      <c r="U52" s="13">
        <f>((((VLOOKUP(B52,Database!$A:$AS,MATCH($U$1,Database!$A$1:$AS$1,),))))-(((VLOOKUP(EDATE(B52,-12),Database!$A:$AS,MATCH($U$1,Database!$A$1:$AS$1,),)))))/(((VLOOKUP(EDATE(B52,-12),Database!$A:$AS,MATCH($U$1,Database!$A$1:$AS$1,),))))</f>
        <v/>
      </c>
      <c r="V52" s="13">
        <f>((((VLOOKUP(B52,Database!$A:$AS,MATCH($V$1,Database!$A$1:$AS$1,),))))-(((VLOOKUP(EDATE(B52,-12),Database!$A:$AS,MATCH($V$1,Database!$A$1:$AS$1,),)))))/(((VLOOKUP(EDATE(B52,-12),Database!$A:$AS,MATCH($V$1,Database!$A$1:$AS$1,),))))</f>
        <v/>
      </c>
    </row>
    <row r="53" customFormat="1" s="94">
      <c r="A53" s="44" t="n"/>
      <c r="B53" s="85" t="n">
        <v>33756</v>
      </c>
      <c r="C53" s="13">
        <f>((((VLOOKUP(B53,Database!$A:$AS,MATCH($C$1,Database!$A$1:$AS$1,),))))-(((VLOOKUP(EDATE(B53,-12),Database!$A:$AS,MATCH($C$1,Database!$A$1:$AS$1,),)))))/(((VLOOKUP(EDATE(B53,-12),Database!$A:$AS,MATCH($C$1,Database!$A$1:$AS$1,),))))</f>
        <v/>
      </c>
      <c r="D53" s="13">
        <f>((((VLOOKUP(B53,Database!$A:$AS,MATCH($D$1,Database!$A$1:$AS$1,),))))-(((VLOOKUP(EDATE(B53,-12),Database!$A:$AS,MATCH($D$1,Database!$A$1:$AS$1,),)))))/(((VLOOKUP(EDATE(B53,-12),Database!$A:$AS,MATCH($D$1,Database!$A$1:$AS$1,),))))</f>
        <v/>
      </c>
      <c r="E53" s="13">
        <f>((((VLOOKUP(B53,Database!$A:$AS,MATCH($E$1,Database!$A$1:$AS$1,),))))-(((VLOOKUP(EDATE(B53,-12),Database!$A:$AS,MATCH($E$1,Database!$A$1:$AS$1,),)))))/(((VLOOKUP(EDATE(B53,-12),Database!$A:$AS,MATCH($E$1,Database!$A$1:$AS$1,),))))</f>
        <v/>
      </c>
      <c r="F53" s="13">
        <f>((((VLOOKUP(B53,Database!$A:$AS,MATCH($F$1,Database!$A$1:$AS$1,),))))-(((VLOOKUP(EDATE(B53,-12),Database!$A:$AS,MATCH($F$1,Database!$A$1:$AS$1,),)))))/(((VLOOKUP(EDATE(B53,-12),Database!$A:$AS,MATCH($F$1,Database!$A$1:$AS$1,),))))</f>
        <v/>
      </c>
      <c r="G53" s="13">
        <f>((((VLOOKUP(B53,Database!$A:$AS,MATCH($G$1,Database!$A$1:$AS$1,),))))-(((VLOOKUP(EDATE(B53,-12),Database!$A:$AS,MATCH($G$1,Database!$A$1:$AS$1,),)))))/(((VLOOKUP(EDATE(B53,-12),Database!$A:$AS,MATCH($G$1,Database!$A$1:$AS$1,),))))</f>
        <v/>
      </c>
      <c r="H53" s="13">
        <f>((((VLOOKUP(B53,Database!$A:$AS,MATCH($H$1,Database!$A$1:$AS$1,),))))-(((VLOOKUP(EDATE(B53,-12),Database!$A:$AS,MATCH($H$1,Database!$A$1:$AS$1,),)))))/(((VLOOKUP(EDATE(B53,-12),Database!$A:$AS,MATCH($H$1,Database!$A$1:$AS$1,),))))</f>
        <v/>
      </c>
      <c r="I53" s="13">
        <f>((((VLOOKUP(B53,Database!$A:$AS,MATCH($I$1,Database!$A$1:$AS$1,),))))-(((VLOOKUP(EDATE(B53,-12),Database!$A:$AS,MATCH($I$1,Database!$A$1:$AS$1,),)))))/(((VLOOKUP(EDATE(B53,-12),Database!$A:$AS,MATCH($I$1,Database!$A$1:$AS$1,),))))</f>
        <v/>
      </c>
      <c r="J53" s="13">
        <f>((((VLOOKUP(B53,Database!$A:$AS,MATCH($J$1,Database!$A$1:$AS$1,),))))-(((VLOOKUP(EDATE(B53,-12),Database!$A:$AS,MATCH($J$1,Database!$A$1:$AS$1,),)))))/(((VLOOKUP(EDATE(B53,-12),Database!$A:$AS,MATCH($J$1,Database!$A$1:$AS$1,),))))</f>
        <v/>
      </c>
      <c r="K53" s="13">
        <f>((((VLOOKUP(B53,Database!$A:$AS,MATCH($K$1,Database!$A$1:$AS$1,),))))-(((VLOOKUP(EDATE(B53,-12),Database!$A:$AS,MATCH($K$1,Database!$A$1:$AS$1,),)))))/(((VLOOKUP(EDATE(B53,-12),Database!$A:$AS,MATCH($K$1,Database!$A$1:$AS$1,),))))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((((VLOOKUP(B53,Database!$A:$AS,MATCH($O$1,Database!$A$1:$AS$1,),))))-(((VLOOKUP(EDATE(B53,-12),Database!$A:$AS,MATCH($O$1,Database!$A$1:$AS$1,),)))))/(((VLOOKUP(EDATE(B53,-12),Database!$A:$AS,MATCH($O$1,Database!$A$1:$AS$1,),))))</f>
        <v/>
      </c>
      <c r="P53" s="13">
        <f>((((VLOOKUP(B53,Database!$A:$AS,MATCH($P$1,Database!$A$1:$AS$1,),))))-(((VLOOKUP(EDATE(B53,-12),Database!$A:$AS,MATCH($P$1,Database!$A$1:$AS$1,),)))))/(((VLOOKUP(EDATE(B53,-12),Database!$A:$AS,MATCH($P$1,Database!$A$1:$AS$1,),))))</f>
        <v/>
      </c>
      <c r="Q53" s="13">
        <f>((((VLOOKUP(B53,Database!$A:$AS,MATCH($Q$1,Database!$A$1:$AS$1,),))))-(((VLOOKUP(EDATE(B53,-12),Database!$A:$AS,MATCH($Q$1,Database!$A$1:$AS$1,),)))))/(((VLOOKUP(EDATE(B53,-12),Database!$A:$AS,MATCH($Q$1,Database!$A$1:$AS$1,),))))</f>
        <v/>
      </c>
      <c r="R53" s="13">
        <f>((((VLOOKUP(B53,Database!$A:$AS,MATCH($R$1,Database!$A$1:$AS$1,),))))-(((VLOOKUP(EDATE(B53,-12),Database!$A:$AS,MATCH($R$1,Database!$A$1:$AS$1,),)))))/(((VLOOKUP(EDATE(B53,-12),Database!$A:$AS,MATCH($R$1,Database!$A$1:$AS$1,),))))</f>
        <v/>
      </c>
      <c r="S53" s="13">
        <f>((((VLOOKUP(B53,Database!$A:$AS,MATCH($S$1,Database!$A$1:$AS$1,),))))-(((VLOOKUP(EDATE(B53,-12),Database!$A:$AS,MATCH($S$1,Database!$A$1:$AS$1,),)))))/(((VLOOKUP(EDATE(B53,-12),Database!$A:$AS,MATCH($S$1,Database!$A$1:$AS$1,),))))</f>
        <v/>
      </c>
      <c r="T53" s="13">
        <f>((((VLOOKUP(B53,Database!$A:$AS,MATCH($T$1,Database!$A$1:$AS$1,),))))-(((VLOOKUP(EDATE(B53,-12),Database!$A:$AS,MATCH($T$1,Database!$A$1:$AS$1,),)))))/(((VLOOKUP(EDATE(B53,-12),Database!$A:$AS,MATCH($T$1,Database!$A$1:$AS$1,),))))</f>
        <v/>
      </c>
      <c r="U53" s="13">
        <f>((((VLOOKUP(B53,Database!$A:$AS,MATCH($U$1,Database!$A$1:$AS$1,),))))-(((VLOOKUP(EDATE(B53,-12),Database!$A:$AS,MATCH($U$1,Database!$A$1:$AS$1,),)))))/(((VLOOKUP(EDATE(B53,-12),Database!$A:$AS,MATCH($U$1,Database!$A$1:$AS$1,),))))</f>
        <v/>
      </c>
      <c r="V53" s="13">
        <f>((((VLOOKUP(B53,Database!$A:$AS,MATCH($V$1,Database!$A$1:$AS$1,),))))-(((VLOOKUP(EDATE(B53,-12),Database!$A:$AS,MATCH($V$1,Database!$A$1:$AS$1,),)))))/(((VLOOKUP(EDATE(B53,-12),Database!$A:$AS,MATCH($V$1,Database!$A$1:$AS$1,),))))</f>
        <v/>
      </c>
    </row>
    <row r="54" customFormat="1" s="94">
      <c r="A54" s="44" t="n"/>
      <c r="B54" s="85" t="n">
        <v>33786</v>
      </c>
      <c r="C54" s="13">
        <f>((((VLOOKUP(B54,Database!$A:$AS,MATCH($C$1,Database!$A$1:$AS$1,),))))-(((VLOOKUP(EDATE(B54,-12),Database!$A:$AS,MATCH($C$1,Database!$A$1:$AS$1,),)))))/(((VLOOKUP(EDATE(B54,-12),Database!$A:$AS,MATCH($C$1,Database!$A$1:$AS$1,),))))</f>
        <v/>
      </c>
      <c r="D54" s="13">
        <f>((((VLOOKUP(B54,Database!$A:$AS,MATCH($D$1,Database!$A$1:$AS$1,),))))-(((VLOOKUP(EDATE(B54,-12),Database!$A:$AS,MATCH($D$1,Database!$A$1:$AS$1,),)))))/(((VLOOKUP(EDATE(B54,-12),Database!$A:$AS,MATCH($D$1,Database!$A$1:$AS$1,),))))</f>
        <v/>
      </c>
      <c r="E54" s="13">
        <f>((((VLOOKUP(B54,Database!$A:$AS,MATCH($E$1,Database!$A$1:$AS$1,),))))-(((VLOOKUP(EDATE(B54,-12),Database!$A:$AS,MATCH($E$1,Database!$A$1:$AS$1,),)))))/(((VLOOKUP(EDATE(B54,-12),Database!$A:$AS,MATCH($E$1,Database!$A$1:$AS$1,),))))</f>
        <v/>
      </c>
      <c r="F54" s="13">
        <f>((((VLOOKUP(B54,Database!$A:$AS,MATCH($F$1,Database!$A$1:$AS$1,),))))-(((VLOOKUP(EDATE(B54,-12),Database!$A:$AS,MATCH($F$1,Database!$A$1:$AS$1,),)))))/(((VLOOKUP(EDATE(B54,-12),Database!$A:$AS,MATCH($F$1,Database!$A$1:$AS$1,),))))</f>
        <v/>
      </c>
      <c r="G54" s="13">
        <f>((((VLOOKUP(B54,Database!$A:$AS,MATCH($G$1,Database!$A$1:$AS$1,),))))-(((VLOOKUP(EDATE(B54,-12),Database!$A:$AS,MATCH($G$1,Database!$A$1:$AS$1,),)))))/(((VLOOKUP(EDATE(B54,-12),Database!$A:$AS,MATCH($G$1,Database!$A$1:$AS$1,),))))</f>
        <v/>
      </c>
      <c r="H54" s="13">
        <f>((((VLOOKUP(B54,Database!$A:$AS,MATCH($H$1,Database!$A$1:$AS$1,),))))-(((VLOOKUP(EDATE(B54,-12),Database!$A:$AS,MATCH($H$1,Database!$A$1:$AS$1,),)))))/(((VLOOKUP(EDATE(B54,-12),Database!$A:$AS,MATCH($H$1,Database!$A$1:$AS$1,),))))</f>
        <v/>
      </c>
      <c r="I54" s="13">
        <f>((((VLOOKUP(B54,Database!$A:$AS,MATCH($I$1,Database!$A$1:$AS$1,),))))-(((VLOOKUP(EDATE(B54,-12),Database!$A:$AS,MATCH($I$1,Database!$A$1:$AS$1,),)))))/(((VLOOKUP(EDATE(B54,-12),Database!$A:$AS,MATCH($I$1,Database!$A$1:$AS$1,),))))</f>
        <v/>
      </c>
      <c r="J54" s="13">
        <f>((((VLOOKUP(B54,Database!$A:$AS,MATCH($J$1,Database!$A$1:$AS$1,),))))-(((VLOOKUP(EDATE(B54,-12),Database!$A:$AS,MATCH($J$1,Database!$A$1:$AS$1,),)))))/(((VLOOKUP(EDATE(B54,-12),Database!$A:$AS,MATCH($J$1,Database!$A$1:$AS$1,),))))</f>
        <v/>
      </c>
      <c r="K54" s="13">
        <f>((((VLOOKUP(B54,Database!$A:$AS,MATCH($K$1,Database!$A$1:$AS$1,),))))-(((VLOOKUP(EDATE(B54,-12),Database!$A:$AS,MATCH($K$1,Database!$A$1:$AS$1,),)))))/(((VLOOKUP(EDATE(B54,-12),Database!$A:$AS,MATCH($K$1,Database!$A$1:$AS$1,),))))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((((VLOOKUP(B54,Database!$A:$AS,MATCH($O$1,Database!$A$1:$AS$1,),))))-(((VLOOKUP(EDATE(B54,-12),Database!$A:$AS,MATCH($O$1,Database!$A$1:$AS$1,),)))))/(((VLOOKUP(EDATE(B54,-12),Database!$A:$AS,MATCH($O$1,Database!$A$1:$AS$1,),))))</f>
        <v/>
      </c>
      <c r="P54" s="13">
        <f>((((VLOOKUP(B54,Database!$A:$AS,MATCH($P$1,Database!$A$1:$AS$1,),))))-(((VLOOKUP(EDATE(B54,-12),Database!$A:$AS,MATCH($P$1,Database!$A$1:$AS$1,),)))))/(((VLOOKUP(EDATE(B54,-12),Database!$A:$AS,MATCH($P$1,Database!$A$1:$AS$1,),))))</f>
        <v/>
      </c>
      <c r="Q54" s="13">
        <f>((((VLOOKUP(B54,Database!$A:$AS,MATCH($Q$1,Database!$A$1:$AS$1,),))))-(((VLOOKUP(EDATE(B54,-12),Database!$A:$AS,MATCH($Q$1,Database!$A$1:$AS$1,),)))))/(((VLOOKUP(EDATE(B54,-12),Database!$A:$AS,MATCH($Q$1,Database!$A$1:$AS$1,),))))</f>
        <v/>
      </c>
      <c r="R54" s="13">
        <f>((((VLOOKUP(B54,Database!$A:$AS,MATCH($R$1,Database!$A$1:$AS$1,),))))-(((VLOOKUP(EDATE(B54,-12),Database!$A:$AS,MATCH($R$1,Database!$A$1:$AS$1,),)))))/(((VLOOKUP(EDATE(B54,-12),Database!$A:$AS,MATCH($R$1,Database!$A$1:$AS$1,),))))</f>
        <v/>
      </c>
      <c r="S54" s="13">
        <f>((((VLOOKUP(B54,Database!$A:$AS,MATCH($S$1,Database!$A$1:$AS$1,),))))-(((VLOOKUP(EDATE(B54,-12),Database!$A:$AS,MATCH($S$1,Database!$A$1:$AS$1,),)))))/(((VLOOKUP(EDATE(B54,-12),Database!$A:$AS,MATCH($S$1,Database!$A$1:$AS$1,),))))</f>
        <v/>
      </c>
      <c r="T54" s="13">
        <f>((((VLOOKUP(B54,Database!$A:$AS,MATCH($T$1,Database!$A$1:$AS$1,),))))-(((VLOOKUP(EDATE(B54,-12),Database!$A:$AS,MATCH($T$1,Database!$A$1:$AS$1,),)))))/(((VLOOKUP(EDATE(B54,-12),Database!$A:$AS,MATCH($T$1,Database!$A$1:$AS$1,),))))</f>
        <v/>
      </c>
      <c r="U54" s="13">
        <f>((((VLOOKUP(B54,Database!$A:$AS,MATCH($U$1,Database!$A$1:$AS$1,),))))-(((VLOOKUP(EDATE(B54,-12),Database!$A:$AS,MATCH($U$1,Database!$A$1:$AS$1,),)))))/(((VLOOKUP(EDATE(B54,-12),Database!$A:$AS,MATCH($U$1,Database!$A$1:$AS$1,),))))</f>
        <v/>
      </c>
      <c r="V54" s="13">
        <f>((((VLOOKUP(B54,Database!$A:$AS,MATCH($V$1,Database!$A$1:$AS$1,),))))-(((VLOOKUP(EDATE(B54,-12),Database!$A:$AS,MATCH($V$1,Database!$A$1:$AS$1,),)))))/(((VLOOKUP(EDATE(B54,-12),Database!$A:$AS,MATCH($V$1,Database!$A$1:$AS$1,),))))</f>
        <v/>
      </c>
    </row>
    <row r="55" customFormat="1" s="94">
      <c r="A55" s="44" t="n"/>
      <c r="B55" s="85" t="n">
        <v>33817</v>
      </c>
      <c r="C55" s="13">
        <f>((((VLOOKUP(B55,Database!$A:$AS,MATCH($C$1,Database!$A$1:$AS$1,),))))-(((VLOOKUP(EDATE(B55,-12),Database!$A:$AS,MATCH($C$1,Database!$A$1:$AS$1,),)))))/(((VLOOKUP(EDATE(B55,-12),Database!$A:$AS,MATCH($C$1,Database!$A$1:$AS$1,),))))</f>
        <v/>
      </c>
      <c r="D55" s="13">
        <f>((((VLOOKUP(B55,Database!$A:$AS,MATCH($D$1,Database!$A$1:$AS$1,),))))-(((VLOOKUP(EDATE(B55,-12),Database!$A:$AS,MATCH($D$1,Database!$A$1:$AS$1,),)))))/(((VLOOKUP(EDATE(B55,-12),Database!$A:$AS,MATCH($D$1,Database!$A$1:$AS$1,),))))</f>
        <v/>
      </c>
      <c r="E55" s="13">
        <f>((((VLOOKUP(B55,Database!$A:$AS,MATCH($E$1,Database!$A$1:$AS$1,),))))-(((VLOOKUP(EDATE(B55,-12),Database!$A:$AS,MATCH($E$1,Database!$A$1:$AS$1,),)))))/(((VLOOKUP(EDATE(B55,-12),Database!$A:$AS,MATCH($E$1,Database!$A$1:$AS$1,),))))</f>
        <v/>
      </c>
      <c r="F55" s="13">
        <f>((((VLOOKUP(B55,Database!$A:$AS,MATCH($F$1,Database!$A$1:$AS$1,),))))-(((VLOOKUP(EDATE(B55,-12),Database!$A:$AS,MATCH($F$1,Database!$A$1:$AS$1,),)))))/(((VLOOKUP(EDATE(B55,-12),Database!$A:$AS,MATCH($F$1,Database!$A$1:$AS$1,),))))</f>
        <v/>
      </c>
      <c r="G55" s="13">
        <f>((((VLOOKUP(B55,Database!$A:$AS,MATCH($G$1,Database!$A$1:$AS$1,),))))-(((VLOOKUP(EDATE(B55,-12),Database!$A:$AS,MATCH($G$1,Database!$A$1:$AS$1,),)))))/(((VLOOKUP(EDATE(B55,-12),Database!$A:$AS,MATCH($G$1,Database!$A$1:$AS$1,),))))</f>
        <v/>
      </c>
      <c r="H55" s="13">
        <f>((((VLOOKUP(B55,Database!$A:$AS,MATCH($H$1,Database!$A$1:$AS$1,),))))-(((VLOOKUP(EDATE(B55,-12),Database!$A:$AS,MATCH($H$1,Database!$A$1:$AS$1,),)))))/(((VLOOKUP(EDATE(B55,-12),Database!$A:$AS,MATCH($H$1,Database!$A$1:$AS$1,),))))</f>
        <v/>
      </c>
      <c r="I55" s="13">
        <f>((((VLOOKUP(B55,Database!$A:$AS,MATCH($I$1,Database!$A$1:$AS$1,),))))-(((VLOOKUP(EDATE(B55,-12),Database!$A:$AS,MATCH($I$1,Database!$A$1:$AS$1,),)))))/(((VLOOKUP(EDATE(B55,-12),Database!$A:$AS,MATCH($I$1,Database!$A$1:$AS$1,),))))</f>
        <v/>
      </c>
      <c r="J55" s="13">
        <f>((((VLOOKUP(B55,Database!$A:$AS,MATCH($J$1,Database!$A$1:$AS$1,),))))-(((VLOOKUP(EDATE(B55,-12),Database!$A:$AS,MATCH($J$1,Database!$A$1:$AS$1,),)))))/(((VLOOKUP(EDATE(B55,-12),Database!$A:$AS,MATCH($J$1,Database!$A$1:$AS$1,),))))</f>
        <v/>
      </c>
      <c r="K55" s="13">
        <f>((((VLOOKUP(B55,Database!$A:$AS,MATCH($K$1,Database!$A$1:$AS$1,),))))-(((VLOOKUP(EDATE(B55,-12),Database!$A:$AS,MATCH($K$1,Database!$A$1:$AS$1,),)))))/(((VLOOKUP(EDATE(B55,-12),Database!$A:$AS,MATCH($K$1,Database!$A$1:$AS$1,),))))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((((VLOOKUP(B55,Database!$A:$AS,MATCH($O$1,Database!$A$1:$AS$1,),))))-(((VLOOKUP(EDATE(B55,-12),Database!$A:$AS,MATCH($O$1,Database!$A$1:$AS$1,),)))))/(((VLOOKUP(EDATE(B55,-12),Database!$A:$AS,MATCH($O$1,Database!$A$1:$AS$1,),))))</f>
        <v/>
      </c>
      <c r="P55" s="13">
        <f>((((VLOOKUP(B55,Database!$A:$AS,MATCH($P$1,Database!$A$1:$AS$1,),))))-(((VLOOKUP(EDATE(B55,-12),Database!$A:$AS,MATCH($P$1,Database!$A$1:$AS$1,),)))))/(((VLOOKUP(EDATE(B55,-12),Database!$A:$AS,MATCH($P$1,Database!$A$1:$AS$1,),))))</f>
        <v/>
      </c>
      <c r="Q55" s="13">
        <f>((((VLOOKUP(B55,Database!$A:$AS,MATCH($Q$1,Database!$A$1:$AS$1,),))))-(((VLOOKUP(EDATE(B55,-12),Database!$A:$AS,MATCH($Q$1,Database!$A$1:$AS$1,),)))))/(((VLOOKUP(EDATE(B55,-12),Database!$A:$AS,MATCH($Q$1,Database!$A$1:$AS$1,),))))</f>
        <v/>
      </c>
      <c r="R55" s="13">
        <f>((((VLOOKUP(B55,Database!$A:$AS,MATCH($R$1,Database!$A$1:$AS$1,),))))-(((VLOOKUP(EDATE(B55,-12),Database!$A:$AS,MATCH($R$1,Database!$A$1:$AS$1,),)))))/(((VLOOKUP(EDATE(B55,-12),Database!$A:$AS,MATCH($R$1,Database!$A$1:$AS$1,),))))</f>
        <v/>
      </c>
      <c r="S55" s="13">
        <f>((((VLOOKUP(B55,Database!$A:$AS,MATCH($S$1,Database!$A$1:$AS$1,),))))-(((VLOOKUP(EDATE(B55,-12),Database!$A:$AS,MATCH($S$1,Database!$A$1:$AS$1,),)))))/(((VLOOKUP(EDATE(B55,-12),Database!$A:$AS,MATCH($S$1,Database!$A$1:$AS$1,),))))</f>
        <v/>
      </c>
      <c r="T55" s="13">
        <f>((((VLOOKUP(B55,Database!$A:$AS,MATCH($T$1,Database!$A$1:$AS$1,),))))-(((VLOOKUP(EDATE(B55,-12),Database!$A:$AS,MATCH($T$1,Database!$A$1:$AS$1,),)))))/(((VLOOKUP(EDATE(B55,-12),Database!$A:$AS,MATCH($T$1,Database!$A$1:$AS$1,),))))</f>
        <v/>
      </c>
      <c r="U55" s="13">
        <f>((((VLOOKUP(B55,Database!$A:$AS,MATCH($U$1,Database!$A$1:$AS$1,),))))-(((VLOOKUP(EDATE(B55,-12),Database!$A:$AS,MATCH($U$1,Database!$A$1:$AS$1,),)))))/(((VLOOKUP(EDATE(B55,-12),Database!$A:$AS,MATCH($U$1,Database!$A$1:$AS$1,),))))</f>
        <v/>
      </c>
      <c r="V55" s="13">
        <f>((((VLOOKUP(B55,Database!$A:$AS,MATCH($V$1,Database!$A$1:$AS$1,),))))-(((VLOOKUP(EDATE(B55,-12),Database!$A:$AS,MATCH($V$1,Database!$A$1:$AS$1,),)))))/(((VLOOKUP(EDATE(B55,-12),Database!$A:$AS,MATCH($V$1,Database!$A$1:$AS$1,),))))</f>
        <v/>
      </c>
    </row>
    <row r="56" customFormat="1" s="94">
      <c r="A56" s="44" t="n"/>
      <c r="B56" s="85" t="n">
        <v>33848</v>
      </c>
      <c r="C56" s="13">
        <f>((((VLOOKUP(B56,Database!$A:$AS,MATCH($C$1,Database!$A$1:$AS$1,),))))-(((VLOOKUP(EDATE(B56,-12),Database!$A:$AS,MATCH($C$1,Database!$A$1:$AS$1,),)))))/(((VLOOKUP(EDATE(B56,-12),Database!$A:$AS,MATCH($C$1,Database!$A$1:$AS$1,),))))</f>
        <v/>
      </c>
      <c r="D56" s="13">
        <f>((((VLOOKUP(B56,Database!$A:$AS,MATCH($D$1,Database!$A$1:$AS$1,),))))-(((VLOOKUP(EDATE(B56,-12),Database!$A:$AS,MATCH($D$1,Database!$A$1:$AS$1,),)))))/(((VLOOKUP(EDATE(B56,-12),Database!$A:$AS,MATCH($D$1,Database!$A$1:$AS$1,),))))</f>
        <v/>
      </c>
      <c r="E56" s="13">
        <f>((((VLOOKUP(B56,Database!$A:$AS,MATCH($E$1,Database!$A$1:$AS$1,),))))-(((VLOOKUP(EDATE(B56,-12),Database!$A:$AS,MATCH($E$1,Database!$A$1:$AS$1,),)))))/(((VLOOKUP(EDATE(B56,-12),Database!$A:$AS,MATCH($E$1,Database!$A$1:$AS$1,),))))</f>
        <v/>
      </c>
      <c r="F56" s="13">
        <f>((((VLOOKUP(B56,Database!$A:$AS,MATCH($F$1,Database!$A$1:$AS$1,),))))-(((VLOOKUP(EDATE(B56,-12),Database!$A:$AS,MATCH($F$1,Database!$A$1:$AS$1,),)))))/(((VLOOKUP(EDATE(B56,-12),Database!$A:$AS,MATCH($F$1,Database!$A$1:$AS$1,),))))</f>
        <v/>
      </c>
      <c r="G56" s="13">
        <f>((((VLOOKUP(B56,Database!$A:$AS,MATCH($G$1,Database!$A$1:$AS$1,),))))-(((VLOOKUP(EDATE(B56,-12),Database!$A:$AS,MATCH($G$1,Database!$A$1:$AS$1,),)))))/(((VLOOKUP(EDATE(B56,-12),Database!$A:$AS,MATCH($G$1,Database!$A$1:$AS$1,),))))</f>
        <v/>
      </c>
      <c r="H56" s="13">
        <f>((((VLOOKUP(B56,Database!$A:$AS,MATCH($H$1,Database!$A$1:$AS$1,),))))-(((VLOOKUP(EDATE(B56,-12),Database!$A:$AS,MATCH($H$1,Database!$A$1:$AS$1,),)))))/(((VLOOKUP(EDATE(B56,-12),Database!$A:$AS,MATCH($H$1,Database!$A$1:$AS$1,),))))</f>
        <v/>
      </c>
      <c r="I56" s="13">
        <f>((((VLOOKUP(B56,Database!$A:$AS,MATCH($I$1,Database!$A$1:$AS$1,),))))-(((VLOOKUP(EDATE(B56,-12),Database!$A:$AS,MATCH($I$1,Database!$A$1:$AS$1,),)))))/(((VLOOKUP(EDATE(B56,-12),Database!$A:$AS,MATCH($I$1,Database!$A$1:$AS$1,),))))</f>
        <v/>
      </c>
      <c r="J56" s="13">
        <f>((((VLOOKUP(B56,Database!$A:$AS,MATCH($J$1,Database!$A$1:$AS$1,),))))-(((VLOOKUP(EDATE(B56,-12),Database!$A:$AS,MATCH($J$1,Database!$A$1:$AS$1,),)))))/(((VLOOKUP(EDATE(B56,-12),Database!$A:$AS,MATCH($J$1,Database!$A$1:$AS$1,),))))</f>
        <v/>
      </c>
      <c r="K56" s="13">
        <f>((((VLOOKUP(B56,Database!$A:$AS,MATCH($K$1,Database!$A$1:$AS$1,),))))-(((VLOOKUP(EDATE(B56,-12),Database!$A:$AS,MATCH($K$1,Database!$A$1:$AS$1,),)))))/(((VLOOKUP(EDATE(B56,-12),Database!$A:$AS,MATCH($K$1,Database!$A$1:$AS$1,),))))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((((VLOOKUP(B56,Database!$A:$AS,MATCH($O$1,Database!$A$1:$AS$1,),))))-(((VLOOKUP(EDATE(B56,-12),Database!$A:$AS,MATCH($O$1,Database!$A$1:$AS$1,),)))))/(((VLOOKUP(EDATE(B56,-12),Database!$A:$AS,MATCH($O$1,Database!$A$1:$AS$1,),))))</f>
        <v/>
      </c>
      <c r="P56" s="13">
        <f>((((VLOOKUP(B56,Database!$A:$AS,MATCH($P$1,Database!$A$1:$AS$1,),))))-(((VLOOKUP(EDATE(B56,-12),Database!$A:$AS,MATCH($P$1,Database!$A$1:$AS$1,),)))))/(((VLOOKUP(EDATE(B56,-12),Database!$A:$AS,MATCH($P$1,Database!$A$1:$AS$1,),))))</f>
        <v/>
      </c>
      <c r="Q56" s="13">
        <f>((((VLOOKUP(B56,Database!$A:$AS,MATCH($Q$1,Database!$A$1:$AS$1,),))))-(((VLOOKUP(EDATE(B56,-12),Database!$A:$AS,MATCH($Q$1,Database!$A$1:$AS$1,),)))))/(((VLOOKUP(EDATE(B56,-12),Database!$A:$AS,MATCH($Q$1,Database!$A$1:$AS$1,),))))</f>
        <v/>
      </c>
      <c r="R56" s="13">
        <f>((((VLOOKUP(B56,Database!$A:$AS,MATCH($R$1,Database!$A$1:$AS$1,),))))-(((VLOOKUP(EDATE(B56,-12),Database!$A:$AS,MATCH($R$1,Database!$A$1:$AS$1,),)))))/(((VLOOKUP(EDATE(B56,-12),Database!$A:$AS,MATCH($R$1,Database!$A$1:$AS$1,),))))</f>
        <v/>
      </c>
      <c r="S56" s="13">
        <f>((((VLOOKUP(B56,Database!$A:$AS,MATCH($S$1,Database!$A$1:$AS$1,),))))-(((VLOOKUP(EDATE(B56,-12),Database!$A:$AS,MATCH($S$1,Database!$A$1:$AS$1,),)))))/(((VLOOKUP(EDATE(B56,-12),Database!$A:$AS,MATCH($S$1,Database!$A$1:$AS$1,),))))</f>
        <v/>
      </c>
      <c r="T56" s="13">
        <f>((((VLOOKUP(B56,Database!$A:$AS,MATCH($T$1,Database!$A$1:$AS$1,),))))-(((VLOOKUP(EDATE(B56,-12),Database!$A:$AS,MATCH($T$1,Database!$A$1:$AS$1,),)))))/(((VLOOKUP(EDATE(B56,-12),Database!$A:$AS,MATCH($T$1,Database!$A$1:$AS$1,),))))</f>
        <v/>
      </c>
      <c r="U56" s="13">
        <f>((((VLOOKUP(B56,Database!$A:$AS,MATCH($U$1,Database!$A$1:$AS$1,),))))-(((VLOOKUP(EDATE(B56,-12),Database!$A:$AS,MATCH($U$1,Database!$A$1:$AS$1,),)))))/(((VLOOKUP(EDATE(B56,-12),Database!$A:$AS,MATCH($U$1,Database!$A$1:$AS$1,),))))</f>
        <v/>
      </c>
      <c r="V56" s="13">
        <f>((((VLOOKUP(B56,Database!$A:$AS,MATCH($V$1,Database!$A$1:$AS$1,),))))-(((VLOOKUP(EDATE(B56,-12),Database!$A:$AS,MATCH($V$1,Database!$A$1:$AS$1,),)))))/(((VLOOKUP(EDATE(B56,-12),Database!$A:$AS,MATCH($V$1,Database!$A$1:$AS$1,),))))</f>
        <v/>
      </c>
    </row>
    <row r="57" customFormat="1" s="94">
      <c r="A57" s="44" t="n"/>
      <c r="B57" s="85" t="n">
        <v>33878</v>
      </c>
      <c r="C57" s="13">
        <f>((((VLOOKUP(B57,Database!$A:$AS,MATCH($C$1,Database!$A$1:$AS$1,),))))-(((VLOOKUP(EDATE(B57,-12),Database!$A:$AS,MATCH($C$1,Database!$A$1:$AS$1,),)))))/(((VLOOKUP(EDATE(B57,-12),Database!$A:$AS,MATCH($C$1,Database!$A$1:$AS$1,),))))</f>
        <v/>
      </c>
      <c r="D57" s="13">
        <f>((((VLOOKUP(B57,Database!$A:$AS,MATCH($D$1,Database!$A$1:$AS$1,),))))-(((VLOOKUP(EDATE(B57,-12),Database!$A:$AS,MATCH($D$1,Database!$A$1:$AS$1,),)))))/(((VLOOKUP(EDATE(B57,-12),Database!$A:$AS,MATCH($D$1,Database!$A$1:$AS$1,),))))</f>
        <v/>
      </c>
      <c r="E57" s="13">
        <f>((((VLOOKUP(B57,Database!$A:$AS,MATCH($E$1,Database!$A$1:$AS$1,),))))-(((VLOOKUP(EDATE(B57,-12),Database!$A:$AS,MATCH($E$1,Database!$A$1:$AS$1,),)))))/(((VLOOKUP(EDATE(B57,-12),Database!$A:$AS,MATCH($E$1,Database!$A$1:$AS$1,),))))</f>
        <v/>
      </c>
      <c r="F57" s="13">
        <f>((((VLOOKUP(B57,Database!$A:$AS,MATCH($F$1,Database!$A$1:$AS$1,),))))-(((VLOOKUP(EDATE(B57,-12),Database!$A:$AS,MATCH($F$1,Database!$A$1:$AS$1,),)))))/(((VLOOKUP(EDATE(B57,-12),Database!$A:$AS,MATCH($F$1,Database!$A$1:$AS$1,),))))</f>
        <v/>
      </c>
      <c r="G57" s="13">
        <f>((((VLOOKUP(B57,Database!$A:$AS,MATCH($G$1,Database!$A$1:$AS$1,),))))-(((VLOOKUP(EDATE(B57,-12),Database!$A:$AS,MATCH($G$1,Database!$A$1:$AS$1,),)))))/(((VLOOKUP(EDATE(B57,-12),Database!$A:$AS,MATCH($G$1,Database!$A$1:$AS$1,),))))</f>
        <v/>
      </c>
      <c r="H57" s="13">
        <f>((((VLOOKUP(B57,Database!$A:$AS,MATCH($H$1,Database!$A$1:$AS$1,),))))-(((VLOOKUP(EDATE(B57,-12),Database!$A:$AS,MATCH($H$1,Database!$A$1:$AS$1,),)))))/(((VLOOKUP(EDATE(B57,-12),Database!$A:$AS,MATCH($H$1,Database!$A$1:$AS$1,),))))</f>
        <v/>
      </c>
      <c r="I57" s="13">
        <f>((((VLOOKUP(B57,Database!$A:$AS,MATCH($I$1,Database!$A$1:$AS$1,),))))-(((VLOOKUP(EDATE(B57,-12),Database!$A:$AS,MATCH($I$1,Database!$A$1:$AS$1,),)))))/(((VLOOKUP(EDATE(B57,-12),Database!$A:$AS,MATCH($I$1,Database!$A$1:$AS$1,),))))</f>
        <v/>
      </c>
      <c r="J57" s="13">
        <f>((((VLOOKUP(B57,Database!$A:$AS,MATCH($J$1,Database!$A$1:$AS$1,),))))-(((VLOOKUP(EDATE(B57,-12),Database!$A:$AS,MATCH($J$1,Database!$A$1:$AS$1,),)))))/(((VLOOKUP(EDATE(B57,-12),Database!$A:$AS,MATCH($J$1,Database!$A$1:$AS$1,),))))</f>
        <v/>
      </c>
      <c r="K57" s="13">
        <f>((((VLOOKUP(B57,Database!$A:$AS,MATCH($K$1,Database!$A$1:$AS$1,),))))-(((VLOOKUP(EDATE(B57,-12),Database!$A:$AS,MATCH($K$1,Database!$A$1:$AS$1,),)))))/(((VLOOKUP(EDATE(B57,-12),Database!$A:$AS,MATCH($K$1,Database!$A$1:$AS$1,),))))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((((VLOOKUP(B57,Database!$A:$AS,MATCH($O$1,Database!$A$1:$AS$1,),))))-(((VLOOKUP(EDATE(B57,-12),Database!$A:$AS,MATCH($O$1,Database!$A$1:$AS$1,),)))))/(((VLOOKUP(EDATE(B57,-12),Database!$A:$AS,MATCH($O$1,Database!$A$1:$AS$1,),))))</f>
        <v/>
      </c>
      <c r="P57" s="13">
        <f>((((VLOOKUP(B57,Database!$A:$AS,MATCH($P$1,Database!$A$1:$AS$1,),))))-(((VLOOKUP(EDATE(B57,-12),Database!$A:$AS,MATCH($P$1,Database!$A$1:$AS$1,),)))))/(((VLOOKUP(EDATE(B57,-12),Database!$A:$AS,MATCH($P$1,Database!$A$1:$AS$1,),))))</f>
        <v/>
      </c>
      <c r="Q57" s="13">
        <f>((((VLOOKUP(B57,Database!$A:$AS,MATCH($Q$1,Database!$A$1:$AS$1,),))))-(((VLOOKUP(EDATE(B57,-12),Database!$A:$AS,MATCH($Q$1,Database!$A$1:$AS$1,),)))))/(((VLOOKUP(EDATE(B57,-12),Database!$A:$AS,MATCH($Q$1,Database!$A$1:$AS$1,),))))</f>
        <v/>
      </c>
      <c r="R57" s="13">
        <f>((((VLOOKUP(B57,Database!$A:$AS,MATCH($R$1,Database!$A$1:$AS$1,),))))-(((VLOOKUP(EDATE(B57,-12),Database!$A:$AS,MATCH($R$1,Database!$A$1:$AS$1,),)))))/(((VLOOKUP(EDATE(B57,-12),Database!$A:$AS,MATCH($R$1,Database!$A$1:$AS$1,),))))</f>
        <v/>
      </c>
      <c r="S57" s="13">
        <f>((((VLOOKUP(B57,Database!$A:$AS,MATCH($S$1,Database!$A$1:$AS$1,),))))-(((VLOOKUP(EDATE(B57,-12),Database!$A:$AS,MATCH($S$1,Database!$A$1:$AS$1,),)))))/(((VLOOKUP(EDATE(B57,-12),Database!$A:$AS,MATCH($S$1,Database!$A$1:$AS$1,),))))</f>
        <v/>
      </c>
      <c r="T57" s="13">
        <f>((((VLOOKUP(B57,Database!$A:$AS,MATCH($T$1,Database!$A$1:$AS$1,),))))-(((VLOOKUP(EDATE(B57,-12),Database!$A:$AS,MATCH($T$1,Database!$A$1:$AS$1,),)))))/(((VLOOKUP(EDATE(B57,-12),Database!$A:$AS,MATCH($T$1,Database!$A$1:$AS$1,),))))</f>
        <v/>
      </c>
      <c r="U57" s="13">
        <f>((((VLOOKUP(B57,Database!$A:$AS,MATCH($U$1,Database!$A$1:$AS$1,),))))-(((VLOOKUP(EDATE(B57,-12),Database!$A:$AS,MATCH($U$1,Database!$A$1:$AS$1,),)))))/(((VLOOKUP(EDATE(B57,-12),Database!$A:$AS,MATCH($U$1,Database!$A$1:$AS$1,),))))</f>
        <v/>
      </c>
      <c r="V57" s="13">
        <f>((((VLOOKUP(B57,Database!$A:$AS,MATCH($V$1,Database!$A$1:$AS$1,),))))-(((VLOOKUP(EDATE(B57,-12),Database!$A:$AS,MATCH($V$1,Database!$A$1:$AS$1,),)))))/(((VLOOKUP(EDATE(B57,-12),Database!$A:$AS,MATCH($V$1,Database!$A$1:$AS$1,),))))</f>
        <v/>
      </c>
    </row>
    <row r="58" customFormat="1" s="94">
      <c r="A58" s="44" t="n"/>
      <c r="B58" s="85" t="n">
        <v>33909</v>
      </c>
      <c r="C58" s="13">
        <f>((((VLOOKUP(B58,Database!$A:$AS,MATCH($C$1,Database!$A$1:$AS$1,),))))-(((VLOOKUP(EDATE(B58,-12),Database!$A:$AS,MATCH($C$1,Database!$A$1:$AS$1,),)))))/(((VLOOKUP(EDATE(B58,-12),Database!$A:$AS,MATCH($C$1,Database!$A$1:$AS$1,),))))</f>
        <v/>
      </c>
      <c r="D58" s="13">
        <f>((((VLOOKUP(B58,Database!$A:$AS,MATCH($D$1,Database!$A$1:$AS$1,),))))-(((VLOOKUP(EDATE(B58,-12),Database!$A:$AS,MATCH($D$1,Database!$A$1:$AS$1,),)))))/(((VLOOKUP(EDATE(B58,-12),Database!$A:$AS,MATCH($D$1,Database!$A$1:$AS$1,),))))</f>
        <v/>
      </c>
      <c r="E58" s="13">
        <f>((((VLOOKUP(B58,Database!$A:$AS,MATCH($E$1,Database!$A$1:$AS$1,),))))-(((VLOOKUP(EDATE(B58,-12),Database!$A:$AS,MATCH($E$1,Database!$A$1:$AS$1,),)))))/(((VLOOKUP(EDATE(B58,-12),Database!$A:$AS,MATCH($E$1,Database!$A$1:$AS$1,),))))</f>
        <v/>
      </c>
      <c r="F58" s="13">
        <f>((((VLOOKUP(B58,Database!$A:$AS,MATCH($F$1,Database!$A$1:$AS$1,),))))-(((VLOOKUP(EDATE(B58,-12),Database!$A:$AS,MATCH($F$1,Database!$A$1:$AS$1,),)))))/(((VLOOKUP(EDATE(B58,-12),Database!$A:$AS,MATCH($F$1,Database!$A$1:$AS$1,),))))</f>
        <v/>
      </c>
      <c r="G58" s="13">
        <f>((((VLOOKUP(B58,Database!$A:$AS,MATCH($G$1,Database!$A$1:$AS$1,),))))-(((VLOOKUP(EDATE(B58,-12),Database!$A:$AS,MATCH($G$1,Database!$A$1:$AS$1,),)))))/(((VLOOKUP(EDATE(B58,-12),Database!$A:$AS,MATCH($G$1,Database!$A$1:$AS$1,),))))</f>
        <v/>
      </c>
      <c r="H58" s="13">
        <f>((((VLOOKUP(B58,Database!$A:$AS,MATCH($H$1,Database!$A$1:$AS$1,),))))-(((VLOOKUP(EDATE(B58,-12),Database!$A:$AS,MATCH($H$1,Database!$A$1:$AS$1,),)))))/(((VLOOKUP(EDATE(B58,-12),Database!$A:$AS,MATCH($H$1,Database!$A$1:$AS$1,),))))</f>
        <v/>
      </c>
      <c r="I58" s="13">
        <f>((((VLOOKUP(B58,Database!$A:$AS,MATCH($I$1,Database!$A$1:$AS$1,),))))-(((VLOOKUP(EDATE(B58,-12),Database!$A:$AS,MATCH($I$1,Database!$A$1:$AS$1,),)))))/(((VLOOKUP(EDATE(B58,-12),Database!$A:$AS,MATCH($I$1,Database!$A$1:$AS$1,),))))</f>
        <v/>
      </c>
      <c r="J58" s="13">
        <f>((((VLOOKUP(B58,Database!$A:$AS,MATCH($J$1,Database!$A$1:$AS$1,),))))-(((VLOOKUP(EDATE(B58,-12),Database!$A:$AS,MATCH($J$1,Database!$A$1:$AS$1,),)))))/(((VLOOKUP(EDATE(B58,-12),Database!$A:$AS,MATCH($J$1,Database!$A$1:$AS$1,),))))</f>
        <v/>
      </c>
      <c r="K58" s="13">
        <f>((((VLOOKUP(B58,Database!$A:$AS,MATCH($K$1,Database!$A$1:$AS$1,),))))-(((VLOOKUP(EDATE(B58,-12),Database!$A:$AS,MATCH($K$1,Database!$A$1:$AS$1,),)))))/(((VLOOKUP(EDATE(B58,-12),Database!$A:$AS,MATCH($K$1,Database!$A$1:$AS$1,),))))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((((VLOOKUP(B58,Database!$A:$AS,MATCH($O$1,Database!$A$1:$AS$1,),))))-(((VLOOKUP(EDATE(B58,-12),Database!$A:$AS,MATCH($O$1,Database!$A$1:$AS$1,),)))))/(((VLOOKUP(EDATE(B58,-12),Database!$A:$AS,MATCH($O$1,Database!$A$1:$AS$1,),))))</f>
        <v/>
      </c>
      <c r="P58" s="13">
        <f>((((VLOOKUP(B58,Database!$A:$AS,MATCH($P$1,Database!$A$1:$AS$1,),))))-(((VLOOKUP(EDATE(B58,-12),Database!$A:$AS,MATCH($P$1,Database!$A$1:$AS$1,),)))))/(((VLOOKUP(EDATE(B58,-12),Database!$A:$AS,MATCH($P$1,Database!$A$1:$AS$1,),))))</f>
        <v/>
      </c>
      <c r="Q58" s="13">
        <f>((((VLOOKUP(B58,Database!$A:$AS,MATCH($Q$1,Database!$A$1:$AS$1,),))))-(((VLOOKUP(EDATE(B58,-12),Database!$A:$AS,MATCH($Q$1,Database!$A$1:$AS$1,),)))))/(((VLOOKUP(EDATE(B58,-12),Database!$A:$AS,MATCH($Q$1,Database!$A$1:$AS$1,),))))</f>
        <v/>
      </c>
      <c r="R58" s="13">
        <f>((((VLOOKUP(B58,Database!$A:$AS,MATCH($R$1,Database!$A$1:$AS$1,),))))-(((VLOOKUP(EDATE(B58,-12),Database!$A:$AS,MATCH($R$1,Database!$A$1:$AS$1,),)))))/(((VLOOKUP(EDATE(B58,-12),Database!$A:$AS,MATCH($R$1,Database!$A$1:$AS$1,),))))</f>
        <v/>
      </c>
      <c r="S58" s="13">
        <f>((((VLOOKUP(B58,Database!$A:$AS,MATCH($S$1,Database!$A$1:$AS$1,),))))-(((VLOOKUP(EDATE(B58,-12),Database!$A:$AS,MATCH($S$1,Database!$A$1:$AS$1,),)))))/(((VLOOKUP(EDATE(B58,-12),Database!$A:$AS,MATCH($S$1,Database!$A$1:$AS$1,),))))</f>
        <v/>
      </c>
      <c r="T58" s="13">
        <f>((((VLOOKUP(B58,Database!$A:$AS,MATCH($T$1,Database!$A$1:$AS$1,),))))-(((VLOOKUP(EDATE(B58,-12),Database!$A:$AS,MATCH($T$1,Database!$A$1:$AS$1,),)))))/(((VLOOKUP(EDATE(B58,-12),Database!$A:$AS,MATCH($T$1,Database!$A$1:$AS$1,),))))</f>
        <v/>
      </c>
      <c r="U58" s="13">
        <f>((((VLOOKUP(B58,Database!$A:$AS,MATCH($U$1,Database!$A$1:$AS$1,),))))-(((VLOOKUP(EDATE(B58,-12),Database!$A:$AS,MATCH($U$1,Database!$A$1:$AS$1,),)))))/(((VLOOKUP(EDATE(B58,-12),Database!$A:$AS,MATCH($U$1,Database!$A$1:$AS$1,),))))</f>
        <v/>
      </c>
      <c r="V58" s="13">
        <f>((((VLOOKUP(B58,Database!$A:$AS,MATCH($V$1,Database!$A$1:$AS$1,),))))-(((VLOOKUP(EDATE(B58,-12),Database!$A:$AS,MATCH($V$1,Database!$A$1:$AS$1,),)))))/(((VLOOKUP(EDATE(B58,-12),Database!$A:$AS,MATCH($V$1,Database!$A$1:$AS$1,),))))</f>
        <v/>
      </c>
    </row>
    <row r="59" customFormat="1" s="94">
      <c r="A59" s="44" t="n"/>
      <c r="B59" s="85" t="n">
        <v>33939</v>
      </c>
      <c r="C59" s="13">
        <f>((((VLOOKUP(B59,Database!$A:$AS,MATCH($C$1,Database!$A$1:$AS$1,),))))-(((VLOOKUP(EDATE(B59,-12),Database!$A:$AS,MATCH($C$1,Database!$A$1:$AS$1,),)))))/(((VLOOKUP(EDATE(B59,-12),Database!$A:$AS,MATCH($C$1,Database!$A$1:$AS$1,),))))</f>
        <v/>
      </c>
      <c r="D59" s="13">
        <f>((((VLOOKUP(B59,Database!$A:$AS,MATCH($D$1,Database!$A$1:$AS$1,),))))-(((VLOOKUP(EDATE(B59,-12),Database!$A:$AS,MATCH($D$1,Database!$A$1:$AS$1,),)))))/(((VLOOKUP(EDATE(B59,-12),Database!$A:$AS,MATCH($D$1,Database!$A$1:$AS$1,),))))</f>
        <v/>
      </c>
      <c r="E59" s="13">
        <f>((((VLOOKUP(B59,Database!$A:$AS,MATCH($E$1,Database!$A$1:$AS$1,),))))-(((VLOOKUP(EDATE(B59,-12),Database!$A:$AS,MATCH($E$1,Database!$A$1:$AS$1,),)))))/(((VLOOKUP(EDATE(B59,-12),Database!$A:$AS,MATCH($E$1,Database!$A$1:$AS$1,),))))</f>
        <v/>
      </c>
      <c r="F59" s="13">
        <f>((((VLOOKUP(B59,Database!$A:$AS,MATCH($F$1,Database!$A$1:$AS$1,),))))-(((VLOOKUP(EDATE(B59,-12),Database!$A:$AS,MATCH($F$1,Database!$A$1:$AS$1,),)))))/(((VLOOKUP(EDATE(B59,-12),Database!$A:$AS,MATCH($F$1,Database!$A$1:$AS$1,),))))</f>
        <v/>
      </c>
      <c r="G59" s="13">
        <f>((((VLOOKUP(B59,Database!$A:$AS,MATCH($G$1,Database!$A$1:$AS$1,),))))-(((VLOOKUP(EDATE(B59,-12),Database!$A:$AS,MATCH($G$1,Database!$A$1:$AS$1,),)))))/(((VLOOKUP(EDATE(B59,-12),Database!$A:$AS,MATCH($G$1,Database!$A$1:$AS$1,),))))</f>
        <v/>
      </c>
      <c r="H59" s="13">
        <f>((((VLOOKUP(B59,Database!$A:$AS,MATCH($H$1,Database!$A$1:$AS$1,),))))-(((VLOOKUP(EDATE(B59,-12),Database!$A:$AS,MATCH($H$1,Database!$A$1:$AS$1,),)))))/(((VLOOKUP(EDATE(B59,-12),Database!$A:$AS,MATCH($H$1,Database!$A$1:$AS$1,),))))</f>
        <v/>
      </c>
      <c r="I59" s="13">
        <f>((((VLOOKUP(B59,Database!$A:$AS,MATCH($I$1,Database!$A$1:$AS$1,),))))-(((VLOOKUP(EDATE(B59,-12),Database!$A:$AS,MATCH($I$1,Database!$A$1:$AS$1,),)))))/(((VLOOKUP(EDATE(B59,-12),Database!$A:$AS,MATCH($I$1,Database!$A$1:$AS$1,),))))</f>
        <v/>
      </c>
      <c r="J59" s="13">
        <f>((((VLOOKUP(B59,Database!$A:$AS,MATCH($J$1,Database!$A$1:$AS$1,),))))-(((VLOOKUP(EDATE(B59,-12),Database!$A:$AS,MATCH($J$1,Database!$A$1:$AS$1,),)))))/(((VLOOKUP(EDATE(B59,-12),Database!$A:$AS,MATCH($J$1,Database!$A$1:$AS$1,),))))</f>
        <v/>
      </c>
      <c r="K59" s="13">
        <f>((((VLOOKUP(B59,Database!$A:$AS,MATCH($K$1,Database!$A$1:$AS$1,),))))-(((VLOOKUP(EDATE(B59,-12),Database!$A:$AS,MATCH($K$1,Database!$A$1:$AS$1,),)))))/(((VLOOKUP(EDATE(B59,-12),Database!$A:$AS,MATCH($K$1,Database!$A$1:$AS$1,),))))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((((VLOOKUP(B59,Database!$A:$AS,MATCH($O$1,Database!$A$1:$AS$1,),))))-(((VLOOKUP(EDATE(B59,-12),Database!$A:$AS,MATCH($O$1,Database!$A$1:$AS$1,),)))))/(((VLOOKUP(EDATE(B59,-12),Database!$A:$AS,MATCH($O$1,Database!$A$1:$AS$1,),))))</f>
        <v/>
      </c>
      <c r="P59" s="13">
        <f>((((VLOOKUP(B59,Database!$A:$AS,MATCH($P$1,Database!$A$1:$AS$1,),))))-(((VLOOKUP(EDATE(B59,-12),Database!$A:$AS,MATCH($P$1,Database!$A$1:$AS$1,),)))))/(((VLOOKUP(EDATE(B59,-12),Database!$A:$AS,MATCH($P$1,Database!$A$1:$AS$1,),))))</f>
        <v/>
      </c>
      <c r="Q59" s="13">
        <f>((((VLOOKUP(B59,Database!$A:$AS,MATCH($Q$1,Database!$A$1:$AS$1,),))))-(((VLOOKUP(EDATE(B59,-12),Database!$A:$AS,MATCH($Q$1,Database!$A$1:$AS$1,),)))))/(((VLOOKUP(EDATE(B59,-12),Database!$A:$AS,MATCH($Q$1,Database!$A$1:$AS$1,),))))</f>
        <v/>
      </c>
      <c r="R59" s="13">
        <f>((((VLOOKUP(B59,Database!$A:$AS,MATCH($R$1,Database!$A$1:$AS$1,),))))-(((VLOOKUP(EDATE(B59,-12),Database!$A:$AS,MATCH($R$1,Database!$A$1:$AS$1,),)))))/(((VLOOKUP(EDATE(B59,-12),Database!$A:$AS,MATCH($R$1,Database!$A$1:$AS$1,),))))</f>
        <v/>
      </c>
      <c r="S59" s="13">
        <f>((((VLOOKUP(B59,Database!$A:$AS,MATCH($S$1,Database!$A$1:$AS$1,),))))-(((VLOOKUP(EDATE(B59,-12),Database!$A:$AS,MATCH($S$1,Database!$A$1:$AS$1,),)))))/(((VLOOKUP(EDATE(B59,-12),Database!$A:$AS,MATCH($S$1,Database!$A$1:$AS$1,),))))</f>
        <v/>
      </c>
      <c r="T59" s="13">
        <f>((((VLOOKUP(B59,Database!$A:$AS,MATCH($T$1,Database!$A$1:$AS$1,),))))-(((VLOOKUP(EDATE(B59,-12),Database!$A:$AS,MATCH($T$1,Database!$A$1:$AS$1,),)))))/(((VLOOKUP(EDATE(B59,-12),Database!$A:$AS,MATCH($T$1,Database!$A$1:$AS$1,),))))</f>
        <v/>
      </c>
      <c r="U59" s="13">
        <f>((((VLOOKUP(B59,Database!$A:$AS,MATCH($U$1,Database!$A$1:$AS$1,),))))-(((VLOOKUP(EDATE(B59,-12),Database!$A:$AS,MATCH($U$1,Database!$A$1:$AS$1,),)))))/(((VLOOKUP(EDATE(B59,-12),Database!$A:$AS,MATCH($U$1,Database!$A$1:$AS$1,),))))</f>
        <v/>
      </c>
      <c r="V59" s="13">
        <f>((((VLOOKUP(B59,Database!$A:$AS,MATCH($V$1,Database!$A$1:$AS$1,),))))-(((VLOOKUP(EDATE(B59,-12),Database!$A:$AS,MATCH($V$1,Database!$A$1:$AS$1,),)))))/(((VLOOKUP(EDATE(B59,-12),Database!$A:$AS,MATCH($V$1,Database!$A$1:$AS$1,),))))</f>
        <v/>
      </c>
    </row>
    <row r="60" customFormat="1" s="94">
      <c r="A60" s="44" t="n"/>
      <c r="B60" s="85" t="n">
        <v>33970</v>
      </c>
      <c r="C60" s="13">
        <f>((((VLOOKUP(B60,Database!$A:$AS,MATCH($C$1,Database!$A$1:$AS$1,),))))-(((VLOOKUP(EDATE(B60,-12),Database!$A:$AS,MATCH($C$1,Database!$A$1:$AS$1,),)))))/(((VLOOKUP(EDATE(B60,-12),Database!$A:$AS,MATCH($C$1,Database!$A$1:$AS$1,),))))</f>
        <v/>
      </c>
      <c r="D60" s="13">
        <f>((((VLOOKUP(B60,Database!$A:$AS,MATCH($D$1,Database!$A$1:$AS$1,),))))-(((VLOOKUP(EDATE(B60,-12),Database!$A:$AS,MATCH($D$1,Database!$A$1:$AS$1,),)))))/(((VLOOKUP(EDATE(B60,-12),Database!$A:$AS,MATCH($D$1,Database!$A$1:$AS$1,),))))</f>
        <v/>
      </c>
      <c r="E60" s="13">
        <f>((((VLOOKUP(B60,Database!$A:$AS,MATCH($E$1,Database!$A$1:$AS$1,),))))-(((VLOOKUP(EDATE(B60,-12),Database!$A:$AS,MATCH($E$1,Database!$A$1:$AS$1,),)))))/(((VLOOKUP(EDATE(B60,-12),Database!$A:$AS,MATCH($E$1,Database!$A$1:$AS$1,),))))</f>
        <v/>
      </c>
      <c r="F60" s="13">
        <f>((((VLOOKUP(B60,Database!$A:$AS,MATCH($F$1,Database!$A$1:$AS$1,),))))-(((VLOOKUP(EDATE(B60,-12),Database!$A:$AS,MATCH($F$1,Database!$A$1:$AS$1,),)))))/(((VLOOKUP(EDATE(B60,-12),Database!$A:$AS,MATCH($F$1,Database!$A$1:$AS$1,),))))</f>
        <v/>
      </c>
      <c r="G60" s="13">
        <f>((((VLOOKUP(B60,Database!$A:$AS,MATCH($G$1,Database!$A$1:$AS$1,),))))-(((VLOOKUP(EDATE(B60,-12),Database!$A:$AS,MATCH($G$1,Database!$A$1:$AS$1,),)))))/(((VLOOKUP(EDATE(B60,-12),Database!$A:$AS,MATCH($G$1,Database!$A$1:$AS$1,),))))</f>
        <v/>
      </c>
      <c r="H60" s="13">
        <f>((((VLOOKUP(B60,Database!$A:$AS,MATCH($H$1,Database!$A$1:$AS$1,),))))-(((VLOOKUP(EDATE(B60,-12),Database!$A:$AS,MATCH($H$1,Database!$A$1:$AS$1,),)))))/(((VLOOKUP(EDATE(B60,-12),Database!$A:$AS,MATCH($H$1,Database!$A$1:$AS$1,),))))</f>
        <v/>
      </c>
      <c r="I60" s="13">
        <f>((((VLOOKUP(B60,Database!$A:$AS,MATCH($I$1,Database!$A$1:$AS$1,),))))-(((VLOOKUP(EDATE(B60,-12),Database!$A:$AS,MATCH($I$1,Database!$A$1:$AS$1,),)))))/(((VLOOKUP(EDATE(B60,-12),Database!$A:$AS,MATCH($I$1,Database!$A$1:$AS$1,),))))</f>
        <v/>
      </c>
      <c r="J60" s="13">
        <f>((((VLOOKUP(B60,Database!$A:$AS,MATCH($J$1,Database!$A$1:$AS$1,),))))-(((VLOOKUP(EDATE(B60,-12),Database!$A:$AS,MATCH($J$1,Database!$A$1:$AS$1,),)))))/(((VLOOKUP(EDATE(B60,-12),Database!$A:$AS,MATCH($J$1,Database!$A$1:$AS$1,),))))</f>
        <v/>
      </c>
      <c r="K60" s="13">
        <f>((((VLOOKUP(B60,Database!$A:$AS,MATCH($K$1,Database!$A$1:$AS$1,),))))-(((VLOOKUP(EDATE(B60,-12),Database!$A:$AS,MATCH($K$1,Database!$A$1:$AS$1,),)))))/(((VLOOKUP(EDATE(B60,-12),Database!$A:$AS,MATCH($K$1,Database!$A$1:$AS$1,),))))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((((VLOOKUP(B60,Database!$A:$AS,MATCH($O$1,Database!$A$1:$AS$1,),))))-(((VLOOKUP(EDATE(B60,-12),Database!$A:$AS,MATCH($O$1,Database!$A$1:$AS$1,),)))))/(((VLOOKUP(EDATE(B60,-12),Database!$A:$AS,MATCH($O$1,Database!$A$1:$AS$1,),))))</f>
        <v/>
      </c>
      <c r="P60" s="13">
        <f>((((VLOOKUP(B60,Database!$A:$AS,MATCH($P$1,Database!$A$1:$AS$1,),))))-(((VLOOKUP(EDATE(B60,-12),Database!$A:$AS,MATCH($P$1,Database!$A$1:$AS$1,),)))))/(((VLOOKUP(EDATE(B60,-12),Database!$A:$AS,MATCH($P$1,Database!$A$1:$AS$1,),))))</f>
        <v/>
      </c>
      <c r="Q60" s="13">
        <f>((((VLOOKUP(B60,Database!$A:$AS,MATCH($Q$1,Database!$A$1:$AS$1,),))))-(((VLOOKUP(EDATE(B60,-12),Database!$A:$AS,MATCH($Q$1,Database!$A$1:$AS$1,),)))))/(((VLOOKUP(EDATE(B60,-12),Database!$A:$AS,MATCH($Q$1,Database!$A$1:$AS$1,),))))</f>
        <v/>
      </c>
      <c r="R60" s="13">
        <f>((((VLOOKUP(B60,Database!$A:$AS,MATCH($R$1,Database!$A$1:$AS$1,),))))-(((VLOOKUP(EDATE(B60,-12),Database!$A:$AS,MATCH($R$1,Database!$A$1:$AS$1,),)))))/(((VLOOKUP(EDATE(B60,-12),Database!$A:$AS,MATCH($R$1,Database!$A$1:$AS$1,),))))</f>
        <v/>
      </c>
      <c r="S60" s="13">
        <f>((((VLOOKUP(B60,Database!$A:$AS,MATCH($S$1,Database!$A$1:$AS$1,),))))-(((VLOOKUP(EDATE(B60,-12),Database!$A:$AS,MATCH($S$1,Database!$A$1:$AS$1,),)))))/(((VLOOKUP(EDATE(B60,-12),Database!$A:$AS,MATCH($S$1,Database!$A$1:$AS$1,),))))</f>
        <v/>
      </c>
      <c r="T60" s="13">
        <f>((((VLOOKUP(B60,Database!$A:$AS,MATCH($T$1,Database!$A$1:$AS$1,),))))-(((VLOOKUP(EDATE(B60,-12),Database!$A:$AS,MATCH($T$1,Database!$A$1:$AS$1,),)))))/(((VLOOKUP(EDATE(B60,-12),Database!$A:$AS,MATCH($T$1,Database!$A$1:$AS$1,),))))</f>
        <v/>
      </c>
      <c r="U60" s="13">
        <f>((((VLOOKUP(B60,Database!$A:$AS,MATCH($U$1,Database!$A$1:$AS$1,),))))-(((VLOOKUP(EDATE(B60,-12),Database!$A:$AS,MATCH($U$1,Database!$A$1:$AS$1,),)))))/(((VLOOKUP(EDATE(B60,-12),Database!$A:$AS,MATCH($U$1,Database!$A$1:$AS$1,),))))</f>
        <v/>
      </c>
      <c r="V60" s="13">
        <f>((((VLOOKUP(B60,Database!$A:$AS,MATCH($V$1,Database!$A$1:$AS$1,),))))-(((VLOOKUP(EDATE(B60,-12),Database!$A:$AS,MATCH($V$1,Database!$A$1:$AS$1,),)))))/(((VLOOKUP(EDATE(B60,-12),Database!$A:$AS,MATCH($V$1,Database!$A$1:$AS$1,),))))</f>
        <v/>
      </c>
    </row>
    <row r="61" customFormat="1" s="94">
      <c r="A61" s="44" t="n"/>
      <c r="B61" s="85" t="n">
        <v>34001</v>
      </c>
      <c r="C61" s="13">
        <f>((((VLOOKUP(B61,Database!$A:$AS,MATCH($C$1,Database!$A$1:$AS$1,),))))-(((VLOOKUP(EDATE(B61,-12),Database!$A:$AS,MATCH($C$1,Database!$A$1:$AS$1,),)))))/(((VLOOKUP(EDATE(B61,-12),Database!$A:$AS,MATCH($C$1,Database!$A$1:$AS$1,),))))</f>
        <v/>
      </c>
      <c r="D61" s="13">
        <f>((((VLOOKUP(B61,Database!$A:$AS,MATCH($D$1,Database!$A$1:$AS$1,),))))-(((VLOOKUP(EDATE(B61,-12),Database!$A:$AS,MATCH($D$1,Database!$A$1:$AS$1,),)))))/(((VLOOKUP(EDATE(B61,-12),Database!$A:$AS,MATCH($D$1,Database!$A$1:$AS$1,),))))</f>
        <v/>
      </c>
      <c r="E61" s="13">
        <f>((((VLOOKUP(B61,Database!$A:$AS,MATCH($E$1,Database!$A$1:$AS$1,),))))-(((VLOOKUP(EDATE(B61,-12),Database!$A:$AS,MATCH($E$1,Database!$A$1:$AS$1,),)))))/(((VLOOKUP(EDATE(B61,-12),Database!$A:$AS,MATCH($E$1,Database!$A$1:$AS$1,),))))</f>
        <v/>
      </c>
      <c r="F61" s="13">
        <f>((((VLOOKUP(B61,Database!$A:$AS,MATCH($F$1,Database!$A$1:$AS$1,),))))-(((VLOOKUP(EDATE(B61,-12),Database!$A:$AS,MATCH($F$1,Database!$A$1:$AS$1,),)))))/(((VLOOKUP(EDATE(B61,-12),Database!$A:$AS,MATCH($F$1,Database!$A$1:$AS$1,),))))</f>
        <v/>
      </c>
      <c r="G61" s="13">
        <f>((((VLOOKUP(B61,Database!$A:$AS,MATCH($G$1,Database!$A$1:$AS$1,),))))-(((VLOOKUP(EDATE(B61,-12),Database!$A:$AS,MATCH($G$1,Database!$A$1:$AS$1,),)))))/(((VLOOKUP(EDATE(B61,-12),Database!$A:$AS,MATCH($G$1,Database!$A$1:$AS$1,),))))</f>
        <v/>
      </c>
      <c r="H61" s="13">
        <f>((((VLOOKUP(B61,Database!$A:$AS,MATCH($H$1,Database!$A$1:$AS$1,),))))-(((VLOOKUP(EDATE(B61,-12),Database!$A:$AS,MATCH($H$1,Database!$A$1:$AS$1,),)))))/(((VLOOKUP(EDATE(B61,-12),Database!$A:$AS,MATCH($H$1,Database!$A$1:$AS$1,),))))</f>
        <v/>
      </c>
      <c r="I61" s="13">
        <f>((((VLOOKUP(B61,Database!$A:$AS,MATCH($I$1,Database!$A$1:$AS$1,),))))-(((VLOOKUP(EDATE(B61,-12),Database!$A:$AS,MATCH($I$1,Database!$A$1:$AS$1,),)))))/(((VLOOKUP(EDATE(B61,-12),Database!$A:$AS,MATCH($I$1,Database!$A$1:$AS$1,),))))</f>
        <v/>
      </c>
      <c r="J61" s="13">
        <f>((((VLOOKUP(B61,Database!$A:$AS,MATCH($J$1,Database!$A$1:$AS$1,),))))-(((VLOOKUP(EDATE(B61,-12),Database!$A:$AS,MATCH($J$1,Database!$A$1:$AS$1,),)))))/(((VLOOKUP(EDATE(B61,-12),Database!$A:$AS,MATCH($J$1,Database!$A$1:$AS$1,),))))</f>
        <v/>
      </c>
      <c r="K61" s="13">
        <f>((((VLOOKUP(B61,Database!$A:$AS,MATCH($K$1,Database!$A$1:$AS$1,),))))-(((VLOOKUP(EDATE(B61,-12),Database!$A:$AS,MATCH($K$1,Database!$A$1:$AS$1,),)))))/(((VLOOKUP(EDATE(B61,-12),Database!$A:$AS,MATCH($K$1,Database!$A$1:$AS$1,),))))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((((VLOOKUP(B61,Database!$A:$AS,MATCH($O$1,Database!$A$1:$AS$1,),))))-(((VLOOKUP(EDATE(B61,-12),Database!$A:$AS,MATCH($O$1,Database!$A$1:$AS$1,),)))))/(((VLOOKUP(EDATE(B61,-12),Database!$A:$AS,MATCH($O$1,Database!$A$1:$AS$1,),))))</f>
        <v/>
      </c>
      <c r="P61" s="13">
        <f>((((VLOOKUP(B61,Database!$A:$AS,MATCH($P$1,Database!$A$1:$AS$1,),))))-(((VLOOKUP(EDATE(B61,-12),Database!$A:$AS,MATCH($P$1,Database!$A$1:$AS$1,),)))))/(((VLOOKUP(EDATE(B61,-12),Database!$A:$AS,MATCH($P$1,Database!$A$1:$AS$1,),))))</f>
        <v/>
      </c>
      <c r="Q61" s="13">
        <f>((((VLOOKUP(B61,Database!$A:$AS,MATCH($Q$1,Database!$A$1:$AS$1,),))))-(((VLOOKUP(EDATE(B61,-12),Database!$A:$AS,MATCH($Q$1,Database!$A$1:$AS$1,),)))))/(((VLOOKUP(EDATE(B61,-12),Database!$A:$AS,MATCH($Q$1,Database!$A$1:$AS$1,),))))</f>
        <v/>
      </c>
      <c r="R61" s="13">
        <f>((((VLOOKUP(B61,Database!$A:$AS,MATCH($R$1,Database!$A$1:$AS$1,),))))-(((VLOOKUP(EDATE(B61,-12),Database!$A:$AS,MATCH($R$1,Database!$A$1:$AS$1,),)))))/(((VLOOKUP(EDATE(B61,-12),Database!$A:$AS,MATCH($R$1,Database!$A$1:$AS$1,),))))</f>
        <v/>
      </c>
      <c r="S61" s="13">
        <f>((((VLOOKUP(B61,Database!$A:$AS,MATCH($S$1,Database!$A$1:$AS$1,),))))-(((VLOOKUP(EDATE(B61,-12),Database!$A:$AS,MATCH($S$1,Database!$A$1:$AS$1,),)))))/(((VLOOKUP(EDATE(B61,-12),Database!$A:$AS,MATCH($S$1,Database!$A$1:$AS$1,),))))</f>
        <v/>
      </c>
      <c r="T61" s="13">
        <f>((((VLOOKUP(B61,Database!$A:$AS,MATCH($T$1,Database!$A$1:$AS$1,),))))-(((VLOOKUP(EDATE(B61,-12),Database!$A:$AS,MATCH($T$1,Database!$A$1:$AS$1,),)))))/(((VLOOKUP(EDATE(B61,-12),Database!$A:$AS,MATCH($T$1,Database!$A$1:$AS$1,),))))</f>
        <v/>
      </c>
      <c r="U61" s="13">
        <f>((((VLOOKUP(B61,Database!$A:$AS,MATCH($U$1,Database!$A$1:$AS$1,),))))-(((VLOOKUP(EDATE(B61,-12),Database!$A:$AS,MATCH($U$1,Database!$A$1:$AS$1,),)))))/(((VLOOKUP(EDATE(B61,-12),Database!$A:$AS,MATCH($U$1,Database!$A$1:$AS$1,),))))</f>
        <v/>
      </c>
      <c r="V61" s="13">
        <f>((((VLOOKUP(B61,Database!$A:$AS,MATCH($V$1,Database!$A$1:$AS$1,),))))-(((VLOOKUP(EDATE(B61,-12),Database!$A:$AS,MATCH($V$1,Database!$A$1:$AS$1,),)))))/(((VLOOKUP(EDATE(B61,-12),Database!$A:$AS,MATCH($V$1,Database!$A$1:$AS$1,),))))</f>
        <v/>
      </c>
    </row>
    <row r="62" customFormat="1" s="94">
      <c r="A62" s="44" t="n"/>
      <c r="B62" s="85" t="n">
        <v>34029</v>
      </c>
      <c r="C62" s="13">
        <f>((((VLOOKUP(B62,Database!$A:$AS,MATCH($C$1,Database!$A$1:$AS$1,),))))-(((VLOOKUP(EDATE(B62,-12),Database!$A:$AS,MATCH($C$1,Database!$A$1:$AS$1,),)))))/(((VLOOKUP(EDATE(B62,-12),Database!$A:$AS,MATCH($C$1,Database!$A$1:$AS$1,),))))</f>
        <v/>
      </c>
      <c r="D62" s="13">
        <f>((((VLOOKUP(B62,Database!$A:$AS,MATCH($D$1,Database!$A$1:$AS$1,),))))-(((VLOOKUP(EDATE(B62,-12),Database!$A:$AS,MATCH($D$1,Database!$A$1:$AS$1,),)))))/(((VLOOKUP(EDATE(B62,-12),Database!$A:$AS,MATCH($D$1,Database!$A$1:$AS$1,),))))</f>
        <v/>
      </c>
      <c r="E62" s="13">
        <f>((((VLOOKUP(B62,Database!$A:$AS,MATCH($E$1,Database!$A$1:$AS$1,),))))-(((VLOOKUP(EDATE(B62,-12),Database!$A:$AS,MATCH($E$1,Database!$A$1:$AS$1,),)))))/(((VLOOKUP(EDATE(B62,-12),Database!$A:$AS,MATCH($E$1,Database!$A$1:$AS$1,),))))</f>
        <v/>
      </c>
      <c r="F62" s="13">
        <f>((((VLOOKUP(B62,Database!$A:$AS,MATCH($F$1,Database!$A$1:$AS$1,),))))-(((VLOOKUP(EDATE(B62,-12),Database!$A:$AS,MATCH($F$1,Database!$A$1:$AS$1,),)))))/(((VLOOKUP(EDATE(B62,-12),Database!$A:$AS,MATCH($F$1,Database!$A$1:$AS$1,),))))</f>
        <v/>
      </c>
      <c r="G62" s="13">
        <f>((((VLOOKUP(B62,Database!$A:$AS,MATCH($G$1,Database!$A$1:$AS$1,),))))-(((VLOOKUP(EDATE(B62,-12),Database!$A:$AS,MATCH($G$1,Database!$A$1:$AS$1,),)))))/(((VLOOKUP(EDATE(B62,-12),Database!$A:$AS,MATCH($G$1,Database!$A$1:$AS$1,),))))</f>
        <v/>
      </c>
      <c r="H62" s="13">
        <f>((((VLOOKUP(B62,Database!$A:$AS,MATCH($H$1,Database!$A$1:$AS$1,),))))-(((VLOOKUP(EDATE(B62,-12),Database!$A:$AS,MATCH($H$1,Database!$A$1:$AS$1,),)))))/(((VLOOKUP(EDATE(B62,-12),Database!$A:$AS,MATCH($H$1,Database!$A$1:$AS$1,),))))</f>
        <v/>
      </c>
      <c r="I62" s="13">
        <f>((((VLOOKUP(B62,Database!$A:$AS,MATCH($I$1,Database!$A$1:$AS$1,),))))-(((VLOOKUP(EDATE(B62,-12),Database!$A:$AS,MATCH($I$1,Database!$A$1:$AS$1,),)))))/(((VLOOKUP(EDATE(B62,-12),Database!$A:$AS,MATCH($I$1,Database!$A$1:$AS$1,),))))</f>
        <v/>
      </c>
      <c r="J62" s="13">
        <f>((((VLOOKUP(B62,Database!$A:$AS,MATCH($J$1,Database!$A$1:$AS$1,),))))-(((VLOOKUP(EDATE(B62,-12),Database!$A:$AS,MATCH($J$1,Database!$A$1:$AS$1,),)))))/(((VLOOKUP(EDATE(B62,-12),Database!$A:$AS,MATCH($J$1,Database!$A$1:$AS$1,),))))</f>
        <v/>
      </c>
      <c r="K62" s="13">
        <f>((((VLOOKUP(B62,Database!$A:$AS,MATCH($K$1,Database!$A$1:$AS$1,),))))-(((VLOOKUP(EDATE(B62,-12),Database!$A:$AS,MATCH($K$1,Database!$A$1:$AS$1,),)))))/(((VLOOKUP(EDATE(B62,-12),Database!$A:$AS,MATCH($K$1,Database!$A$1:$AS$1,),))))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((((VLOOKUP(B62,Database!$A:$AS,MATCH($O$1,Database!$A$1:$AS$1,),))))-(((VLOOKUP(EDATE(B62,-12),Database!$A:$AS,MATCH($O$1,Database!$A$1:$AS$1,),)))))/(((VLOOKUP(EDATE(B62,-12),Database!$A:$AS,MATCH($O$1,Database!$A$1:$AS$1,),))))</f>
        <v/>
      </c>
      <c r="P62" s="13">
        <f>((((VLOOKUP(B62,Database!$A:$AS,MATCH($P$1,Database!$A$1:$AS$1,),))))-(((VLOOKUP(EDATE(B62,-12),Database!$A:$AS,MATCH($P$1,Database!$A$1:$AS$1,),)))))/(((VLOOKUP(EDATE(B62,-12),Database!$A:$AS,MATCH($P$1,Database!$A$1:$AS$1,),))))</f>
        <v/>
      </c>
      <c r="Q62" s="13">
        <f>((((VLOOKUP(B62,Database!$A:$AS,MATCH($Q$1,Database!$A$1:$AS$1,),))))-(((VLOOKUP(EDATE(B62,-12),Database!$A:$AS,MATCH($Q$1,Database!$A$1:$AS$1,),)))))/(((VLOOKUP(EDATE(B62,-12),Database!$A:$AS,MATCH($Q$1,Database!$A$1:$AS$1,),))))</f>
        <v/>
      </c>
      <c r="R62" s="13">
        <f>((((VLOOKUP(B62,Database!$A:$AS,MATCH($R$1,Database!$A$1:$AS$1,),))))-(((VLOOKUP(EDATE(B62,-12),Database!$A:$AS,MATCH($R$1,Database!$A$1:$AS$1,),)))))/(((VLOOKUP(EDATE(B62,-12),Database!$A:$AS,MATCH($R$1,Database!$A$1:$AS$1,),))))</f>
        <v/>
      </c>
      <c r="S62" s="13">
        <f>((((VLOOKUP(B62,Database!$A:$AS,MATCH($S$1,Database!$A$1:$AS$1,),))))-(((VLOOKUP(EDATE(B62,-12),Database!$A:$AS,MATCH($S$1,Database!$A$1:$AS$1,),)))))/(((VLOOKUP(EDATE(B62,-12),Database!$A:$AS,MATCH($S$1,Database!$A$1:$AS$1,),))))</f>
        <v/>
      </c>
      <c r="T62" s="13">
        <f>((((VLOOKUP(B62,Database!$A:$AS,MATCH($T$1,Database!$A$1:$AS$1,),))))-(((VLOOKUP(EDATE(B62,-12),Database!$A:$AS,MATCH($T$1,Database!$A$1:$AS$1,),)))))/(((VLOOKUP(EDATE(B62,-12),Database!$A:$AS,MATCH($T$1,Database!$A$1:$AS$1,),))))</f>
        <v/>
      </c>
      <c r="U62" s="13">
        <f>((((VLOOKUP(B62,Database!$A:$AS,MATCH($U$1,Database!$A$1:$AS$1,),))))-(((VLOOKUP(EDATE(B62,-12),Database!$A:$AS,MATCH($U$1,Database!$A$1:$AS$1,),)))))/(((VLOOKUP(EDATE(B62,-12),Database!$A:$AS,MATCH($U$1,Database!$A$1:$AS$1,),))))</f>
        <v/>
      </c>
      <c r="V62" s="13">
        <f>((((VLOOKUP(B62,Database!$A:$AS,MATCH($V$1,Database!$A$1:$AS$1,),))))-(((VLOOKUP(EDATE(B62,-12),Database!$A:$AS,MATCH($V$1,Database!$A$1:$AS$1,),)))))/(((VLOOKUP(EDATE(B62,-12),Database!$A:$AS,MATCH($V$1,Database!$A$1:$AS$1,),))))</f>
        <v/>
      </c>
    </row>
    <row r="63" customFormat="1" s="94">
      <c r="A63" s="44" t="n"/>
      <c r="B63" s="85" t="n">
        <v>34060</v>
      </c>
      <c r="C63" s="13">
        <f>((((VLOOKUP(B63,Database!$A:$AS,MATCH($C$1,Database!$A$1:$AS$1,),))))-(((VLOOKUP(EDATE(B63,-12),Database!$A:$AS,MATCH($C$1,Database!$A$1:$AS$1,),)))))/(((VLOOKUP(EDATE(B63,-12),Database!$A:$AS,MATCH($C$1,Database!$A$1:$AS$1,),))))</f>
        <v/>
      </c>
      <c r="D63" s="13">
        <f>((((VLOOKUP(B63,Database!$A:$AS,MATCH($D$1,Database!$A$1:$AS$1,),))))-(((VLOOKUP(EDATE(B63,-12),Database!$A:$AS,MATCH($D$1,Database!$A$1:$AS$1,),)))))/(((VLOOKUP(EDATE(B63,-12),Database!$A:$AS,MATCH($D$1,Database!$A$1:$AS$1,),))))</f>
        <v/>
      </c>
      <c r="E63" s="13">
        <f>((((VLOOKUP(B63,Database!$A:$AS,MATCH($E$1,Database!$A$1:$AS$1,),))))-(((VLOOKUP(EDATE(B63,-12),Database!$A:$AS,MATCH($E$1,Database!$A$1:$AS$1,),)))))/(((VLOOKUP(EDATE(B63,-12),Database!$A:$AS,MATCH($E$1,Database!$A$1:$AS$1,),))))</f>
        <v/>
      </c>
      <c r="F63" s="13">
        <f>((((VLOOKUP(B63,Database!$A:$AS,MATCH($F$1,Database!$A$1:$AS$1,),))))-(((VLOOKUP(EDATE(B63,-12),Database!$A:$AS,MATCH($F$1,Database!$A$1:$AS$1,),)))))/(((VLOOKUP(EDATE(B63,-12),Database!$A:$AS,MATCH($F$1,Database!$A$1:$AS$1,),))))</f>
        <v/>
      </c>
      <c r="G63" s="13">
        <f>((((VLOOKUP(B63,Database!$A:$AS,MATCH($G$1,Database!$A$1:$AS$1,),))))-(((VLOOKUP(EDATE(B63,-12),Database!$A:$AS,MATCH($G$1,Database!$A$1:$AS$1,),)))))/(((VLOOKUP(EDATE(B63,-12),Database!$A:$AS,MATCH($G$1,Database!$A$1:$AS$1,),))))</f>
        <v/>
      </c>
      <c r="H63" s="13">
        <f>((((VLOOKUP(B63,Database!$A:$AS,MATCH($H$1,Database!$A$1:$AS$1,),))))-(((VLOOKUP(EDATE(B63,-12),Database!$A:$AS,MATCH($H$1,Database!$A$1:$AS$1,),)))))/(((VLOOKUP(EDATE(B63,-12),Database!$A:$AS,MATCH($H$1,Database!$A$1:$AS$1,),))))</f>
        <v/>
      </c>
      <c r="I63" s="13">
        <f>((((VLOOKUP(B63,Database!$A:$AS,MATCH($I$1,Database!$A$1:$AS$1,),))))-(((VLOOKUP(EDATE(B63,-12),Database!$A:$AS,MATCH($I$1,Database!$A$1:$AS$1,),)))))/(((VLOOKUP(EDATE(B63,-12),Database!$A:$AS,MATCH($I$1,Database!$A$1:$AS$1,),))))</f>
        <v/>
      </c>
      <c r="J63" s="13">
        <f>((((VLOOKUP(B63,Database!$A:$AS,MATCH($J$1,Database!$A$1:$AS$1,),))))-(((VLOOKUP(EDATE(B63,-12),Database!$A:$AS,MATCH($J$1,Database!$A$1:$AS$1,),)))))/(((VLOOKUP(EDATE(B63,-12),Database!$A:$AS,MATCH($J$1,Database!$A$1:$AS$1,),))))</f>
        <v/>
      </c>
      <c r="K63" s="13">
        <f>((((VLOOKUP(B63,Database!$A:$AS,MATCH($K$1,Database!$A$1:$AS$1,),))))-(((VLOOKUP(EDATE(B63,-12),Database!$A:$AS,MATCH($K$1,Database!$A$1:$AS$1,),)))))/(((VLOOKUP(EDATE(B63,-12),Database!$A:$AS,MATCH($K$1,Database!$A$1:$AS$1,),))))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((((VLOOKUP(B63,Database!$A:$AS,MATCH($O$1,Database!$A$1:$AS$1,),))))-(((VLOOKUP(EDATE(B63,-12),Database!$A:$AS,MATCH($O$1,Database!$A$1:$AS$1,),)))))/(((VLOOKUP(EDATE(B63,-12),Database!$A:$AS,MATCH($O$1,Database!$A$1:$AS$1,),))))</f>
        <v/>
      </c>
      <c r="P63" s="13">
        <f>((((VLOOKUP(B63,Database!$A:$AS,MATCH($P$1,Database!$A$1:$AS$1,),))))-(((VLOOKUP(EDATE(B63,-12),Database!$A:$AS,MATCH($P$1,Database!$A$1:$AS$1,),)))))/(((VLOOKUP(EDATE(B63,-12),Database!$A:$AS,MATCH($P$1,Database!$A$1:$AS$1,),))))</f>
        <v/>
      </c>
      <c r="Q63" s="13">
        <f>((((VLOOKUP(B63,Database!$A:$AS,MATCH($Q$1,Database!$A$1:$AS$1,),))))-(((VLOOKUP(EDATE(B63,-12),Database!$A:$AS,MATCH($Q$1,Database!$A$1:$AS$1,),)))))/(((VLOOKUP(EDATE(B63,-12),Database!$A:$AS,MATCH($Q$1,Database!$A$1:$AS$1,),))))</f>
        <v/>
      </c>
      <c r="R63" s="13">
        <f>((((VLOOKUP(B63,Database!$A:$AS,MATCH($R$1,Database!$A$1:$AS$1,),))))-(((VLOOKUP(EDATE(B63,-12),Database!$A:$AS,MATCH($R$1,Database!$A$1:$AS$1,),)))))/(((VLOOKUP(EDATE(B63,-12),Database!$A:$AS,MATCH($R$1,Database!$A$1:$AS$1,),))))</f>
        <v/>
      </c>
      <c r="S63" s="13">
        <f>((((VLOOKUP(B63,Database!$A:$AS,MATCH($S$1,Database!$A$1:$AS$1,),))))-(((VLOOKUP(EDATE(B63,-12),Database!$A:$AS,MATCH($S$1,Database!$A$1:$AS$1,),)))))/(((VLOOKUP(EDATE(B63,-12),Database!$A:$AS,MATCH($S$1,Database!$A$1:$AS$1,),))))</f>
        <v/>
      </c>
      <c r="T63" s="13">
        <f>((((VLOOKUP(B63,Database!$A:$AS,MATCH($T$1,Database!$A$1:$AS$1,),))))-(((VLOOKUP(EDATE(B63,-12),Database!$A:$AS,MATCH($T$1,Database!$A$1:$AS$1,),)))))/(((VLOOKUP(EDATE(B63,-12),Database!$A:$AS,MATCH($T$1,Database!$A$1:$AS$1,),))))</f>
        <v/>
      </c>
      <c r="U63" s="13">
        <f>((((VLOOKUP(B63,Database!$A:$AS,MATCH($U$1,Database!$A$1:$AS$1,),))))-(((VLOOKUP(EDATE(B63,-12),Database!$A:$AS,MATCH($U$1,Database!$A$1:$AS$1,),)))))/(((VLOOKUP(EDATE(B63,-12),Database!$A:$AS,MATCH($U$1,Database!$A$1:$AS$1,),))))</f>
        <v/>
      </c>
      <c r="V63" s="13">
        <f>((((VLOOKUP(B63,Database!$A:$AS,MATCH($V$1,Database!$A$1:$AS$1,),))))-(((VLOOKUP(EDATE(B63,-12),Database!$A:$AS,MATCH($V$1,Database!$A$1:$AS$1,),)))))/(((VLOOKUP(EDATE(B63,-12),Database!$A:$AS,MATCH($V$1,Database!$A$1:$AS$1,),))))</f>
        <v/>
      </c>
    </row>
    <row r="64" customFormat="1" s="94">
      <c r="A64" s="44" t="n"/>
      <c r="B64" s="85" t="n">
        <v>34090</v>
      </c>
      <c r="C64" s="13">
        <f>((((VLOOKUP(B64,Database!$A:$AS,MATCH($C$1,Database!$A$1:$AS$1,),))))-(((VLOOKUP(EDATE(B64,-12),Database!$A:$AS,MATCH($C$1,Database!$A$1:$AS$1,),)))))/(((VLOOKUP(EDATE(B64,-12),Database!$A:$AS,MATCH($C$1,Database!$A$1:$AS$1,),))))</f>
        <v/>
      </c>
      <c r="D64" s="13">
        <f>((((VLOOKUP(B64,Database!$A:$AS,MATCH($D$1,Database!$A$1:$AS$1,),))))-(((VLOOKUP(EDATE(B64,-12),Database!$A:$AS,MATCH($D$1,Database!$A$1:$AS$1,),)))))/(((VLOOKUP(EDATE(B64,-12),Database!$A:$AS,MATCH($D$1,Database!$A$1:$AS$1,),))))</f>
        <v/>
      </c>
      <c r="E64" s="13">
        <f>((((VLOOKUP(B64,Database!$A:$AS,MATCH($E$1,Database!$A$1:$AS$1,),))))-(((VLOOKUP(EDATE(B64,-12),Database!$A:$AS,MATCH($E$1,Database!$A$1:$AS$1,),)))))/(((VLOOKUP(EDATE(B64,-12),Database!$A:$AS,MATCH($E$1,Database!$A$1:$AS$1,),))))</f>
        <v/>
      </c>
      <c r="F64" s="13">
        <f>((((VLOOKUP(B64,Database!$A:$AS,MATCH($F$1,Database!$A$1:$AS$1,),))))-(((VLOOKUP(EDATE(B64,-12),Database!$A:$AS,MATCH($F$1,Database!$A$1:$AS$1,),)))))/(((VLOOKUP(EDATE(B64,-12),Database!$A:$AS,MATCH($F$1,Database!$A$1:$AS$1,),))))</f>
        <v/>
      </c>
      <c r="G64" s="13">
        <f>((((VLOOKUP(B64,Database!$A:$AS,MATCH($G$1,Database!$A$1:$AS$1,),))))-(((VLOOKUP(EDATE(B64,-12),Database!$A:$AS,MATCH($G$1,Database!$A$1:$AS$1,),)))))/(((VLOOKUP(EDATE(B64,-12),Database!$A:$AS,MATCH($G$1,Database!$A$1:$AS$1,),))))</f>
        <v/>
      </c>
      <c r="H64" s="13">
        <f>((((VLOOKUP(B64,Database!$A:$AS,MATCH($H$1,Database!$A$1:$AS$1,),))))-(((VLOOKUP(EDATE(B64,-12),Database!$A:$AS,MATCH($H$1,Database!$A$1:$AS$1,),)))))/(((VLOOKUP(EDATE(B64,-12),Database!$A:$AS,MATCH($H$1,Database!$A$1:$AS$1,),))))</f>
        <v/>
      </c>
      <c r="I64" s="13">
        <f>((((VLOOKUP(B64,Database!$A:$AS,MATCH($I$1,Database!$A$1:$AS$1,),))))-(((VLOOKUP(EDATE(B64,-12),Database!$A:$AS,MATCH($I$1,Database!$A$1:$AS$1,),)))))/(((VLOOKUP(EDATE(B64,-12),Database!$A:$AS,MATCH($I$1,Database!$A$1:$AS$1,),))))</f>
        <v/>
      </c>
      <c r="J64" s="13">
        <f>((((VLOOKUP(B64,Database!$A:$AS,MATCH($J$1,Database!$A$1:$AS$1,),))))-(((VLOOKUP(EDATE(B64,-12),Database!$A:$AS,MATCH($J$1,Database!$A$1:$AS$1,),)))))/(((VLOOKUP(EDATE(B64,-12),Database!$A:$AS,MATCH($J$1,Database!$A$1:$AS$1,),))))</f>
        <v/>
      </c>
      <c r="K64" s="13">
        <f>((((VLOOKUP(B64,Database!$A:$AS,MATCH($K$1,Database!$A$1:$AS$1,),))))-(((VLOOKUP(EDATE(B64,-12),Database!$A:$AS,MATCH($K$1,Database!$A$1:$AS$1,),)))))/(((VLOOKUP(EDATE(B64,-12),Database!$A:$AS,MATCH($K$1,Database!$A$1:$AS$1,),))))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((((VLOOKUP(B64,Database!$A:$AS,MATCH($O$1,Database!$A$1:$AS$1,),))))-(((VLOOKUP(EDATE(B64,-12),Database!$A:$AS,MATCH($O$1,Database!$A$1:$AS$1,),)))))/(((VLOOKUP(EDATE(B64,-12),Database!$A:$AS,MATCH($O$1,Database!$A$1:$AS$1,),))))</f>
        <v/>
      </c>
      <c r="P64" s="13">
        <f>((((VLOOKUP(B64,Database!$A:$AS,MATCH($P$1,Database!$A$1:$AS$1,),))))-(((VLOOKUP(EDATE(B64,-12),Database!$A:$AS,MATCH($P$1,Database!$A$1:$AS$1,),)))))/(((VLOOKUP(EDATE(B64,-12),Database!$A:$AS,MATCH($P$1,Database!$A$1:$AS$1,),))))</f>
        <v/>
      </c>
      <c r="Q64" s="13">
        <f>((((VLOOKUP(B64,Database!$A:$AS,MATCH($Q$1,Database!$A$1:$AS$1,),))))-(((VLOOKUP(EDATE(B64,-12),Database!$A:$AS,MATCH($Q$1,Database!$A$1:$AS$1,),)))))/(((VLOOKUP(EDATE(B64,-12),Database!$A:$AS,MATCH($Q$1,Database!$A$1:$AS$1,),))))</f>
        <v/>
      </c>
      <c r="R64" s="13">
        <f>((((VLOOKUP(B64,Database!$A:$AS,MATCH($R$1,Database!$A$1:$AS$1,),))))-(((VLOOKUP(EDATE(B64,-12),Database!$A:$AS,MATCH($R$1,Database!$A$1:$AS$1,),)))))/(((VLOOKUP(EDATE(B64,-12),Database!$A:$AS,MATCH($R$1,Database!$A$1:$AS$1,),))))</f>
        <v/>
      </c>
      <c r="S64" s="13">
        <f>((((VLOOKUP(B64,Database!$A:$AS,MATCH($S$1,Database!$A$1:$AS$1,),))))-(((VLOOKUP(EDATE(B64,-12),Database!$A:$AS,MATCH($S$1,Database!$A$1:$AS$1,),)))))/(((VLOOKUP(EDATE(B64,-12),Database!$A:$AS,MATCH($S$1,Database!$A$1:$AS$1,),))))</f>
        <v/>
      </c>
      <c r="T64" s="13">
        <f>((((VLOOKUP(B64,Database!$A:$AS,MATCH($T$1,Database!$A$1:$AS$1,),))))-(((VLOOKUP(EDATE(B64,-12),Database!$A:$AS,MATCH($T$1,Database!$A$1:$AS$1,),)))))/(((VLOOKUP(EDATE(B64,-12),Database!$A:$AS,MATCH($T$1,Database!$A$1:$AS$1,),))))</f>
        <v/>
      </c>
      <c r="U64" s="13">
        <f>((((VLOOKUP(B64,Database!$A:$AS,MATCH($U$1,Database!$A$1:$AS$1,),))))-(((VLOOKUP(EDATE(B64,-12),Database!$A:$AS,MATCH($U$1,Database!$A$1:$AS$1,),)))))/(((VLOOKUP(EDATE(B64,-12),Database!$A:$AS,MATCH($U$1,Database!$A$1:$AS$1,),))))</f>
        <v/>
      </c>
      <c r="V64" s="13">
        <f>((((VLOOKUP(B64,Database!$A:$AS,MATCH($V$1,Database!$A$1:$AS$1,),))))-(((VLOOKUP(EDATE(B64,-12),Database!$A:$AS,MATCH($V$1,Database!$A$1:$AS$1,),)))))/(((VLOOKUP(EDATE(B64,-12),Database!$A:$AS,MATCH($V$1,Database!$A$1:$AS$1,),))))</f>
        <v/>
      </c>
    </row>
    <row r="65" customFormat="1" s="94">
      <c r="A65" s="44" t="n"/>
      <c r="B65" s="85" t="n">
        <v>34121</v>
      </c>
      <c r="C65" s="13">
        <f>((((VLOOKUP(B65,Database!$A:$AS,MATCH($C$1,Database!$A$1:$AS$1,),))))-(((VLOOKUP(EDATE(B65,-12),Database!$A:$AS,MATCH($C$1,Database!$A$1:$AS$1,),)))))/(((VLOOKUP(EDATE(B65,-12),Database!$A:$AS,MATCH($C$1,Database!$A$1:$AS$1,),))))</f>
        <v/>
      </c>
      <c r="D65" s="13">
        <f>((((VLOOKUP(B65,Database!$A:$AS,MATCH($D$1,Database!$A$1:$AS$1,),))))-(((VLOOKUP(EDATE(B65,-12),Database!$A:$AS,MATCH($D$1,Database!$A$1:$AS$1,),)))))/(((VLOOKUP(EDATE(B65,-12),Database!$A:$AS,MATCH($D$1,Database!$A$1:$AS$1,),))))</f>
        <v/>
      </c>
      <c r="E65" s="13">
        <f>((((VLOOKUP(B65,Database!$A:$AS,MATCH($E$1,Database!$A$1:$AS$1,),))))-(((VLOOKUP(EDATE(B65,-12),Database!$A:$AS,MATCH($E$1,Database!$A$1:$AS$1,),)))))/(((VLOOKUP(EDATE(B65,-12),Database!$A:$AS,MATCH($E$1,Database!$A$1:$AS$1,),))))</f>
        <v/>
      </c>
      <c r="F65" s="13">
        <f>((((VLOOKUP(B65,Database!$A:$AS,MATCH($F$1,Database!$A$1:$AS$1,),))))-(((VLOOKUP(EDATE(B65,-12),Database!$A:$AS,MATCH($F$1,Database!$A$1:$AS$1,),)))))/(((VLOOKUP(EDATE(B65,-12),Database!$A:$AS,MATCH($F$1,Database!$A$1:$AS$1,),))))</f>
        <v/>
      </c>
      <c r="G65" s="13">
        <f>((((VLOOKUP(B65,Database!$A:$AS,MATCH($G$1,Database!$A$1:$AS$1,),))))-(((VLOOKUP(EDATE(B65,-12),Database!$A:$AS,MATCH($G$1,Database!$A$1:$AS$1,),)))))/(((VLOOKUP(EDATE(B65,-12),Database!$A:$AS,MATCH($G$1,Database!$A$1:$AS$1,),))))</f>
        <v/>
      </c>
      <c r="H65" s="13">
        <f>((((VLOOKUP(B65,Database!$A:$AS,MATCH($H$1,Database!$A$1:$AS$1,),))))-(((VLOOKUP(EDATE(B65,-12),Database!$A:$AS,MATCH($H$1,Database!$A$1:$AS$1,),)))))/(((VLOOKUP(EDATE(B65,-12),Database!$A:$AS,MATCH($H$1,Database!$A$1:$AS$1,),))))</f>
        <v/>
      </c>
      <c r="I65" s="13">
        <f>((((VLOOKUP(B65,Database!$A:$AS,MATCH($I$1,Database!$A$1:$AS$1,),))))-(((VLOOKUP(EDATE(B65,-12),Database!$A:$AS,MATCH($I$1,Database!$A$1:$AS$1,),)))))/(((VLOOKUP(EDATE(B65,-12),Database!$A:$AS,MATCH($I$1,Database!$A$1:$AS$1,),))))</f>
        <v/>
      </c>
      <c r="J65" s="13">
        <f>((((VLOOKUP(B65,Database!$A:$AS,MATCH($J$1,Database!$A$1:$AS$1,),))))-(((VLOOKUP(EDATE(B65,-12),Database!$A:$AS,MATCH($J$1,Database!$A$1:$AS$1,),)))))/(((VLOOKUP(EDATE(B65,-12),Database!$A:$AS,MATCH($J$1,Database!$A$1:$AS$1,),))))</f>
        <v/>
      </c>
      <c r="K65" s="13">
        <f>((((VLOOKUP(B65,Database!$A:$AS,MATCH($K$1,Database!$A$1:$AS$1,),))))-(((VLOOKUP(EDATE(B65,-12),Database!$A:$AS,MATCH($K$1,Database!$A$1:$AS$1,),)))))/(((VLOOKUP(EDATE(B65,-12),Database!$A:$AS,MATCH($K$1,Database!$A$1:$AS$1,),))))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((((VLOOKUP(B65,Database!$A:$AS,MATCH($O$1,Database!$A$1:$AS$1,),))))-(((VLOOKUP(EDATE(B65,-12),Database!$A:$AS,MATCH($O$1,Database!$A$1:$AS$1,),)))))/(((VLOOKUP(EDATE(B65,-12),Database!$A:$AS,MATCH($O$1,Database!$A$1:$AS$1,),))))</f>
        <v/>
      </c>
      <c r="P65" s="13">
        <f>((((VLOOKUP(B65,Database!$A:$AS,MATCH($P$1,Database!$A$1:$AS$1,),))))-(((VLOOKUP(EDATE(B65,-12),Database!$A:$AS,MATCH($P$1,Database!$A$1:$AS$1,),)))))/(((VLOOKUP(EDATE(B65,-12),Database!$A:$AS,MATCH($P$1,Database!$A$1:$AS$1,),))))</f>
        <v/>
      </c>
      <c r="Q65" s="13">
        <f>((((VLOOKUP(B65,Database!$A:$AS,MATCH($Q$1,Database!$A$1:$AS$1,),))))-(((VLOOKUP(EDATE(B65,-12),Database!$A:$AS,MATCH($Q$1,Database!$A$1:$AS$1,),)))))/(((VLOOKUP(EDATE(B65,-12),Database!$A:$AS,MATCH($Q$1,Database!$A$1:$AS$1,),))))</f>
        <v/>
      </c>
      <c r="R65" s="13">
        <f>((((VLOOKUP(B65,Database!$A:$AS,MATCH($R$1,Database!$A$1:$AS$1,),))))-(((VLOOKUP(EDATE(B65,-12),Database!$A:$AS,MATCH($R$1,Database!$A$1:$AS$1,),)))))/(((VLOOKUP(EDATE(B65,-12),Database!$A:$AS,MATCH($R$1,Database!$A$1:$AS$1,),))))</f>
        <v/>
      </c>
      <c r="S65" s="13">
        <f>((((VLOOKUP(B65,Database!$A:$AS,MATCH($S$1,Database!$A$1:$AS$1,),))))-(((VLOOKUP(EDATE(B65,-12),Database!$A:$AS,MATCH($S$1,Database!$A$1:$AS$1,),)))))/(((VLOOKUP(EDATE(B65,-12),Database!$A:$AS,MATCH($S$1,Database!$A$1:$AS$1,),))))</f>
        <v/>
      </c>
      <c r="T65" s="13">
        <f>((((VLOOKUP(B65,Database!$A:$AS,MATCH($T$1,Database!$A$1:$AS$1,),))))-(((VLOOKUP(EDATE(B65,-12),Database!$A:$AS,MATCH($T$1,Database!$A$1:$AS$1,),)))))/(((VLOOKUP(EDATE(B65,-12),Database!$A:$AS,MATCH($T$1,Database!$A$1:$AS$1,),))))</f>
        <v/>
      </c>
      <c r="U65" s="13">
        <f>((((VLOOKUP(B65,Database!$A:$AS,MATCH($U$1,Database!$A$1:$AS$1,),))))-(((VLOOKUP(EDATE(B65,-12),Database!$A:$AS,MATCH($U$1,Database!$A$1:$AS$1,),)))))/(((VLOOKUP(EDATE(B65,-12),Database!$A:$AS,MATCH($U$1,Database!$A$1:$AS$1,),))))</f>
        <v/>
      </c>
      <c r="V65" s="13">
        <f>((((VLOOKUP(B65,Database!$A:$AS,MATCH($V$1,Database!$A$1:$AS$1,),))))-(((VLOOKUP(EDATE(B65,-12),Database!$A:$AS,MATCH($V$1,Database!$A$1:$AS$1,),)))))/(((VLOOKUP(EDATE(B65,-12),Database!$A:$AS,MATCH($V$1,Database!$A$1:$AS$1,),))))</f>
        <v/>
      </c>
    </row>
    <row r="66" customFormat="1" s="94">
      <c r="A66" s="44" t="n"/>
      <c r="B66" s="85" t="n">
        <v>34151</v>
      </c>
      <c r="C66" s="13">
        <f>((((VLOOKUP(B66,Database!$A:$AS,MATCH($C$1,Database!$A$1:$AS$1,),))))-(((VLOOKUP(EDATE(B66,-12),Database!$A:$AS,MATCH($C$1,Database!$A$1:$AS$1,),)))))/(((VLOOKUP(EDATE(B66,-12),Database!$A:$AS,MATCH($C$1,Database!$A$1:$AS$1,),))))</f>
        <v/>
      </c>
      <c r="D66" s="13">
        <f>((((VLOOKUP(B66,Database!$A:$AS,MATCH($D$1,Database!$A$1:$AS$1,),))))-(((VLOOKUP(EDATE(B66,-12),Database!$A:$AS,MATCH($D$1,Database!$A$1:$AS$1,),)))))/(((VLOOKUP(EDATE(B66,-12),Database!$A:$AS,MATCH($D$1,Database!$A$1:$AS$1,),))))</f>
        <v/>
      </c>
      <c r="E66" s="13">
        <f>((((VLOOKUP(B66,Database!$A:$AS,MATCH($E$1,Database!$A$1:$AS$1,),))))-(((VLOOKUP(EDATE(B66,-12),Database!$A:$AS,MATCH($E$1,Database!$A$1:$AS$1,),)))))/(((VLOOKUP(EDATE(B66,-12),Database!$A:$AS,MATCH($E$1,Database!$A$1:$AS$1,),))))</f>
        <v/>
      </c>
      <c r="F66" s="13">
        <f>((((VLOOKUP(B66,Database!$A:$AS,MATCH($F$1,Database!$A$1:$AS$1,),))))-(((VLOOKUP(EDATE(B66,-12),Database!$A:$AS,MATCH($F$1,Database!$A$1:$AS$1,),)))))/(((VLOOKUP(EDATE(B66,-12),Database!$A:$AS,MATCH($F$1,Database!$A$1:$AS$1,),))))</f>
        <v/>
      </c>
      <c r="G66" s="13">
        <f>((((VLOOKUP(B66,Database!$A:$AS,MATCH($G$1,Database!$A$1:$AS$1,),))))-(((VLOOKUP(EDATE(B66,-12),Database!$A:$AS,MATCH($G$1,Database!$A$1:$AS$1,),)))))/(((VLOOKUP(EDATE(B66,-12),Database!$A:$AS,MATCH($G$1,Database!$A$1:$AS$1,),))))</f>
        <v/>
      </c>
      <c r="H66" s="13">
        <f>((((VLOOKUP(B66,Database!$A:$AS,MATCH($H$1,Database!$A$1:$AS$1,),))))-(((VLOOKUP(EDATE(B66,-12),Database!$A:$AS,MATCH($H$1,Database!$A$1:$AS$1,),)))))/(((VLOOKUP(EDATE(B66,-12),Database!$A:$AS,MATCH($H$1,Database!$A$1:$AS$1,),))))</f>
        <v/>
      </c>
      <c r="I66" s="13">
        <f>((((VLOOKUP(B66,Database!$A:$AS,MATCH($I$1,Database!$A$1:$AS$1,),))))-(((VLOOKUP(EDATE(B66,-12),Database!$A:$AS,MATCH($I$1,Database!$A$1:$AS$1,),)))))/(((VLOOKUP(EDATE(B66,-12),Database!$A:$AS,MATCH($I$1,Database!$A$1:$AS$1,),))))</f>
        <v/>
      </c>
      <c r="J66" s="13">
        <f>((((VLOOKUP(B66,Database!$A:$AS,MATCH($J$1,Database!$A$1:$AS$1,),))))-(((VLOOKUP(EDATE(B66,-12),Database!$A:$AS,MATCH($J$1,Database!$A$1:$AS$1,),)))))/(((VLOOKUP(EDATE(B66,-12),Database!$A:$AS,MATCH($J$1,Database!$A$1:$AS$1,),))))</f>
        <v/>
      </c>
      <c r="K66" s="13">
        <f>((((VLOOKUP(B66,Database!$A:$AS,MATCH($K$1,Database!$A$1:$AS$1,),))))-(((VLOOKUP(EDATE(B66,-12),Database!$A:$AS,MATCH($K$1,Database!$A$1:$AS$1,),)))))/(((VLOOKUP(EDATE(B66,-12),Database!$A:$AS,MATCH($K$1,Database!$A$1:$AS$1,),))))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((((VLOOKUP(B66,Database!$A:$AS,MATCH($O$1,Database!$A$1:$AS$1,),))))-(((VLOOKUP(EDATE(B66,-12),Database!$A:$AS,MATCH($O$1,Database!$A$1:$AS$1,),)))))/(((VLOOKUP(EDATE(B66,-12),Database!$A:$AS,MATCH($O$1,Database!$A$1:$AS$1,),))))</f>
        <v/>
      </c>
      <c r="P66" s="13">
        <f>((((VLOOKUP(B66,Database!$A:$AS,MATCH($P$1,Database!$A$1:$AS$1,),))))-(((VLOOKUP(EDATE(B66,-12),Database!$A:$AS,MATCH($P$1,Database!$A$1:$AS$1,),)))))/(((VLOOKUP(EDATE(B66,-12),Database!$A:$AS,MATCH($P$1,Database!$A$1:$AS$1,),))))</f>
        <v/>
      </c>
      <c r="Q66" s="13">
        <f>((((VLOOKUP(B66,Database!$A:$AS,MATCH($Q$1,Database!$A$1:$AS$1,),))))-(((VLOOKUP(EDATE(B66,-12),Database!$A:$AS,MATCH($Q$1,Database!$A$1:$AS$1,),)))))/(((VLOOKUP(EDATE(B66,-12),Database!$A:$AS,MATCH($Q$1,Database!$A$1:$AS$1,),))))</f>
        <v/>
      </c>
      <c r="R66" s="13">
        <f>((((VLOOKUP(B66,Database!$A:$AS,MATCH($R$1,Database!$A$1:$AS$1,),))))-(((VLOOKUP(EDATE(B66,-12),Database!$A:$AS,MATCH($R$1,Database!$A$1:$AS$1,),)))))/(((VLOOKUP(EDATE(B66,-12),Database!$A:$AS,MATCH($R$1,Database!$A$1:$AS$1,),))))</f>
        <v/>
      </c>
      <c r="S66" s="13">
        <f>((((VLOOKUP(B66,Database!$A:$AS,MATCH($S$1,Database!$A$1:$AS$1,),))))-(((VLOOKUP(EDATE(B66,-12),Database!$A:$AS,MATCH($S$1,Database!$A$1:$AS$1,),)))))/(((VLOOKUP(EDATE(B66,-12),Database!$A:$AS,MATCH($S$1,Database!$A$1:$AS$1,),))))</f>
        <v/>
      </c>
      <c r="T66" s="13">
        <f>((((VLOOKUP(B66,Database!$A:$AS,MATCH($T$1,Database!$A$1:$AS$1,),))))-(((VLOOKUP(EDATE(B66,-12),Database!$A:$AS,MATCH($T$1,Database!$A$1:$AS$1,),)))))/(((VLOOKUP(EDATE(B66,-12),Database!$A:$AS,MATCH($T$1,Database!$A$1:$AS$1,),))))</f>
        <v/>
      </c>
      <c r="U66" s="13">
        <f>((((VLOOKUP(B66,Database!$A:$AS,MATCH($U$1,Database!$A$1:$AS$1,),))))-(((VLOOKUP(EDATE(B66,-12),Database!$A:$AS,MATCH($U$1,Database!$A$1:$AS$1,),)))))/(((VLOOKUP(EDATE(B66,-12),Database!$A:$AS,MATCH($U$1,Database!$A$1:$AS$1,),))))</f>
        <v/>
      </c>
      <c r="V66" s="13">
        <f>((((VLOOKUP(B66,Database!$A:$AS,MATCH($V$1,Database!$A$1:$AS$1,),))))-(((VLOOKUP(EDATE(B66,-12),Database!$A:$AS,MATCH($V$1,Database!$A$1:$AS$1,),)))))/(((VLOOKUP(EDATE(B66,-12),Database!$A:$AS,MATCH($V$1,Database!$A$1:$AS$1,),))))</f>
        <v/>
      </c>
    </row>
    <row r="67" customFormat="1" s="94">
      <c r="A67" s="44" t="n"/>
      <c r="B67" s="85" t="n">
        <v>34182</v>
      </c>
      <c r="C67" s="13">
        <f>((((VLOOKUP(B67,Database!$A:$AS,MATCH($C$1,Database!$A$1:$AS$1,),))))-(((VLOOKUP(EDATE(B67,-12),Database!$A:$AS,MATCH($C$1,Database!$A$1:$AS$1,),)))))/(((VLOOKUP(EDATE(B67,-12),Database!$A:$AS,MATCH($C$1,Database!$A$1:$AS$1,),))))</f>
        <v/>
      </c>
      <c r="D67" s="13">
        <f>((((VLOOKUP(B67,Database!$A:$AS,MATCH($D$1,Database!$A$1:$AS$1,),))))-(((VLOOKUP(EDATE(B67,-12),Database!$A:$AS,MATCH($D$1,Database!$A$1:$AS$1,),)))))/(((VLOOKUP(EDATE(B67,-12),Database!$A:$AS,MATCH($D$1,Database!$A$1:$AS$1,),))))</f>
        <v/>
      </c>
      <c r="E67" s="13">
        <f>((((VLOOKUP(B67,Database!$A:$AS,MATCH($E$1,Database!$A$1:$AS$1,),))))-(((VLOOKUP(EDATE(B67,-12),Database!$A:$AS,MATCH($E$1,Database!$A$1:$AS$1,),)))))/(((VLOOKUP(EDATE(B67,-12),Database!$A:$AS,MATCH($E$1,Database!$A$1:$AS$1,),))))</f>
        <v/>
      </c>
      <c r="F67" s="13">
        <f>((((VLOOKUP(B67,Database!$A:$AS,MATCH($F$1,Database!$A$1:$AS$1,),))))-(((VLOOKUP(EDATE(B67,-12),Database!$A:$AS,MATCH($F$1,Database!$A$1:$AS$1,),)))))/(((VLOOKUP(EDATE(B67,-12),Database!$A:$AS,MATCH($F$1,Database!$A$1:$AS$1,),))))</f>
        <v/>
      </c>
      <c r="G67" s="13">
        <f>((((VLOOKUP(B67,Database!$A:$AS,MATCH($G$1,Database!$A$1:$AS$1,),))))-(((VLOOKUP(EDATE(B67,-12),Database!$A:$AS,MATCH($G$1,Database!$A$1:$AS$1,),)))))/(((VLOOKUP(EDATE(B67,-12),Database!$A:$AS,MATCH($G$1,Database!$A$1:$AS$1,),))))</f>
        <v/>
      </c>
      <c r="H67" s="13">
        <f>((((VLOOKUP(B67,Database!$A:$AS,MATCH($H$1,Database!$A$1:$AS$1,),))))-(((VLOOKUP(EDATE(B67,-12),Database!$A:$AS,MATCH($H$1,Database!$A$1:$AS$1,),)))))/(((VLOOKUP(EDATE(B67,-12),Database!$A:$AS,MATCH($H$1,Database!$A$1:$AS$1,),))))</f>
        <v/>
      </c>
      <c r="I67" s="13">
        <f>((((VLOOKUP(B67,Database!$A:$AS,MATCH($I$1,Database!$A$1:$AS$1,),))))-(((VLOOKUP(EDATE(B67,-12),Database!$A:$AS,MATCH($I$1,Database!$A$1:$AS$1,),)))))/(((VLOOKUP(EDATE(B67,-12),Database!$A:$AS,MATCH($I$1,Database!$A$1:$AS$1,),))))</f>
        <v/>
      </c>
      <c r="J67" s="13">
        <f>((((VLOOKUP(B67,Database!$A:$AS,MATCH($J$1,Database!$A$1:$AS$1,),))))-(((VLOOKUP(EDATE(B67,-12),Database!$A:$AS,MATCH($J$1,Database!$A$1:$AS$1,),)))))/(((VLOOKUP(EDATE(B67,-12),Database!$A:$AS,MATCH($J$1,Database!$A$1:$AS$1,),))))</f>
        <v/>
      </c>
      <c r="K67" s="13">
        <f>((((VLOOKUP(B67,Database!$A:$AS,MATCH($K$1,Database!$A$1:$AS$1,),))))-(((VLOOKUP(EDATE(B67,-12),Database!$A:$AS,MATCH($K$1,Database!$A$1:$AS$1,),)))))/(((VLOOKUP(EDATE(B67,-12),Database!$A:$AS,MATCH($K$1,Database!$A$1:$AS$1,),))))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((((VLOOKUP(B67,Database!$A:$AS,MATCH($O$1,Database!$A$1:$AS$1,),))))-(((VLOOKUP(EDATE(B67,-12),Database!$A:$AS,MATCH($O$1,Database!$A$1:$AS$1,),)))))/(((VLOOKUP(EDATE(B67,-12),Database!$A:$AS,MATCH($O$1,Database!$A$1:$AS$1,),))))</f>
        <v/>
      </c>
      <c r="P67" s="13">
        <f>((((VLOOKUP(B67,Database!$A:$AS,MATCH($P$1,Database!$A$1:$AS$1,),))))-(((VLOOKUP(EDATE(B67,-12),Database!$A:$AS,MATCH($P$1,Database!$A$1:$AS$1,),)))))/(((VLOOKUP(EDATE(B67,-12),Database!$A:$AS,MATCH($P$1,Database!$A$1:$AS$1,),))))</f>
        <v/>
      </c>
      <c r="Q67" s="13">
        <f>((((VLOOKUP(B67,Database!$A:$AS,MATCH($Q$1,Database!$A$1:$AS$1,),))))-(((VLOOKUP(EDATE(B67,-12),Database!$A:$AS,MATCH($Q$1,Database!$A$1:$AS$1,),)))))/(((VLOOKUP(EDATE(B67,-12),Database!$A:$AS,MATCH($Q$1,Database!$A$1:$AS$1,),))))</f>
        <v/>
      </c>
      <c r="R67" s="13">
        <f>((((VLOOKUP(B67,Database!$A:$AS,MATCH($R$1,Database!$A$1:$AS$1,),))))-(((VLOOKUP(EDATE(B67,-12),Database!$A:$AS,MATCH($R$1,Database!$A$1:$AS$1,),)))))/(((VLOOKUP(EDATE(B67,-12),Database!$A:$AS,MATCH($R$1,Database!$A$1:$AS$1,),))))</f>
        <v/>
      </c>
      <c r="S67" s="13">
        <f>((((VLOOKUP(B67,Database!$A:$AS,MATCH($S$1,Database!$A$1:$AS$1,),))))-(((VLOOKUP(EDATE(B67,-12),Database!$A:$AS,MATCH($S$1,Database!$A$1:$AS$1,),)))))/(((VLOOKUP(EDATE(B67,-12),Database!$A:$AS,MATCH($S$1,Database!$A$1:$AS$1,),))))</f>
        <v/>
      </c>
      <c r="T67" s="13">
        <f>((((VLOOKUP(B67,Database!$A:$AS,MATCH($T$1,Database!$A$1:$AS$1,),))))-(((VLOOKUP(EDATE(B67,-12),Database!$A:$AS,MATCH($T$1,Database!$A$1:$AS$1,),)))))/(((VLOOKUP(EDATE(B67,-12),Database!$A:$AS,MATCH($T$1,Database!$A$1:$AS$1,),))))</f>
        <v/>
      </c>
      <c r="U67" s="13">
        <f>((((VLOOKUP(B67,Database!$A:$AS,MATCH($U$1,Database!$A$1:$AS$1,),))))-(((VLOOKUP(EDATE(B67,-12),Database!$A:$AS,MATCH($U$1,Database!$A$1:$AS$1,),)))))/(((VLOOKUP(EDATE(B67,-12),Database!$A:$AS,MATCH($U$1,Database!$A$1:$AS$1,),))))</f>
        <v/>
      </c>
      <c r="V67" s="13">
        <f>((((VLOOKUP(B67,Database!$A:$AS,MATCH($V$1,Database!$A$1:$AS$1,),))))-(((VLOOKUP(EDATE(B67,-12),Database!$A:$AS,MATCH($V$1,Database!$A$1:$AS$1,),)))))/(((VLOOKUP(EDATE(B67,-12),Database!$A:$AS,MATCH($V$1,Database!$A$1:$AS$1,),))))</f>
        <v/>
      </c>
    </row>
    <row r="68" customFormat="1" s="94">
      <c r="A68" s="44" t="n"/>
      <c r="B68" s="85" t="n">
        <v>34213</v>
      </c>
      <c r="C68" s="13">
        <f>((((VLOOKUP(B68,Database!$A:$AS,MATCH($C$1,Database!$A$1:$AS$1,),))))-(((VLOOKUP(EDATE(B68,-12),Database!$A:$AS,MATCH($C$1,Database!$A$1:$AS$1,),)))))/(((VLOOKUP(EDATE(B68,-12),Database!$A:$AS,MATCH($C$1,Database!$A$1:$AS$1,),))))</f>
        <v/>
      </c>
      <c r="D68" s="13">
        <f>((((VLOOKUP(B68,Database!$A:$AS,MATCH($D$1,Database!$A$1:$AS$1,),))))-(((VLOOKUP(EDATE(B68,-12),Database!$A:$AS,MATCH($D$1,Database!$A$1:$AS$1,),)))))/(((VLOOKUP(EDATE(B68,-12),Database!$A:$AS,MATCH($D$1,Database!$A$1:$AS$1,),))))</f>
        <v/>
      </c>
      <c r="E68" s="13">
        <f>((((VLOOKUP(B68,Database!$A:$AS,MATCH($E$1,Database!$A$1:$AS$1,),))))-(((VLOOKUP(EDATE(B68,-12),Database!$A:$AS,MATCH($E$1,Database!$A$1:$AS$1,),)))))/(((VLOOKUP(EDATE(B68,-12),Database!$A:$AS,MATCH($E$1,Database!$A$1:$AS$1,),))))</f>
        <v/>
      </c>
      <c r="F68" s="13">
        <f>((((VLOOKUP(B68,Database!$A:$AS,MATCH($F$1,Database!$A$1:$AS$1,),))))-(((VLOOKUP(EDATE(B68,-12),Database!$A:$AS,MATCH($F$1,Database!$A$1:$AS$1,),)))))/(((VLOOKUP(EDATE(B68,-12),Database!$A:$AS,MATCH($F$1,Database!$A$1:$AS$1,),))))</f>
        <v/>
      </c>
      <c r="G68" s="13">
        <f>((((VLOOKUP(B68,Database!$A:$AS,MATCH($G$1,Database!$A$1:$AS$1,),))))-(((VLOOKUP(EDATE(B68,-12),Database!$A:$AS,MATCH($G$1,Database!$A$1:$AS$1,),)))))/(((VLOOKUP(EDATE(B68,-12),Database!$A:$AS,MATCH($G$1,Database!$A$1:$AS$1,),))))</f>
        <v/>
      </c>
      <c r="H68" s="13">
        <f>((((VLOOKUP(B68,Database!$A:$AS,MATCH($H$1,Database!$A$1:$AS$1,),))))-(((VLOOKUP(EDATE(B68,-12),Database!$A:$AS,MATCH($H$1,Database!$A$1:$AS$1,),)))))/(((VLOOKUP(EDATE(B68,-12),Database!$A:$AS,MATCH($H$1,Database!$A$1:$AS$1,),))))</f>
        <v/>
      </c>
      <c r="I68" s="13">
        <f>((((VLOOKUP(B68,Database!$A:$AS,MATCH($I$1,Database!$A$1:$AS$1,),))))-(((VLOOKUP(EDATE(B68,-12),Database!$A:$AS,MATCH($I$1,Database!$A$1:$AS$1,),)))))/(((VLOOKUP(EDATE(B68,-12),Database!$A:$AS,MATCH($I$1,Database!$A$1:$AS$1,),))))</f>
        <v/>
      </c>
      <c r="J68" s="13">
        <f>((((VLOOKUP(B68,Database!$A:$AS,MATCH($J$1,Database!$A$1:$AS$1,),))))-(((VLOOKUP(EDATE(B68,-12),Database!$A:$AS,MATCH($J$1,Database!$A$1:$AS$1,),)))))/(((VLOOKUP(EDATE(B68,-12),Database!$A:$AS,MATCH($J$1,Database!$A$1:$AS$1,),))))</f>
        <v/>
      </c>
      <c r="K68" s="13">
        <f>((((VLOOKUP(B68,Database!$A:$AS,MATCH($K$1,Database!$A$1:$AS$1,),))))-(((VLOOKUP(EDATE(B68,-12),Database!$A:$AS,MATCH($K$1,Database!$A$1:$AS$1,),)))))/(((VLOOKUP(EDATE(B68,-12),Database!$A:$AS,MATCH($K$1,Database!$A$1:$AS$1,),))))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((((VLOOKUP(B68,Database!$A:$AS,MATCH($O$1,Database!$A$1:$AS$1,),))))-(((VLOOKUP(EDATE(B68,-12),Database!$A:$AS,MATCH($O$1,Database!$A$1:$AS$1,),)))))/(((VLOOKUP(EDATE(B68,-12),Database!$A:$AS,MATCH($O$1,Database!$A$1:$AS$1,),))))</f>
        <v/>
      </c>
      <c r="P68" s="13">
        <f>((((VLOOKUP(B68,Database!$A:$AS,MATCH($P$1,Database!$A$1:$AS$1,),))))-(((VLOOKUP(EDATE(B68,-12),Database!$A:$AS,MATCH($P$1,Database!$A$1:$AS$1,),)))))/(((VLOOKUP(EDATE(B68,-12),Database!$A:$AS,MATCH($P$1,Database!$A$1:$AS$1,),))))</f>
        <v/>
      </c>
      <c r="Q68" s="13">
        <f>((((VLOOKUP(B68,Database!$A:$AS,MATCH($Q$1,Database!$A$1:$AS$1,),))))-(((VLOOKUP(EDATE(B68,-12),Database!$A:$AS,MATCH($Q$1,Database!$A$1:$AS$1,),)))))/(((VLOOKUP(EDATE(B68,-12),Database!$A:$AS,MATCH($Q$1,Database!$A$1:$AS$1,),))))</f>
        <v/>
      </c>
      <c r="R68" s="13">
        <f>((((VLOOKUP(B68,Database!$A:$AS,MATCH($R$1,Database!$A$1:$AS$1,),))))-(((VLOOKUP(EDATE(B68,-12),Database!$A:$AS,MATCH($R$1,Database!$A$1:$AS$1,),)))))/(((VLOOKUP(EDATE(B68,-12),Database!$A:$AS,MATCH($R$1,Database!$A$1:$AS$1,),))))</f>
        <v/>
      </c>
      <c r="S68" s="13">
        <f>((((VLOOKUP(B68,Database!$A:$AS,MATCH($S$1,Database!$A$1:$AS$1,),))))-(((VLOOKUP(EDATE(B68,-12),Database!$A:$AS,MATCH($S$1,Database!$A$1:$AS$1,),)))))/(((VLOOKUP(EDATE(B68,-12),Database!$A:$AS,MATCH($S$1,Database!$A$1:$AS$1,),))))</f>
        <v/>
      </c>
      <c r="T68" s="13">
        <f>((((VLOOKUP(B68,Database!$A:$AS,MATCH($T$1,Database!$A$1:$AS$1,),))))-(((VLOOKUP(EDATE(B68,-12),Database!$A:$AS,MATCH($T$1,Database!$A$1:$AS$1,),)))))/(((VLOOKUP(EDATE(B68,-12),Database!$A:$AS,MATCH($T$1,Database!$A$1:$AS$1,),))))</f>
        <v/>
      </c>
      <c r="U68" s="13">
        <f>((((VLOOKUP(B68,Database!$A:$AS,MATCH($U$1,Database!$A$1:$AS$1,),))))-(((VLOOKUP(EDATE(B68,-12),Database!$A:$AS,MATCH($U$1,Database!$A$1:$AS$1,),)))))/(((VLOOKUP(EDATE(B68,-12),Database!$A:$AS,MATCH($U$1,Database!$A$1:$AS$1,),))))</f>
        <v/>
      </c>
      <c r="V68" s="13">
        <f>((((VLOOKUP(B68,Database!$A:$AS,MATCH($V$1,Database!$A$1:$AS$1,),))))-(((VLOOKUP(EDATE(B68,-12),Database!$A:$AS,MATCH($V$1,Database!$A$1:$AS$1,),)))))/(((VLOOKUP(EDATE(B68,-12),Database!$A:$AS,MATCH($V$1,Database!$A$1:$AS$1,),))))</f>
        <v/>
      </c>
    </row>
    <row r="69" customFormat="1" s="94">
      <c r="A69" s="44" t="n"/>
      <c r="B69" s="85" t="n">
        <v>34243</v>
      </c>
      <c r="C69" s="13">
        <f>((((VLOOKUP(B69,Database!$A:$AS,MATCH($C$1,Database!$A$1:$AS$1,),))))-(((VLOOKUP(EDATE(B69,-12),Database!$A:$AS,MATCH($C$1,Database!$A$1:$AS$1,),)))))/(((VLOOKUP(EDATE(B69,-12),Database!$A:$AS,MATCH($C$1,Database!$A$1:$AS$1,),))))</f>
        <v/>
      </c>
      <c r="D69" s="13">
        <f>((((VLOOKUP(B69,Database!$A:$AS,MATCH($D$1,Database!$A$1:$AS$1,),))))-(((VLOOKUP(EDATE(B69,-12),Database!$A:$AS,MATCH($D$1,Database!$A$1:$AS$1,),)))))/(((VLOOKUP(EDATE(B69,-12),Database!$A:$AS,MATCH($D$1,Database!$A$1:$AS$1,),))))</f>
        <v/>
      </c>
      <c r="E69" s="13">
        <f>((((VLOOKUP(B69,Database!$A:$AS,MATCH($E$1,Database!$A$1:$AS$1,),))))-(((VLOOKUP(EDATE(B69,-12),Database!$A:$AS,MATCH($E$1,Database!$A$1:$AS$1,),)))))/(((VLOOKUP(EDATE(B69,-12),Database!$A:$AS,MATCH($E$1,Database!$A$1:$AS$1,),))))</f>
        <v/>
      </c>
      <c r="F69" s="13">
        <f>((((VLOOKUP(B69,Database!$A:$AS,MATCH($F$1,Database!$A$1:$AS$1,),))))-(((VLOOKUP(EDATE(B69,-12),Database!$A:$AS,MATCH($F$1,Database!$A$1:$AS$1,),)))))/(((VLOOKUP(EDATE(B69,-12),Database!$A:$AS,MATCH($F$1,Database!$A$1:$AS$1,),))))</f>
        <v/>
      </c>
      <c r="G69" s="13">
        <f>((((VLOOKUP(B69,Database!$A:$AS,MATCH($G$1,Database!$A$1:$AS$1,),))))-(((VLOOKUP(EDATE(B69,-12),Database!$A:$AS,MATCH($G$1,Database!$A$1:$AS$1,),)))))/(((VLOOKUP(EDATE(B69,-12),Database!$A:$AS,MATCH($G$1,Database!$A$1:$AS$1,),))))</f>
        <v/>
      </c>
      <c r="H69" s="13">
        <f>((((VLOOKUP(B69,Database!$A:$AS,MATCH($H$1,Database!$A$1:$AS$1,),))))-(((VLOOKUP(EDATE(B69,-12),Database!$A:$AS,MATCH($H$1,Database!$A$1:$AS$1,),)))))/(((VLOOKUP(EDATE(B69,-12),Database!$A:$AS,MATCH($H$1,Database!$A$1:$AS$1,),))))</f>
        <v/>
      </c>
      <c r="I69" s="13">
        <f>((((VLOOKUP(B69,Database!$A:$AS,MATCH($I$1,Database!$A$1:$AS$1,),))))-(((VLOOKUP(EDATE(B69,-12),Database!$A:$AS,MATCH($I$1,Database!$A$1:$AS$1,),)))))/(((VLOOKUP(EDATE(B69,-12),Database!$A:$AS,MATCH($I$1,Database!$A$1:$AS$1,),))))</f>
        <v/>
      </c>
      <c r="J69" s="13">
        <f>((((VLOOKUP(B69,Database!$A:$AS,MATCH($J$1,Database!$A$1:$AS$1,),))))-(((VLOOKUP(EDATE(B69,-12),Database!$A:$AS,MATCH($J$1,Database!$A$1:$AS$1,),)))))/(((VLOOKUP(EDATE(B69,-12),Database!$A:$AS,MATCH($J$1,Database!$A$1:$AS$1,),))))</f>
        <v/>
      </c>
      <c r="K69" s="13">
        <f>((((VLOOKUP(B69,Database!$A:$AS,MATCH($K$1,Database!$A$1:$AS$1,),))))-(((VLOOKUP(EDATE(B69,-12),Database!$A:$AS,MATCH($K$1,Database!$A$1:$AS$1,),)))))/(((VLOOKUP(EDATE(B69,-12),Database!$A:$AS,MATCH($K$1,Database!$A$1:$AS$1,),))))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((((VLOOKUP(B69,Database!$A:$AS,MATCH($O$1,Database!$A$1:$AS$1,),))))-(((VLOOKUP(EDATE(B69,-12),Database!$A:$AS,MATCH($O$1,Database!$A$1:$AS$1,),)))))/(((VLOOKUP(EDATE(B69,-12),Database!$A:$AS,MATCH($O$1,Database!$A$1:$AS$1,),))))</f>
        <v/>
      </c>
      <c r="P69" s="13">
        <f>((((VLOOKUP(B69,Database!$A:$AS,MATCH($P$1,Database!$A$1:$AS$1,),))))-(((VLOOKUP(EDATE(B69,-12),Database!$A:$AS,MATCH($P$1,Database!$A$1:$AS$1,),)))))/(((VLOOKUP(EDATE(B69,-12),Database!$A:$AS,MATCH($P$1,Database!$A$1:$AS$1,),))))</f>
        <v/>
      </c>
      <c r="Q69" s="13">
        <f>((((VLOOKUP(B69,Database!$A:$AS,MATCH($Q$1,Database!$A$1:$AS$1,),))))-(((VLOOKUP(EDATE(B69,-12),Database!$A:$AS,MATCH($Q$1,Database!$A$1:$AS$1,),)))))/(((VLOOKUP(EDATE(B69,-12),Database!$A:$AS,MATCH($Q$1,Database!$A$1:$AS$1,),))))</f>
        <v/>
      </c>
      <c r="R69" s="13">
        <f>((((VLOOKUP(B69,Database!$A:$AS,MATCH($R$1,Database!$A$1:$AS$1,),))))-(((VLOOKUP(EDATE(B69,-12),Database!$A:$AS,MATCH($R$1,Database!$A$1:$AS$1,),)))))/(((VLOOKUP(EDATE(B69,-12),Database!$A:$AS,MATCH($R$1,Database!$A$1:$AS$1,),))))</f>
        <v/>
      </c>
      <c r="S69" s="13">
        <f>((((VLOOKUP(B69,Database!$A:$AS,MATCH($S$1,Database!$A$1:$AS$1,),))))-(((VLOOKUP(EDATE(B69,-12),Database!$A:$AS,MATCH($S$1,Database!$A$1:$AS$1,),)))))/(((VLOOKUP(EDATE(B69,-12),Database!$A:$AS,MATCH($S$1,Database!$A$1:$AS$1,),))))</f>
        <v/>
      </c>
      <c r="T69" s="13">
        <f>((((VLOOKUP(B69,Database!$A:$AS,MATCH($T$1,Database!$A$1:$AS$1,),))))-(((VLOOKUP(EDATE(B69,-12),Database!$A:$AS,MATCH($T$1,Database!$A$1:$AS$1,),)))))/(((VLOOKUP(EDATE(B69,-12),Database!$A:$AS,MATCH($T$1,Database!$A$1:$AS$1,),))))</f>
        <v/>
      </c>
      <c r="U69" s="13">
        <f>((((VLOOKUP(B69,Database!$A:$AS,MATCH($U$1,Database!$A$1:$AS$1,),))))-(((VLOOKUP(EDATE(B69,-12),Database!$A:$AS,MATCH($U$1,Database!$A$1:$AS$1,),)))))/(((VLOOKUP(EDATE(B69,-12),Database!$A:$AS,MATCH($U$1,Database!$A$1:$AS$1,),))))</f>
        <v/>
      </c>
      <c r="V69" s="13">
        <f>((((VLOOKUP(B69,Database!$A:$AS,MATCH($V$1,Database!$A$1:$AS$1,),))))-(((VLOOKUP(EDATE(B69,-12),Database!$A:$AS,MATCH($V$1,Database!$A$1:$AS$1,),)))))/(((VLOOKUP(EDATE(B69,-12),Database!$A:$AS,MATCH($V$1,Database!$A$1:$AS$1,),))))</f>
        <v/>
      </c>
    </row>
    <row r="70" customFormat="1" s="94">
      <c r="A70" s="44" t="n"/>
      <c r="B70" s="85" t="n">
        <v>34274</v>
      </c>
      <c r="C70" s="13">
        <f>((((VLOOKUP(B70,Database!$A:$AS,MATCH($C$1,Database!$A$1:$AS$1,),))))-(((VLOOKUP(EDATE(B70,-12),Database!$A:$AS,MATCH($C$1,Database!$A$1:$AS$1,),)))))/(((VLOOKUP(EDATE(B70,-12),Database!$A:$AS,MATCH($C$1,Database!$A$1:$AS$1,),))))</f>
        <v/>
      </c>
      <c r="D70" s="13">
        <f>((((VLOOKUP(B70,Database!$A:$AS,MATCH($D$1,Database!$A$1:$AS$1,),))))-(((VLOOKUP(EDATE(B70,-12),Database!$A:$AS,MATCH($D$1,Database!$A$1:$AS$1,),)))))/(((VLOOKUP(EDATE(B70,-12),Database!$A:$AS,MATCH($D$1,Database!$A$1:$AS$1,),))))</f>
        <v/>
      </c>
      <c r="E70" s="13">
        <f>((((VLOOKUP(B70,Database!$A:$AS,MATCH($E$1,Database!$A$1:$AS$1,),))))-(((VLOOKUP(EDATE(B70,-12),Database!$A:$AS,MATCH($E$1,Database!$A$1:$AS$1,),)))))/(((VLOOKUP(EDATE(B70,-12),Database!$A:$AS,MATCH($E$1,Database!$A$1:$AS$1,),))))</f>
        <v/>
      </c>
      <c r="F70" s="13">
        <f>((((VLOOKUP(B70,Database!$A:$AS,MATCH($F$1,Database!$A$1:$AS$1,),))))-(((VLOOKUP(EDATE(B70,-12),Database!$A:$AS,MATCH($F$1,Database!$A$1:$AS$1,),)))))/(((VLOOKUP(EDATE(B70,-12),Database!$A:$AS,MATCH($F$1,Database!$A$1:$AS$1,),))))</f>
        <v/>
      </c>
      <c r="G70" s="13">
        <f>((((VLOOKUP(B70,Database!$A:$AS,MATCH($G$1,Database!$A$1:$AS$1,),))))-(((VLOOKUP(EDATE(B70,-12),Database!$A:$AS,MATCH($G$1,Database!$A$1:$AS$1,),)))))/(((VLOOKUP(EDATE(B70,-12),Database!$A:$AS,MATCH($G$1,Database!$A$1:$AS$1,),))))</f>
        <v/>
      </c>
      <c r="H70" s="13">
        <f>((((VLOOKUP(B70,Database!$A:$AS,MATCH($H$1,Database!$A$1:$AS$1,),))))-(((VLOOKUP(EDATE(B70,-12),Database!$A:$AS,MATCH($H$1,Database!$A$1:$AS$1,),)))))/(((VLOOKUP(EDATE(B70,-12),Database!$A:$AS,MATCH($H$1,Database!$A$1:$AS$1,),))))</f>
        <v/>
      </c>
      <c r="I70" s="13">
        <f>((((VLOOKUP(B70,Database!$A:$AS,MATCH($I$1,Database!$A$1:$AS$1,),))))-(((VLOOKUP(EDATE(B70,-12),Database!$A:$AS,MATCH($I$1,Database!$A$1:$AS$1,),)))))/(((VLOOKUP(EDATE(B70,-12),Database!$A:$AS,MATCH($I$1,Database!$A$1:$AS$1,),))))</f>
        <v/>
      </c>
      <c r="J70" s="13">
        <f>((((VLOOKUP(B70,Database!$A:$AS,MATCH($J$1,Database!$A$1:$AS$1,),))))-(((VLOOKUP(EDATE(B70,-12),Database!$A:$AS,MATCH($J$1,Database!$A$1:$AS$1,),)))))/(((VLOOKUP(EDATE(B70,-12),Database!$A:$AS,MATCH($J$1,Database!$A$1:$AS$1,),))))</f>
        <v/>
      </c>
      <c r="K70" s="13">
        <f>((((VLOOKUP(B70,Database!$A:$AS,MATCH($K$1,Database!$A$1:$AS$1,),))))-(((VLOOKUP(EDATE(B70,-12),Database!$A:$AS,MATCH($K$1,Database!$A$1:$AS$1,),)))))/(((VLOOKUP(EDATE(B70,-12),Database!$A:$AS,MATCH($K$1,Database!$A$1:$AS$1,),))))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((((VLOOKUP(B70,Database!$A:$AS,MATCH($O$1,Database!$A$1:$AS$1,),))))-(((VLOOKUP(EDATE(B70,-12),Database!$A:$AS,MATCH($O$1,Database!$A$1:$AS$1,),)))))/(((VLOOKUP(EDATE(B70,-12),Database!$A:$AS,MATCH($O$1,Database!$A$1:$AS$1,),))))</f>
        <v/>
      </c>
      <c r="P70" s="13">
        <f>((((VLOOKUP(B70,Database!$A:$AS,MATCH($P$1,Database!$A$1:$AS$1,),))))-(((VLOOKUP(EDATE(B70,-12),Database!$A:$AS,MATCH($P$1,Database!$A$1:$AS$1,),)))))/(((VLOOKUP(EDATE(B70,-12),Database!$A:$AS,MATCH($P$1,Database!$A$1:$AS$1,),))))</f>
        <v/>
      </c>
      <c r="Q70" s="13">
        <f>((((VLOOKUP(B70,Database!$A:$AS,MATCH($Q$1,Database!$A$1:$AS$1,),))))-(((VLOOKUP(EDATE(B70,-12),Database!$A:$AS,MATCH($Q$1,Database!$A$1:$AS$1,),)))))/(((VLOOKUP(EDATE(B70,-12),Database!$A:$AS,MATCH($Q$1,Database!$A$1:$AS$1,),))))</f>
        <v/>
      </c>
      <c r="R70" s="13">
        <f>((((VLOOKUP(B70,Database!$A:$AS,MATCH($R$1,Database!$A$1:$AS$1,),))))-(((VLOOKUP(EDATE(B70,-12),Database!$A:$AS,MATCH($R$1,Database!$A$1:$AS$1,),)))))/(((VLOOKUP(EDATE(B70,-12),Database!$A:$AS,MATCH($R$1,Database!$A$1:$AS$1,),))))</f>
        <v/>
      </c>
      <c r="S70" s="13">
        <f>((((VLOOKUP(B70,Database!$A:$AS,MATCH($S$1,Database!$A$1:$AS$1,),))))-(((VLOOKUP(EDATE(B70,-12),Database!$A:$AS,MATCH($S$1,Database!$A$1:$AS$1,),)))))/(((VLOOKUP(EDATE(B70,-12),Database!$A:$AS,MATCH($S$1,Database!$A$1:$AS$1,),))))</f>
        <v/>
      </c>
      <c r="T70" s="13">
        <f>((((VLOOKUP(B70,Database!$A:$AS,MATCH($T$1,Database!$A$1:$AS$1,),))))-(((VLOOKUP(EDATE(B70,-12),Database!$A:$AS,MATCH($T$1,Database!$A$1:$AS$1,),)))))/(((VLOOKUP(EDATE(B70,-12),Database!$A:$AS,MATCH($T$1,Database!$A$1:$AS$1,),))))</f>
        <v/>
      </c>
      <c r="U70" s="13">
        <f>((((VLOOKUP(B70,Database!$A:$AS,MATCH($U$1,Database!$A$1:$AS$1,),))))-(((VLOOKUP(EDATE(B70,-12),Database!$A:$AS,MATCH($U$1,Database!$A$1:$AS$1,),)))))/(((VLOOKUP(EDATE(B70,-12),Database!$A:$AS,MATCH($U$1,Database!$A$1:$AS$1,),))))</f>
        <v/>
      </c>
      <c r="V70" s="13">
        <f>((((VLOOKUP(B70,Database!$A:$AS,MATCH($V$1,Database!$A$1:$AS$1,),))))-(((VLOOKUP(EDATE(B70,-12),Database!$A:$AS,MATCH($V$1,Database!$A$1:$AS$1,),)))))/(((VLOOKUP(EDATE(B70,-12),Database!$A:$AS,MATCH($V$1,Database!$A$1:$AS$1,),))))</f>
        <v/>
      </c>
    </row>
    <row r="71" customFormat="1" s="94">
      <c r="A71" s="44" t="n"/>
      <c r="B71" s="85" t="n">
        <v>34304</v>
      </c>
      <c r="C71" s="13">
        <f>((((VLOOKUP(B71,Database!$A:$AS,MATCH($C$1,Database!$A$1:$AS$1,),))))-(((VLOOKUP(EDATE(B71,-12),Database!$A:$AS,MATCH($C$1,Database!$A$1:$AS$1,),)))))/(((VLOOKUP(EDATE(B71,-12),Database!$A:$AS,MATCH($C$1,Database!$A$1:$AS$1,),))))</f>
        <v/>
      </c>
      <c r="D71" s="13">
        <f>((((VLOOKUP(B71,Database!$A:$AS,MATCH($D$1,Database!$A$1:$AS$1,),))))-(((VLOOKUP(EDATE(B71,-12),Database!$A:$AS,MATCH($D$1,Database!$A$1:$AS$1,),)))))/(((VLOOKUP(EDATE(B71,-12),Database!$A:$AS,MATCH($D$1,Database!$A$1:$AS$1,),))))</f>
        <v/>
      </c>
      <c r="E71" s="13">
        <f>((((VLOOKUP(B71,Database!$A:$AS,MATCH($E$1,Database!$A$1:$AS$1,),))))-(((VLOOKUP(EDATE(B71,-12),Database!$A:$AS,MATCH($E$1,Database!$A$1:$AS$1,),)))))/(((VLOOKUP(EDATE(B71,-12),Database!$A:$AS,MATCH($E$1,Database!$A$1:$AS$1,),))))</f>
        <v/>
      </c>
      <c r="F71" s="13">
        <f>((((VLOOKUP(B71,Database!$A:$AS,MATCH($F$1,Database!$A$1:$AS$1,),))))-(((VLOOKUP(EDATE(B71,-12),Database!$A:$AS,MATCH($F$1,Database!$A$1:$AS$1,),)))))/(((VLOOKUP(EDATE(B71,-12),Database!$A:$AS,MATCH($F$1,Database!$A$1:$AS$1,),))))</f>
        <v/>
      </c>
      <c r="G71" s="13">
        <f>((((VLOOKUP(B71,Database!$A:$AS,MATCH($G$1,Database!$A$1:$AS$1,),))))-(((VLOOKUP(EDATE(B71,-12),Database!$A:$AS,MATCH($G$1,Database!$A$1:$AS$1,),)))))/(((VLOOKUP(EDATE(B71,-12),Database!$A:$AS,MATCH($G$1,Database!$A$1:$AS$1,),))))</f>
        <v/>
      </c>
      <c r="H71" s="13">
        <f>((((VLOOKUP(B71,Database!$A:$AS,MATCH($H$1,Database!$A$1:$AS$1,),))))-(((VLOOKUP(EDATE(B71,-12),Database!$A:$AS,MATCH($H$1,Database!$A$1:$AS$1,),)))))/(((VLOOKUP(EDATE(B71,-12),Database!$A:$AS,MATCH($H$1,Database!$A$1:$AS$1,),))))</f>
        <v/>
      </c>
      <c r="I71" s="13">
        <f>((((VLOOKUP(B71,Database!$A:$AS,MATCH($I$1,Database!$A$1:$AS$1,),))))-(((VLOOKUP(EDATE(B71,-12),Database!$A:$AS,MATCH($I$1,Database!$A$1:$AS$1,),)))))/(((VLOOKUP(EDATE(B71,-12),Database!$A:$AS,MATCH($I$1,Database!$A$1:$AS$1,),))))</f>
        <v/>
      </c>
      <c r="J71" s="13">
        <f>((((VLOOKUP(B71,Database!$A:$AS,MATCH($J$1,Database!$A$1:$AS$1,),))))-(((VLOOKUP(EDATE(B71,-12),Database!$A:$AS,MATCH($J$1,Database!$A$1:$AS$1,),)))))/(((VLOOKUP(EDATE(B71,-12),Database!$A:$AS,MATCH($J$1,Database!$A$1:$AS$1,),))))</f>
        <v/>
      </c>
      <c r="K71" s="13">
        <f>((((VLOOKUP(B71,Database!$A:$AS,MATCH($K$1,Database!$A$1:$AS$1,),))))-(((VLOOKUP(EDATE(B71,-12),Database!$A:$AS,MATCH($K$1,Database!$A$1:$AS$1,),)))))/(((VLOOKUP(EDATE(B71,-12),Database!$A:$AS,MATCH($K$1,Database!$A$1:$AS$1,),))))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((((VLOOKUP(B71,Database!$A:$AS,MATCH($O$1,Database!$A$1:$AS$1,),))))-(((VLOOKUP(EDATE(B71,-12),Database!$A:$AS,MATCH($O$1,Database!$A$1:$AS$1,),)))))/(((VLOOKUP(EDATE(B71,-12),Database!$A:$AS,MATCH($O$1,Database!$A$1:$AS$1,),))))</f>
        <v/>
      </c>
      <c r="P71" s="13">
        <f>((((VLOOKUP(B71,Database!$A:$AS,MATCH($P$1,Database!$A$1:$AS$1,),))))-(((VLOOKUP(EDATE(B71,-12),Database!$A:$AS,MATCH($P$1,Database!$A$1:$AS$1,),)))))/(((VLOOKUP(EDATE(B71,-12),Database!$A:$AS,MATCH($P$1,Database!$A$1:$AS$1,),))))</f>
        <v/>
      </c>
      <c r="Q71" s="13">
        <f>((((VLOOKUP(B71,Database!$A:$AS,MATCH($Q$1,Database!$A$1:$AS$1,),))))-(((VLOOKUP(EDATE(B71,-12),Database!$A:$AS,MATCH($Q$1,Database!$A$1:$AS$1,),)))))/(((VLOOKUP(EDATE(B71,-12),Database!$A:$AS,MATCH($Q$1,Database!$A$1:$AS$1,),))))</f>
        <v/>
      </c>
      <c r="R71" s="13">
        <f>((((VLOOKUP(B71,Database!$A:$AS,MATCH($R$1,Database!$A$1:$AS$1,),))))-(((VLOOKUP(EDATE(B71,-12),Database!$A:$AS,MATCH($R$1,Database!$A$1:$AS$1,),)))))/(((VLOOKUP(EDATE(B71,-12),Database!$A:$AS,MATCH($R$1,Database!$A$1:$AS$1,),))))</f>
        <v/>
      </c>
      <c r="S71" s="13">
        <f>((((VLOOKUP(B71,Database!$A:$AS,MATCH($S$1,Database!$A$1:$AS$1,),))))-(((VLOOKUP(EDATE(B71,-12),Database!$A:$AS,MATCH($S$1,Database!$A$1:$AS$1,),)))))/(((VLOOKUP(EDATE(B71,-12),Database!$A:$AS,MATCH($S$1,Database!$A$1:$AS$1,),))))</f>
        <v/>
      </c>
      <c r="T71" s="13">
        <f>((((VLOOKUP(B71,Database!$A:$AS,MATCH($T$1,Database!$A$1:$AS$1,),))))-(((VLOOKUP(EDATE(B71,-12),Database!$A:$AS,MATCH($T$1,Database!$A$1:$AS$1,),)))))/(((VLOOKUP(EDATE(B71,-12),Database!$A:$AS,MATCH($T$1,Database!$A$1:$AS$1,),))))</f>
        <v/>
      </c>
      <c r="U71" s="13">
        <f>((((VLOOKUP(B71,Database!$A:$AS,MATCH($U$1,Database!$A$1:$AS$1,),))))-(((VLOOKUP(EDATE(B71,-12),Database!$A:$AS,MATCH($U$1,Database!$A$1:$AS$1,),)))))/(((VLOOKUP(EDATE(B71,-12),Database!$A:$AS,MATCH($U$1,Database!$A$1:$AS$1,),))))</f>
        <v/>
      </c>
      <c r="V71" s="13">
        <f>((((VLOOKUP(B71,Database!$A:$AS,MATCH($V$1,Database!$A$1:$AS$1,),))))-(((VLOOKUP(EDATE(B71,-12),Database!$A:$AS,MATCH($V$1,Database!$A$1:$AS$1,),)))))/(((VLOOKUP(EDATE(B71,-12),Database!$A:$AS,MATCH($V$1,Database!$A$1:$AS$1,),))))</f>
        <v/>
      </c>
    </row>
    <row r="72" customFormat="1" s="94">
      <c r="A72" s="44" t="n"/>
      <c r="B72" s="85" t="n">
        <v>34335</v>
      </c>
      <c r="C72" s="13">
        <f>((((VLOOKUP(B72,Database!$A:$AS,MATCH($C$1,Database!$A$1:$AS$1,),))))-(((VLOOKUP(EDATE(B72,-12),Database!$A:$AS,MATCH($C$1,Database!$A$1:$AS$1,),)))))/(((VLOOKUP(EDATE(B72,-12),Database!$A:$AS,MATCH($C$1,Database!$A$1:$AS$1,),))))</f>
        <v/>
      </c>
      <c r="D72" s="13">
        <f>((((VLOOKUP(B72,Database!$A:$AS,MATCH($D$1,Database!$A$1:$AS$1,),))))-(((VLOOKUP(EDATE(B72,-12),Database!$A:$AS,MATCH($D$1,Database!$A$1:$AS$1,),)))))/(((VLOOKUP(EDATE(B72,-12),Database!$A:$AS,MATCH($D$1,Database!$A$1:$AS$1,),))))</f>
        <v/>
      </c>
      <c r="E72" s="13">
        <f>((((VLOOKUP(B72,Database!$A:$AS,MATCH($E$1,Database!$A$1:$AS$1,),))))-(((VLOOKUP(EDATE(B72,-12),Database!$A:$AS,MATCH($E$1,Database!$A$1:$AS$1,),)))))/(((VLOOKUP(EDATE(B72,-12),Database!$A:$AS,MATCH($E$1,Database!$A$1:$AS$1,),))))</f>
        <v/>
      </c>
      <c r="F72" s="13">
        <f>((((VLOOKUP(B72,Database!$A:$AS,MATCH($F$1,Database!$A$1:$AS$1,),))))-(((VLOOKUP(EDATE(B72,-12),Database!$A:$AS,MATCH($F$1,Database!$A$1:$AS$1,),)))))/(((VLOOKUP(EDATE(B72,-12),Database!$A:$AS,MATCH($F$1,Database!$A$1:$AS$1,),))))</f>
        <v/>
      </c>
      <c r="G72" s="13">
        <f>((((VLOOKUP(B72,Database!$A:$AS,MATCH($G$1,Database!$A$1:$AS$1,),))))-(((VLOOKUP(EDATE(B72,-12),Database!$A:$AS,MATCH($G$1,Database!$A$1:$AS$1,),)))))/(((VLOOKUP(EDATE(B72,-12),Database!$A:$AS,MATCH($G$1,Database!$A$1:$AS$1,),))))</f>
        <v/>
      </c>
      <c r="H72" s="13">
        <f>((((VLOOKUP(B72,Database!$A:$AS,MATCH($H$1,Database!$A$1:$AS$1,),))))-(((VLOOKUP(EDATE(B72,-12),Database!$A:$AS,MATCH($H$1,Database!$A$1:$AS$1,),)))))/(((VLOOKUP(EDATE(B72,-12),Database!$A:$AS,MATCH($H$1,Database!$A$1:$AS$1,),))))</f>
        <v/>
      </c>
      <c r="I72" s="13">
        <f>((((VLOOKUP(B72,Database!$A:$AS,MATCH($I$1,Database!$A$1:$AS$1,),))))-(((VLOOKUP(EDATE(B72,-12),Database!$A:$AS,MATCH($I$1,Database!$A$1:$AS$1,),)))))/(((VLOOKUP(EDATE(B72,-12),Database!$A:$AS,MATCH($I$1,Database!$A$1:$AS$1,),))))</f>
        <v/>
      </c>
      <c r="J72" s="13">
        <f>((((VLOOKUP(B72,Database!$A:$AS,MATCH($J$1,Database!$A$1:$AS$1,),))))-(((VLOOKUP(EDATE(B72,-12),Database!$A:$AS,MATCH($J$1,Database!$A$1:$AS$1,),)))))/(((VLOOKUP(EDATE(B72,-12),Database!$A:$AS,MATCH($J$1,Database!$A$1:$AS$1,),))))</f>
        <v/>
      </c>
      <c r="K72" s="13">
        <f>((((VLOOKUP(B72,Database!$A:$AS,MATCH($K$1,Database!$A$1:$AS$1,),))))-(((VLOOKUP(EDATE(B72,-12),Database!$A:$AS,MATCH($K$1,Database!$A$1:$AS$1,),)))))/(((VLOOKUP(EDATE(B72,-12),Database!$A:$AS,MATCH($K$1,Database!$A$1:$AS$1,),))))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((((VLOOKUP(B72,Database!$A:$AS,MATCH($O$1,Database!$A$1:$AS$1,),))))-(((VLOOKUP(EDATE(B72,-12),Database!$A:$AS,MATCH($O$1,Database!$A$1:$AS$1,),)))))/(((VLOOKUP(EDATE(B72,-12),Database!$A:$AS,MATCH($O$1,Database!$A$1:$AS$1,),))))</f>
        <v/>
      </c>
      <c r="P72" s="13">
        <f>((((VLOOKUP(B72,Database!$A:$AS,MATCH($P$1,Database!$A$1:$AS$1,),))))-(((VLOOKUP(EDATE(B72,-12),Database!$A:$AS,MATCH($P$1,Database!$A$1:$AS$1,),)))))/(((VLOOKUP(EDATE(B72,-12),Database!$A:$AS,MATCH($P$1,Database!$A$1:$AS$1,),))))</f>
        <v/>
      </c>
      <c r="Q72" s="13">
        <f>((((VLOOKUP(B72,Database!$A:$AS,MATCH($Q$1,Database!$A$1:$AS$1,),))))-(((VLOOKUP(EDATE(B72,-12),Database!$A:$AS,MATCH($Q$1,Database!$A$1:$AS$1,),)))))/(((VLOOKUP(EDATE(B72,-12),Database!$A:$AS,MATCH($Q$1,Database!$A$1:$AS$1,),))))</f>
        <v/>
      </c>
      <c r="R72" s="13">
        <f>((((VLOOKUP(B72,Database!$A:$AS,MATCH($R$1,Database!$A$1:$AS$1,),))))-(((VLOOKUP(EDATE(B72,-12),Database!$A:$AS,MATCH($R$1,Database!$A$1:$AS$1,),)))))/(((VLOOKUP(EDATE(B72,-12),Database!$A:$AS,MATCH($R$1,Database!$A$1:$AS$1,),))))</f>
        <v/>
      </c>
      <c r="S72" s="13">
        <f>((((VLOOKUP(B72,Database!$A:$AS,MATCH($S$1,Database!$A$1:$AS$1,),))))-(((VLOOKUP(EDATE(B72,-12),Database!$A:$AS,MATCH($S$1,Database!$A$1:$AS$1,),)))))/(((VLOOKUP(EDATE(B72,-12),Database!$A:$AS,MATCH($S$1,Database!$A$1:$AS$1,),))))</f>
        <v/>
      </c>
      <c r="T72" s="13">
        <f>((((VLOOKUP(B72,Database!$A:$AS,MATCH($T$1,Database!$A$1:$AS$1,),))))-(((VLOOKUP(EDATE(B72,-12),Database!$A:$AS,MATCH($T$1,Database!$A$1:$AS$1,),)))))/(((VLOOKUP(EDATE(B72,-12),Database!$A:$AS,MATCH($T$1,Database!$A$1:$AS$1,),))))</f>
        <v/>
      </c>
      <c r="U72" s="13">
        <f>((((VLOOKUP(B72,Database!$A:$AS,MATCH($U$1,Database!$A$1:$AS$1,),))))-(((VLOOKUP(EDATE(B72,-12),Database!$A:$AS,MATCH($U$1,Database!$A$1:$AS$1,),)))))/(((VLOOKUP(EDATE(B72,-12),Database!$A:$AS,MATCH($U$1,Database!$A$1:$AS$1,),))))</f>
        <v/>
      </c>
      <c r="V72" s="13">
        <f>((((VLOOKUP(B72,Database!$A:$AS,MATCH($V$1,Database!$A$1:$AS$1,),))))-(((VLOOKUP(EDATE(B72,-12),Database!$A:$AS,MATCH($V$1,Database!$A$1:$AS$1,),)))))/(((VLOOKUP(EDATE(B72,-12),Database!$A:$AS,MATCH($V$1,Database!$A$1:$AS$1,),))))</f>
        <v/>
      </c>
    </row>
    <row r="73" customFormat="1" s="94">
      <c r="A73" s="44" t="n"/>
      <c r="B73" s="85" t="n">
        <v>34366</v>
      </c>
      <c r="C73" s="13">
        <f>((((VLOOKUP(B73,Database!$A:$AS,MATCH($C$1,Database!$A$1:$AS$1,),))))-(((VLOOKUP(EDATE(B73,-12),Database!$A:$AS,MATCH($C$1,Database!$A$1:$AS$1,),)))))/(((VLOOKUP(EDATE(B73,-12),Database!$A:$AS,MATCH($C$1,Database!$A$1:$AS$1,),))))</f>
        <v/>
      </c>
      <c r="D73" s="13">
        <f>((((VLOOKUP(B73,Database!$A:$AS,MATCH($D$1,Database!$A$1:$AS$1,),))))-(((VLOOKUP(EDATE(B73,-12),Database!$A:$AS,MATCH($D$1,Database!$A$1:$AS$1,),)))))/(((VLOOKUP(EDATE(B73,-12),Database!$A:$AS,MATCH($D$1,Database!$A$1:$AS$1,),))))</f>
        <v/>
      </c>
      <c r="E73" s="13">
        <f>((((VLOOKUP(B73,Database!$A:$AS,MATCH($E$1,Database!$A$1:$AS$1,),))))-(((VLOOKUP(EDATE(B73,-12),Database!$A:$AS,MATCH($E$1,Database!$A$1:$AS$1,),)))))/(((VLOOKUP(EDATE(B73,-12),Database!$A:$AS,MATCH($E$1,Database!$A$1:$AS$1,),))))</f>
        <v/>
      </c>
      <c r="F73" s="13">
        <f>((((VLOOKUP(B73,Database!$A:$AS,MATCH($F$1,Database!$A$1:$AS$1,),))))-(((VLOOKUP(EDATE(B73,-12),Database!$A:$AS,MATCH($F$1,Database!$A$1:$AS$1,),)))))/(((VLOOKUP(EDATE(B73,-12),Database!$A:$AS,MATCH($F$1,Database!$A$1:$AS$1,),))))</f>
        <v/>
      </c>
      <c r="G73" s="13">
        <f>((((VLOOKUP(B73,Database!$A:$AS,MATCH($G$1,Database!$A$1:$AS$1,),))))-(((VLOOKUP(EDATE(B73,-12),Database!$A:$AS,MATCH($G$1,Database!$A$1:$AS$1,),)))))/(((VLOOKUP(EDATE(B73,-12),Database!$A:$AS,MATCH($G$1,Database!$A$1:$AS$1,),))))</f>
        <v/>
      </c>
      <c r="H73" s="13">
        <f>((((VLOOKUP(B73,Database!$A:$AS,MATCH($H$1,Database!$A$1:$AS$1,),))))-(((VLOOKUP(EDATE(B73,-12),Database!$A:$AS,MATCH($H$1,Database!$A$1:$AS$1,),)))))/(((VLOOKUP(EDATE(B73,-12),Database!$A:$AS,MATCH($H$1,Database!$A$1:$AS$1,),))))</f>
        <v/>
      </c>
      <c r="I73" s="13">
        <f>((((VLOOKUP(B73,Database!$A:$AS,MATCH($I$1,Database!$A$1:$AS$1,),))))-(((VLOOKUP(EDATE(B73,-12),Database!$A:$AS,MATCH($I$1,Database!$A$1:$AS$1,),)))))/(((VLOOKUP(EDATE(B73,-12),Database!$A:$AS,MATCH($I$1,Database!$A$1:$AS$1,),))))</f>
        <v/>
      </c>
      <c r="J73" s="13">
        <f>((((VLOOKUP(B73,Database!$A:$AS,MATCH($J$1,Database!$A$1:$AS$1,),))))-(((VLOOKUP(EDATE(B73,-12),Database!$A:$AS,MATCH($J$1,Database!$A$1:$AS$1,),)))))/(((VLOOKUP(EDATE(B73,-12),Database!$A:$AS,MATCH($J$1,Database!$A$1:$AS$1,),))))</f>
        <v/>
      </c>
      <c r="K73" s="13">
        <f>((((VLOOKUP(B73,Database!$A:$AS,MATCH($K$1,Database!$A$1:$AS$1,),))))-(((VLOOKUP(EDATE(B73,-12),Database!$A:$AS,MATCH($K$1,Database!$A$1:$AS$1,),)))))/(((VLOOKUP(EDATE(B73,-12),Database!$A:$AS,MATCH($K$1,Database!$A$1:$AS$1,),))))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((((VLOOKUP(B73,Database!$A:$AS,MATCH($O$1,Database!$A$1:$AS$1,),))))-(((VLOOKUP(EDATE(B73,-12),Database!$A:$AS,MATCH($O$1,Database!$A$1:$AS$1,),)))))/(((VLOOKUP(EDATE(B73,-12),Database!$A:$AS,MATCH($O$1,Database!$A$1:$AS$1,),))))</f>
        <v/>
      </c>
      <c r="P73" s="13">
        <f>((((VLOOKUP(B73,Database!$A:$AS,MATCH($P$1,Database!$A$1:$AS$1,),))))-(((VLOOKUP(EDATE(B73,-12),Database!$A:$AS,MATCH($P$1,Database!$A$1:$AS$1,),)))))/(((VLOOKUP(EDATE(B73,-12),Database!$A:$AS,MATCH($P$1,Database!$A$1:$AS$1,),))))</f>
        <v/>
      </c>
      <c r="Q73" s="13">
        <f>((((VLOOKUP(B73,Database!$A:$AS,MATCH($Q$1,Database!$A$1:$AS$1,),))))-(((VLOOKUP(EDATE(B73,-12),Database!$A:$AS,MATCH($Q$1,Database!$A$1:$AS$1,),)))))/(((VLOOKUP(EDATE(B73,-12),Database!$A:$AS,MATCH($Q$1,Database!$A$1:$AS$1,),))))</f>
        <v/>
      </c>
      <c r="R73" s="13">
        <f>((((VLOOKUP(B73,Database!$A:$AS,MATCH($R$1,Database!$A$1:$AS$1,),))))-(((VLOOKUP(EDATE(B73,-12),Database!$A:$AS,MATCH($R$1,Database!$A$1:$AS$1,),)))))/(((VLOOKUP(EDATE(B73,-12),Database!$A:$AS,MATCH($R$1,Database!$A$1:$AS$1,),))))</f>
        <v/>
      </c>
      <c r="S73" s="13">
        <f>((((VLOOKUP(B73,Database!$A:$AS,MATCH($S$1,Database!$A$1:$AS$1,),))))-(((VLOOKUP(EDATE(B73,-12),Database!$A:$AS,MATCH($S$1,Database!$A$1:$AS$1,),)))))/(((VLOOKUP(EDATE(B73,-12),Database!$A:$AS,MATCH($S$1,Database!$A$1:$AS$1,),))))</f>
        <v/>
      </c>
      <c r="T73" s="13">
        <f>((((VLOOKUP(B73,Database!$A:$AS,MATCH($T$1,Database!$A$1:$AS$1,),))))-(((VLOOKUP(EDATE(B73,-12),Database!$A:$AS,MATCH($T$1,Database!$A$1:$AS$1,),)))))/(((VLOOKUP(EDATE(B73,-12),Database!$A:$AS,MATCH($T$1,Database!$A$1:$AS$1,),))))</f>
        <v/>
      </c>
      <c r="U73" s="13">
        <f>((((VLOOKUP(B73,Database!$A:$AS,MATCH($U$1,Database!$A$1:$AS$1,),))))-(((VLOOKUP(EDATE(B73,-12),Database!$A:$AS,MATCH($U$1,Database!$A$1:$AS$1,),)))))/(((VLOOKUP(EDATE(B73,-12),Database!$A:$AS,MATCH($U$1,Database!$A$1:$AS$1,),))))</f>
        <v/>
      </c>
      <c r="V73" s="13">
        <f>((((VLOOKUP(B73,Database!$A:$AS,MATCH($V$1,Database!$A$1:$AS$1,),))))-(((VLOOKUP(EDATE(B73,-12),Database!$A:$AS,MATCH($V$1,Database!$A$1:$AS$1,),)))))/(((VLOOKUP(EDATE(B73,-12),Database!$A:$AS,MATCH($V$1,Database!$A$1:$AS$1,),))))</f>
        <v/>
      </c>
    </row>
    <row r="74" customFormat="1" s="94">
      <c r="A74" s="44" t="n"/>
      <c r="B74" s="85" t="n">
        <v>34394</v>
      </c>
      <c r="C74" s="13">
        <f>((((VLOOKUP(B74,Database!$A:$AS,MATCH($C$1,Database!$A$1:$AS$1,),))))-(((VLOOKUP(EDATE(B74,-12),Database!$A:$AS,MATCH($C$1,Database!$A$1:$AS$1,),)))))/(((VLOOKUP(EDATE(B74,-12),Database!$A:$AS,MATCH($C$1,Database!$A$1:$AS$1,),))))</f>
        <v/>
      </c>
      <c r="D74" s="13">
        <f>((((VLOOKUP(B74,Database!$A:$AS,MATCH($D$1,Database!$A$1:$AS$1,),))))-(((VLOOKUP(EDATE(B74,-12),Database!$A:$AS,MATCH($D$1,Database!$A$1:$AS$1,),)))))/(((VLOOKUP(EDATE(B74,-12),Database!$A:$AS,MATCH($D$1,Database!$A$1:$AS$1,),))))</f>
        <v/>
      </c>
      <c r="E74" s="13">
        <f>((((VLOOKUP(B74,Database!$A:$AS,MATCH($E$1,Database!$A$1:$AS$1,),))))-(((VLOOKUP(EDATE(B74,-12),Database!$A:$AS,MATCH($E$1,Database!$A$1:$AS$1,),)))))/(((VLOOKUP(EDATE(B74,-12),Database!$A:$AS,MATCH($E$1,Database!$A$1:$AS$1,),))))</f>
        <v/>
      </c>
      <c r="F74" s="13">
        <f>((((VLOOKUP(B74,Database!$A:$AS,MATCH($F$1,Database!$A$1:$AS$1,),))))-(((VLOOKUP(EDATE(B74,-12),Database!$A:$AS,MATCH($F$1,Database!$A$1:$AS$1,),)))))/(((VLOOKUP(EDATE(B74,-12),Database!$A:$AS,MATCH($F$1,Database!$A$1:$AS$1,),))))</f>
        <v/>
      </c>
      <c r="G74" s="13">
        <f>((((VLOOKUP(B74,Database!$A:$AS,MATCH($G$1,Database!$A$1:$AS$1,),))))-(((VLOOKUP(EDATE(B74,-12),Database!$A:$AS,MATCH($G$1,Database!$A$1:$AS$1,),)))))/(((VLOOKUP(EDATE(B74,-12),Database!$A:$AS,MATCH($G$1,Database!$A$1:$AS$1,),))))</f>
        <v/>
      </c>
      <c r="H74" s="13">
        <f>((((VLOOKUP(B74,Database!$A:$AS,MATCH($H$1,Database!$A$1:$AS$1,),))))-(((VLOOKUP(EDATE(B74,-12),Database!$A:$AS,MATCH($H$1,Database!$A$1:$AS$1,),)))))/(((VLOOKUP(EDATE(B74,-12),Database!$A:$AS,MATCH($H$1,Database!$A$1:$AS$1,),))))</f>
        <v/>
      </c>
      <c r="I74" s="13">
        <f>((((VLOOKUP(B74,Database!$A:$AS,MATCH($I$1,Database!$A$1:$AS$1,),))))-(((VLOOKUP(EDATE(B74,-12),Database!$A:$AS,MATCH($I$1,Database!$A$1:$AS$1,),)))))/(((VLOOKUP(EDATE(B74,-12),Database!$A:$AS,MATCH($I$1,Database!$A$1:$AS$1,),))))</f>
        <v/>
      </c>
      <c r="J74" s="13">
        <f>((((VLOOKUP(B74,Database!$A:$AS,MATCH($J$1,Database!$A$1:$AS$1,),))))-(((VLOOKUP(EDATE(B74,-12),Database!$A:$AS,MATCH($J$1,Database!$A$1:$AS$1,),)))))/(((VLOOKUP(EDATE(B74,-12),Database!$A:$AS,MATCH($J$1,Database!$A$1:$AS$1,),))))</f>
        <v/>
      </c>
      <c r="K74" s="13">
        <f>((((VLOOKUP(B74,Database!$A:$AS,MATCH($K$1,Database!$A$1:$AS$1,),))))-(((VLOOKUP(EDATE(B74,-12),Database!$A:$AS,MATCH($K$1,Database!$A$1:$AS$1,),)))))/(((VLOOKUP(EDATE(B74,-12),Database!$A:$AS,MATCH($K$1,Database!$A$1:$AS$1,),))))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((((VLOOKUP(B74,Database!$A:$AS,MATCH($O$1,Database!$A$1:$AS$1,),))))-(((VLOOKUP(EDATE(B74,-12),Database!$A:$AS,MATCH($O$1,Database!$A$1:$AS$1,),)))))/(((VLOOKUP(EDATE(B74,-12),Database!$A:$AS,MATCH($O$1,Database!$A$1:$AS$1,),))))</f>
        <v/>
      </c>
      <c r="P74" s="13">
        <f>((((VLOOKUP(B74,Database!$A:$AS,MATCH($P$1,Database!$A$1:$AS$1,),))))-(((VLOOKUP(EDATE(B74,-12),Database!$A:$AS,MATCH($P$1,Database!$A$1:$AS$1,),)))))/(((VLOOKUP(EDATE(B74,-12),Database!$A:$AS,MATCH($P$1,Database!$A$1:$AS$1,),))))</f>
        <v/>
      </c>
      <c r="Q74" s="13">
        <f>((((VLOOKUP(B74,Database!$A:$AS,MATCH($Q$1,Database!$A$1:$AS$1,),))))-(((VLOOKUP(EDATE(B74,-12),Database!$A:$AS,MATCH($Q$1,Database!$A$1:$AS$1,),)))))/(((VLOOKUP(EDATE(B74,-12),Database!$A:$AS,MATCH($Q$1,Database!$A$1:$AS$1,),))))</f>
        <v/>
      </c>
      <c r="R74" s="13">
        <f>((((VLOOKUP(B74,Database!$A:$AS,MATCH($R$1,Database!$A$1:$AS$1,),))))-(((VLOOKUP(EDATE(B74,-12),Database!$A:$AS,MATCH($R$1,Database!$A$1:$AS$1,),)))))/(((VLOOKUP(EDATE(B74,-12),Database!$A:$AS,MATCH($R$1,Database!$A$1:$AS$1,),))))</f>
        <v/>
      </c>
      <c r="S74" s="13">
        <f>((((VLOOKUP(B74,Database!$A:$AS,MATCH($S$1,Database!$A$1:$AS$1,),))))-(((VLOOKUP(EDATE(B74,-12),Database!$A:$AS,MATCH($S$1,Database!$A$1:$AS$1,),)))))/(((VLOOKUP(EDATE(B74,-12),Database!$A:$AS,MATCH($S$1,Database!$A$1:$AS$1,),))))</f>
        <v/>
      </c>
      <c r="T74" s="13">
        <f>((((VLOOKUP(B74,Database!$A:$AS,MATCH($T$1,Database!$A$1:$AS$1,),))))-(((VLOOKUP(EDATE(B74,-12),Database!$A:$AS,MATCH($T$1,Database!$A$1:$AS$1,),)))))/(((VLOOKUP(EDATE(B74,-12),Database!$A:$AS,MATCH($T$1,Database!$A$1:$AS$1,),))))</f>
        <v/>
      </c>
      <c r="U74" s="13">
        <f>((((VLOOKUP(B74,Database!$A:$AS,MATCH($U$1,Database!$A$1:$AS$1,),))))-(((VLOOKUP(EDATE(B74,-12),Database!$A:$AS,MATCH($U$1,Database!$A$1:$AS$1,),)))))/(((VLOOKUP(EDATE(B74,-12),Database!$A:$AS,MATCH($U$1,Database!$A$1:$AS$1,),))))</f>
        <v/>
      </c>
      <c r="V74" s="13">
        <f>((((VLOOKUP(B74,Database!$A:$AS,MATCH($V$1,Database!$A$1:$AS$1,),))))-(((VLOOKUP(EDATE(B74,-12),Database!$A:$AS,MATCH($V$1,Database!$A$1:$AS$1,),)))))/(((VLOOKUP(EDATE(B74,-12),Database!$A:$AS,MATCH($V$1,Database!$A$1:$AS$1,),))))</f>
        <v/>
      </c>
    </row>
    <row r="75" customFormat="1" s="94">
      <c r="A75" s="44" t="n"/>
      <c r="B75" s="85" t="n">
        <v>34425</v>
      </c>
      <c r="C75" s="13">
        <f>((((VLOOKUP(B75,Database!$A:$AS,MATCH($C$1,Database!$A$1:$AS$1,),))))-(((VLOOKUP(EDATE(B75,-12),Database!$A:$AS,MATCH($C$1,Database!$A$1:$AS$1,),)))))/(((VLOOKUP(EDATE(B75,-12),Database!$A:$AS,MATCH($C$1,Database!$A$1:$AS$1,),))))</f>
        <v/>
      </c>
      <c r="D75" s="13">
        <f>((((VLOOKUP(B75,Database!$A:$AS,MATCH($D$1,Database!$A$1:$AS$1,),))))-(((VLOOKUP(EDATE(B75,-12),Database!$A:$AS,MATCH($D$1,Database!$A$1:$AS$1,),)))))/(((VLOOKUP(EDATE(B75,-12),Database!$A:$AS,MATCH($D$1,Database!$A$1:$AS$1,),))))</f>
        <v/>
      </c>
      <c r="E75" s="13">
        <f>((((VLOOKUP(B75,Database!$A:$AS,MATCH($E$1,Database!$A$1:$AS$1,),))))-(((VLOOKUP(EDATE(B75,-12),Database!$A:$AS,MATCH($E$1,Database!$A$1:$AS$1,),)))))/(((VLOOKUP(EDATE(B75,-12),Database!$A:$AS,MATCH($E$1,Database!$A$1:$AS$1,),))))</f>
        <v/>
      </c>
      <c r="F75" s="13">
        <f>((((VLOOKUP(B75,Database!$A:$AS,MATCH($F$1,Database!$A$1:$AS$1,),))))-(((VLOOKUP(EDATE(B75,-12),Database!$A:$AS,MATCH($F$1,Database!$A$1:$AS$1,),)))))/(((VLOOKUP(EDATE(B75,-12),Database!$A:$AS,MATCH($F$1,Database!$A$1:$AS$1,),))))</f>
        <v/>
      </c>
      <c r="G75" s="13">
        <f>((((VLOOKUP(B75,Database!$A:$AS,MATCH($G$1,Database!$A$1:$AS$1,),))))-(((VLOOKUP(EDATE(B75,-12),Database!$A:$AS,MATCH($G$1,Database!$A$1:$AS$1,),)))))/(((VLOOKUP(EDATE(B75,-12),Database!$A:$AS,MATCH($G$1,Database!$A$1:$AS$1,),))))</f>
        <v/>
      </c>
      <c r="H75" s="13">
        <f>((((VLOOKUP(B75,Database!$A:$AS,MATCH($H$1,Database!$A$1:$AS$1,),))))-(((VLOOKUP(EDATE(B75,-12),Database!$A:$AS,MATCH($H$1,Database!$A$1:$AS$1,),)))))/(((VLOOKUP(EDATE(B75,-12),Database!$A:$AS,MATCH($H$1,Database!$A$1:$AS$1,),))))</f>
        <v/>
      </c>
      <c r="I75" s="13">
        <f>((((VLOOKUP(B75,Database!$A:$AS,MATCH($I$1,Database!$A$1:$AS$1,),))))-(((VLOOKUP(EDATE(B75,-12),Database!$A:$AS,MATCH($I$1,Database!$A$1:$AS$1,),)))))/(((VLOOKUP(EDATE(B75,-12),Database!$A:$AS,MATCH($I$1,Database!$A$1:$AS$1,),))))</f>
        <v/>
      </c>
      <c r="J75" s="13">
        <f>((((VLOOKUP(B75,Database!$A:$AS,MATCH($J$1,Database!$A$1:$AS$1,),))))-(((VLOOKUP(EDATE(B75,-12),Database!$A:$AS,MATCH($J$1,Database!$A$1:$AS$1,),)))))/(((VLOOKUP(EDATE(B75,-12),Database!$A:$AS,MATCH($J$1,Database!$A$1:$AS$1,),))))</f>
        <v/>
      </c>
      <c r="K75" s="13">
        <f>((((VLOOKUP(B75,Database!$A:$AS,MATCH($K$1,Database!$A$1:$AS$1,),))))-(((VLOOKUP(EDATE(B75,-12),Database!$A:$AS,MATCH($K$1,Database!$A$1:$AS$1,),)))))/(((VLOOKUP(EDATE(B75,-12),Database!$A:$AS,MATCH($K$1,Database!$A$1:$AS$1,),))))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((((VLOOKUP(B75,Database!$A:$AS,MATCH($O$1,Database!$A$1:$AS$1,),))))-(((VLOOKUP(EDATE(B75,-12),Database!$A:$AS,MATCH($O$1,Database!$A$1:$AS$1,),)))))/(((VLOOKUP(EDATE(B75,-12),Database!$A:$AS,MATCH($O$1,Database!$A$1:$AS$1,),))))</f>
        <v/>
      </c>
      <c r="P75" s="13">
        <f>((((VLOOKUP(B75,Database!$A:$AS,MATCH($P$1,Database!$A$1:$AS$1,),))))-(((VLOOKUP(EDATE(B75,-12),Database!$A:$AS,MATCH($P$1,Database!$A$1:$AS$1,),)))))/(((VLOOKUP(EDATE(B75,-12),Database!$A:$AS,MATCH($P$1,Database!$A$1:$AS$1,),))))</f>
        <v/>
      </c>
      <c r="Q75" s="13">
        <f>((((VLOOKUP(B75,Database!$A:$AS,MATCH($Q$1,Database!$A$1:$AS$1,),))))-(((VLOOKUP(EDATE(B75,-12),Database!$A:$AS,MATCH($Q$1,Database!$A$1:$AS$1,),)))))/(((VLOOKUP(EDATE(B75,-12),Database!$A:$AS,MATCH($Q$1,Database!$A$1:$AS$1,),))))</f>
        <v/>
      </c>
      <c r="R75" s="13">
        <f>((((VLOOKUP(B75,Database!$A:$AS,MATCH($R$1,Database!$A$1:$AS$1,),))))-(((VLOOKUP(EDATE(B75,-12),Database!$A:$AS,MATCH($R$1,Database!$A$1:$AS$1,),)))))/(((VLOOKUP(EDATE(B75,-12),Database!$A:$AS,MATCH($R$1,Database!$A$1:$AS$1,),))))</f>
        <v/>
      </c>
      <c r="S75" s="13">
        <f>((((VLOOKUP(B75,Database!$A:$AS,MATCH($S$1,Database!$A$1:$AS$1,),))))-(((VLOOKUP(EDATE(B75,-12),Database!$A:$AS,MATCH($S$1,Database!$A$1:$AS$1,),)))))/(((VLOOKUP(EDATE(B75,-12),Database!$A:$AS,MATCH($S$1,Database!$A$1:$AS$1,),))))</f>
        <v/>
      </c>
      <c r="T75" s="13">
        <f>((((VLOOKUP(B75,Database!$A:$AS,MATCH($T$1,Database!$A$1:$AS$1,),))))-(((VLOOKUP(EDATE(B75,-12),Database!$A:$AS,MATCH($T$1,Database!$A$1:$AS$1,),)))))/(((VLOOKUP(EDATE(B75,-12),Database!$A:$AS,MATCH($T$1,Database!$A$1:$AS$1,),))))</f>
        <v/>
      </c>
      <c r="U75" s="13">
        <f>((((VLOOKUP(B75,Database!$A:$AS,MATCH($U$1,Database!$A$1:$AS$1,),))))-(((VLOOKUP(EDATE(B75,-12),Database!$A:$AS,MATCH($U$1,Database!$A$1:$AS$1,),)))))/(((VLOOKUP(EDATE(B75,-12),Database!$A:$AS,MATCH($U$1,Database!$A$1:$AS$1,),))))</f>
        <v/>
      </c>
      <c r="V75" s="13">
        <f>((((VLOOKUP(B75,Database!$A:$AS,MATCH($V$1,Database!$A$1:$AS$1,),))))-(((VLOOKUP(EDATE(B75,-12),Database!$A:$AS,MATCH($V$1,Database!$A$1:$AS$1,),)))))/(((VLOOKUP(EDATE(B75,-12),Database!$A:$AS,MATCH($V$1,Database!$A$1:$AS$1,),))))</f>
        <v/>
      </c>
    </row>
    <row r="76" customFormat="1" s="94">
      <c r="A76" s="44" t="n"/>
      <c r="B76" s="85" t="n">
        <v>34455</v>
      </c>
      <c r="C76" s="13">
        <f>((((VLOOKUP(B76,Database!$A:$AS,MATCH($C$1,Database!$A$1:$AS$1,),))))-(((VLOOKUP(EDATE(B76,-12),Database!$A:$AS,MATCH($C$1,Database!$A$1:$AS$1,),)))))/(((VLOOKUP(EDATE(B76,-12),Database!$A:$AS,MATCH($C$1,Database!$A$1:$AS$1,),))))</f>
        <v/>
      </c>
      <c r="D76" s="13">
        <f>((((VLOOKUP(B76,Database!$A:$AS,MATCH($D$1,Database!$A$1:$AS$1,),))))-(((VLOOKUP(EDATE(B76,-12),Database!$A:$AS,MATCH($D$1,Database!$A$1:$AS$1,),)))))/(((VLOOKUP(EDATE(B76,-12),Database!$A:$AS,MATCH($D$1,Database!$A$1:$AS$1,),))))</f>
        <v/>
      </c>
      <c r="E76" s="13">
        <f>((((VLOOKUP(B76,Database!$A:$AS,MATCH($E$1,Database!$A$1:$AS$1,),))))-(((VLOOKUP(EDATE(B76,-12),Database!$A:$AS,MATCH($E$1,Database!$A$1:$AS$1,),)))))/(((VLOOKUP(EDATE(B76,-12),Database!$A:$AS,MATCH($E$1,Database!$A$1:$AS$1,),))))</f>
        <v/>
      </c>
      <c r="F76" s="13">
        <f>((((VLOOKUP(B76,Database!$A:$AS,MATCH($F$1,Database!$A$1:$AS$1,),))))-(((VLOOKUP(EDATE(B76,-12),Database!$A:$AS,MATCH($F$1,Database!$A$1:$AS$1,),)))))/(((VLOOKUP(EDATE(B76,-12),Database!$A:$AS,MATCH($F$1,Database!$A$1:$AS$1,),))))</f>
        <v/>
      </c>
      <c r="G76" s="13">
        <f>((((VLOOKUP(B76,Database!$A:$AS,MATCH($G$1,Database!$A$1:$AS$1,),))))-(((VLOOKUP(EDATE(B76,-12),Database!$A:$AS,MATCH($G$1,Database!$A$1:$AS$1,),)))))/(((VLOOKUP(EDATE(B76,-12),Database!$A:$AS,MATCH($G$1,Database!$A$1:$AS$1,),))))</f>
        <v/>
      </c>
      <c r="H76" s="13">
        <f>((((VLOOKUP(B76,Database!$A:$AS,MATCH($H$1,Database!$A$1:$AS$1,),))))-(((VLOOKUP(EDATE(B76,-12),Database!$A:$AS,MATCH($H$1,Database!$A$1:$AS$1,),)))))/(((VLOOKUP(EDATE(B76,-12),Database!$A:$AS,MATCH($H$1,Database!$A$1:$AS$1,),))))</f>
        <v/>
      </c>
      <c r="I76" s="13">
        <f>((((VLOOKUP(B76,Database!$A:$AS,MATCH($I$1,Database!$A$1:$AS$1,),))))-(((VLOOKUP(EDATE(B76,-12),Database!$A:$AS,MATCH($I$1,Database!$A$1:$AS$1,),)))))/(((VLOOKUP(EDATE(B76,-12),Database!$A:$AS,MATCH($I$1,Database!$A$1:$AS$1,),))))</f>
        <v/>
      </c>
      <c r="J76" s="13">
        <f>((((VLOOKUP(B76,Database!$A:$AS,MATCH($J$1,Database!$A$1:$AS$1,),))))-(((VLOOKUP(EDATE(B76,-12),Database!$A:$AS,MATCH($J$1,Database!$A$1:$AS$1,),)))))/(((VLOOKUP(EDATE(B76,-12),Database!$A:$AS,MATCH($J$1,Database!$A$1:$AS$1,),))))</f>
        <v/>
      </c>
      <c r="K76" s="13">
        <f>((((VLOOKUP(B76,Database!$A:$AS,MATCH($K$1,Database!$A$1:$AS$1,),))))-(((VLOOKUP(EDATE(B76,-12),Database!$A:$AS,MATCH($K$1,Database!$A$1:$AS$1,),)))))/(((VLOOKUP(EDATE(B76,-12),Database!$A:$AS,MATCH($K$1,Database!$A$1:$AS$1,),))))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((((VLOOKUP(B76,Database!$A:$AS,MATCH($O$1,Database!$A$1:$AS$1,),))))-(((VLOOKUP(EDATE(B76,-12),Database!$A:$AS,MATCH($O$1,Database!$A$1:$AS$1,),)))))/(((VLOOKUP(EDATE(B76,-12),Database!$A:$AS,MATCH($O$1,Database!$A$1:$AS$1,),))))</f>
        <v/>
      </c>
      <c r="P76" s="13">
        <f>((((VLOOKUP(B76,Database!$A:$AS,MATCH($P$1,Database!$A$1:$AS$1,),))))-(((VLOOKUP(EDATE(B76,-12),Database!$A:$AS,MATCH($P$1,Database!$A$1:$AS$1,),)))))/(((VLOOKUP(EDATE(B76,-12),Database!$A:$AS,MATCH($P$1,Database!$A$1:$AS$1,),))))</f>
        <v/>
      </c>
      <c r="Q76" s="13">
        <f>((((VLOOKUP(B76,Database!$A:$AS,MATCH($Q$1,Database!$A$1:$AS$1,),))))-(((VLOOKUP(EDATE(B76,-12),Database!$A:$AS,MATCH($Q$1,Database!$A$1:$AS$1,),)))))/(((VLOOKUP(EDATE(B76,-12),Database!$A:$AS,MATCH($Q$1,Database!$A$1:$AS$1,),))))</f>
        <v/>
      </c>
      <c r="R76" s="13">
        <f>((((VLOOKUP(B76,Database!$A:$AS,MATCH($R$1,Database!$A$1:$AS$1,),))))-(((VLOOKUP(EDATE(B76,-12),Database!$A:$AS,MATCH($R$1,Database!$A$1:$AS$1,),)))))/(((VLOOKUP(EDATE(B76,-12),Database!$A:$AS,MATCH($R$1,Database!$A$1:$AS$1,),))))</f>
        <v/>
      </c>
      <c r="S76" s="13">
        <f>((((VLOOKUP(B76,Database!$A:$AS,MATCH($S$1,Database!$A$1:$AS$1,),))))-(((VLOOKUP(EDATE(B76,-12),Database!$A:$AS,MATCH($S$1,Database!$A$1:$AS$1,),)))))/(((VLOOKUP(EDATE(B76,-12),Database!$A:$AS,MATCH($S$1,Database!$A$1:$AS$1,),))))</f>
        <v/>
      </c>
      <c r="T76" s="13">
        <f>((((VLOOKUP(B76,Database!$A:$AS,MATCH($T$1,Database!$A$1:$AS$1,),))))-(((VLOOKUP(EDATE(B76,-12),Database!$A:$AS,MATCH($T$1,Database!$A$1:$AS$1,),)))))/(((VLOOKUP(EDATE(B76,-12),Database!$A:$AS,MATCH($T$1,Database!$A$1:$AS$1,),))))</f>
        <v/>
      </c>
      <c r="U76" s="13">
        <f>((((VLOOKUP(B76,Database!$A:$AS,MATCH($U$1,Database!$A$1:$AS$1,),))))-(((VLOOKUP(EDATE(B76,-12),Database!$A:$AS,MATCH($U$1,Database!$A$1:$AS$1,),)))))/(((VLOOKUP(EDATE(B76,-12),Database!$A:$AS,MATCH($U$1,Database!$A$1:$AS$1,),))))</f>
        <v/>
      </c>
      <c r="V76" s="13">
        <f>((((VLOOKUP(B76,Database!$A:$AS,MATCH($V$1,Database!$A$1:$AS$1,),))))-(((VLOOKUP(EDATE(B76,-12),Database!$A:$AS,MATCH($V$1,Database!$A$1:$AS$1,),)))))/(((VLOOKUP(EDATE(B76,-12),Database!$A:$AS,MATCH($V$1,Database!$A$1:$AS$1,),))))</f>
        <v/>
      </c>
    </row>
    <row r="77" customFormat="1" s="94">
      <c r="A77" s="44" t="n"/>
      <c r="B77" s="85" t="n">
        <v>34486</v>
      </c>
      <c r="C77" s="13">
        <f>((((VLOOKUP(B77,Database!$A:$AS,MATCH($C$1,Database!$A$1:$AS$1,),))))-(((VLOOKUP(EDATE(B77,-12),Database!$A:$AS,MATCH($C$1,Database!$A$1:$AS$1,),)))))/(((VLOOKUP(EDATE(B77,-12),Database!$A:$AS,MATCH($C$1,Database!$A$1:$AS$1,),))))</f>
        <v/>
      </c>
      <c r="D77" s="13">
        <f>((((VLOOKUP(B77,Database!$A:$AS,MATCH($D$1,Database!$A$1:$AS$1,),))))-(((VLOOKUP(EDATE(B77,-12),Database!$A:$AS,MATCH($D$1,Database!$A$1:$AS$1,),)))))/(((VLOOKUP(EDATE(B77,-12),Database!$A:$AS,MATCH($D$1,Database!$A$1:$AS$1,),))))</f>
        <v/>
      </c>
      <c r="E77" s="13">
        <f>((((VLOOKUP(B77,Database!$A:$AS,MATCH($E$1,Database!$A$1:$AS$1,),))))-(((VLOOKUP(EDATE(B77,-12),Database!$A:$AS,MATCH($E$1,Database!$A$1:$AS$1,),)))))/(((VLOOKUP(EDATE(B77,-12),Database!$A:$AS,MATCH($E$1,Database!$A$1:$AS$1,),))))</f>
        <v/>
      </c>
      <c r="F77" s="13">
        <f>((((VLOOKUP(B77,Database!$A:$AS,MATCH($F$1,Database!$A$1:$AS$1,),))))-(((VLOOKUP(EDATE(B77,-12),Database!$A:$AS,MATCH($F$1,Database!$A$1:$AS$1,),)))))/(((VLOOKUP(EDATE(B77,-12),Database!$A:$AS,MATCH($F$1,Database!$A$1:$AS$1,),))))</f>
        <v/>
      </c>
      <c r="G77" s="13">
        <f>((((VLOOKUP(B77,Database!$A:$AS,MATCH($G$1,Database!$A$1:$AS$1,),))))-(((VLOOKUP(EDATE(B77,-12),Database!$A:$AS,MATCH($G$1,Database!$A$1:$AS$1,),)))))/(((VLOOKUP(EDATE(B77,-12),Database!$A:$AS,MATCH($G$1,Database!$A$1:$AS$1,),))))</f>
        <v/>
      </c>
      <c r="H77" s="13">
        <f>((((VLOOKUP(B77,Database!$A:$AS,MATCH($H$1,Database!$A$1:$AS$1,),))))-(((VLOOKUP(EDATE(B77,-12),Database!$A:$AS,MATCH($H$1,Database!$A$1:$AS$1,),)))))/(((VLOOKUP(EDATE(B77,-12),Database!$A:$AS,MATCH($H$1,Database!$A$1:$AS$1,),))))</f>
        <v/>
      </c>
      <c r="I77" s="13">
        <f>((((VLOOKUP(B77,Database!$A:$AS,MATCH($I$1,Database!$A$1:$AS$1,),))))-(((VLOOKUP(EDATE(B77,-12),Database!$A:$AS,MATCH($I$1,Database!$A$1:$AS$1,),)))))/(((VLOOKUP(EDATE(B77,-12),Database!$A:$AS,MATCH($I$1,Database!$A$1:$AS$1,),))))</f>
        <v/>
      </c>
      <c r="J77" s="13">
        <f>((((VLOOKUP(B77,Database!$A:$AS,MATCH($J$1,Database!$A$1:$AS$1,),))))-(((VLOOKUP(EDATE(B77,-12),Database!$A:$AS,MATCH($J$1,Database!$A$1:$AS$1,),)))))/(((VLOOKUP(EDATE(B77,-12),Database!$A:$AS,MATCH($J$1,Database!$A$1:$AS$1,),))))</f>
        <v/>
      </c>
      <c r="K77" s="13">
        <f>((((VLOOKUP(B77,Database!$A:$AS,MATCH($K$1,Database!$A$1:$AS$1,),))))-(((VLOOKUP(EDATE(B77,-12),Database!$A:$AS,MATCH($K$1,Database!$A$1:$AS$1,),)))))/(((VLOOKUP(EDATE(B77,-12),Database!$A:$AS,MATCH($K$1,Database!$A$1:$AS$1,),))))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((((VLOOKUP(B77,Database!$A:$AS,MATCH($O$1,Database!$A$1:$AS$1,),))))-(((VLOOKUP(EDATE(B77,-12),Database!$A:$AS,MATCH($O$1,Database!$A$1:$AS$1,),)))))/(((VLOOKUP(EDATE(B77,-12),Database!$A:$AS,MATCH($O$1,Database!$A$1:$AS$1,),))))</f>
        <v/>
      </c>
      <c r="P77" s="13">
        <f>((((VLOOKUP(B77,Database!$A:$AS,MATCH($P$1,Database!$A$1:$AS$1,),))))-(((VLOOKUP(EDATE(B77,-12),Database!$A:$AS,MATCH($P$1,Database!$A$1:$AS$1,),)))))/(((VLOOKUP(EDATE(B77,-12),Database!$A:$AS,MATCH($P$1,Database!$A$1:$AS$1,),))))</f>
        <v/>
      </c>
      <c r="Q77" s="13">
        <f>((((VLOOKUP(B77,Database!$A:$AS,MATCH($Q$1,Database!$A$1:$AS$1,),))))-(((VLOOKUP(EDATE(B77,-12),Database!$A:$AS,MATCH($Q$1,Database!$A$1:$AS$1,),)))))/(((VLOOKUP(EDATE(B77,-12),Database!$A:$AS,MATCH($Q$1,Database!$A$1:$AS$1,),))))</f>
        <v/>
      </c>
      <c r="R77" s="13">
        <f>((((VLOOKUP(B77,Database!$A:$AS,MATCH($R$1,Database!$A$1:$AS$1,),))))-(((VLOOKUP(EDATE(B77,-12),Database!$A:$AS,MATCH($R$1,Database!$A$1:$AS$1,),)))))/(((VLOOKUP(EDATE(B77,-12),Database!$A:$AS,MATCH($R$1,Database!$A$1:$AS$1,),))))</f>
        <v/>
      </c>
      <c r="S77" s="13">
        <f>((((VLOOKUP(B77,Database!$A:$AS,MATCH($S$1,Database!$A$1:$AS$1,),))))-(((VLOOKUP(EDATE(B77,-12),Database!$A:$AS,MATCH($S$1,Database!$A$1:$AS$1,),)))))/(((VLOOKUP(EDATE(B77,-12),Database!$A:$AS,MATCH($S$1,Database!$A$1:$AS$1,),))))</f>
        <v/>
      </c>
      <c r="T77" s="13">
        <f>((((VLOOKUP(B77,Database!$A:$AS,MATCH($T$1,Database!$A$1:$AS$1,),))))-(((VLOOKUP(EDATE(B77,-12),Database!$A:$AS,MATCH($T$1,Database!$A$1:$AS$1,),)))))/(((VLOOKUP(EDATE(B77,-12),Database!$A:$AS,MATCH($T$1,Database!$A$1:$AS$1,),))))</f>
        <v/>
      </c>
      <c r="U77" s="13">
        <f>((((VLOOKUP(B77,Database!$A:$AS,MATCH($U$1,Database!$A$1:$AS$1,),))))-(((VLOOKUP(EDATE(B77,-12),Database!$A:$AS,MATCH($U$1,Database!$A$1:$AS$1,),)))))/(((VLOOKUP(EDATE(B77,-12),Database!$A:$AS,MATCH($U$1,Database!$A$1:$AS$1,),))))</f>
        <v/>
      </c>
      <c r="V77" s="13">
        <f>((((VLOOKUP(B77,Database!$A:$AS,MATCH($V$1,Database!$A$1:$AS$1,),))))-(((VLOOKUP(EDATE(B77,-12),Database!$A:$AS,MATCH($V$1,Database!$A$1:$AS$1,),)))))/(((VLOOKUP(EDATE(B77,-12),Database!$A:$AS,MATCH($V$1,Database!$A$1:$AS$1,),))))</f>
        <v/>
      </c>
    </row>
    <row r="78" customFormat="1" s="94">
      <c r="A78" s="44" t="n"/>
      <c r="B78" s="85" t="n">
        <v>34516</v>
      </c>
      <c r="C78" s="13">
        <f>((((VLOOKUP(B78,Database!$A:$AS,MATCH($C$1,Database!$A$1:$AS$1,),))))-(((VLOOKUP(EDATE(B78,-12),Database!$A:$AS,MATCH($C$1,Database!$A$1:$AS$1,),)))))/(((VLOOKUP(EDATE(B78,-12),Database!$A:$AS,MATCH($C$1,Database!$A$1:$AS$1,),))))</f>
        <v/>
      </c>
      <c r="D78" s="13">
        <f>((((VLOOKUP(B78,Database!$A:$AS,MATCH($D$1,Database!$A$1:$AS$1,),))))-(((VLOOKUP(EDATE(B78,-12),Database!$A:$AS,MATCH($D$1,Database!$A$1:$AS$1,),)))))/(((VLOOKUP(EDATE(B78,-12),Database!$A:$AS,MATCH($D$1,Database!$A$1:$AS$1,),))))</f>
        <v/>
      </c>
      <c r="E78" s="13">
        <f>((((VLOOKUP(B78,Database!$A:$AS,MATCH($E$1,Database!$A$1:$AS$1,),))))-(((VLOOKUP(EDATE(B78,-12),Database!$A:$AS,MATCH($E$1,Database!$A$1:$AS$1,),)))))/(((VLOOKUP(EDATE(B78,-12),Database!$A:$AS,MATCH($E$1,Database!$A$1:$AS$1,),))))</f>
        <v/>
      </c>
      <c r="F78" s="13">
        <f>((((VLOOKUP(B78,Database!$A:$AS,MATCH($F$1,Database!$A$1:$AS$1,),))))-(((VLOOKUP(EDATE(B78,-12),Database!$A:$AS,MATCH($F$1,Database!$A$1:$AS$1,),)))))/(((VLOOKUP(EDATE(B78,-12),Database!$A:$AS,MATCH($F$1,Database!$A$1:$AS$1,),))))</f>
        <v/>
      </c>
      <c r="G78" s="13">
        <f>((((VLOOKUP(B78,Database!$A:$AS,MATCH($G$1,Database!$A$1:$AS$1,),))))-(((VLOOKUP(EDATE(B78,-12),Database!$A:$AS,MATCH($G$1,Database!$A$1:$AS$1,),)))))/(((VLOOKUP(EDATE(B78,-12),Database!$A:$AS,MATCH($G$1,Database!$A$1:$AS$1,),))))</f>
        <v/>
      </c>
      <c r="H78" s="13">
        <f>((((VLOOKUP(B78,Database!$A:$AS,MATCH($H$1,Database!$A$1:$AS$1,),))))-(((VLOOKUP(EDATE(B78,-12),Database!$A:$AS,MATCH($H$1,Database!$A$1:$AS$1,),)))))/(((VLOOKUP(EDATE(B78,-12),Database!$A:$AS,MATCH($H$1,Database!$A$1:$AS$1,),))))</f>
        <v/>
      </c>
      <c r="I78" s="13">
        <f>((((VLOOKUP(B78,Database!$A:$AS,MATCH($I$1,Database!$A$1:$AS$1,),))))-(((VLOOKUP(EDATE(B78,-12),Database!$A:$AS,MATCH($I$1,Database!$A$1:$AS$1,),)))))/(((VLOOKUP(EDATE(B78,-12),Database!$A:$AS,MATCH($I$1,Database!$A$1:$AS$1,),))))</f>
        <v/>
      </c>
      <c r="J78" s="13">
        <f>((((VLOOKUP(B78,Database!$A:$AS,MATCH($J$1,Database!$A$1:$AS$1,),))))-(((VLOOKUP(EDATE(B78,-12),Database!$A:$AS,MATCH($J$1,Database!$A$1:$AS$1,),)))))/(((VLOOKUP(EDATE(B78,-12),Database!$A:$AS,MATCH($J$1,Database!$A$1:$AS$1,),))))</f>
        <v/>
      </c>
      <c r="K78" s="13">
        <f>((((VLOOKUP(B78,Database!$A:$AS,MATCH($K$1,Database!$A$1:$AS$1,),))))-(((VLOOKUP(EDATE(B78,-12),Database!$A:$AS,MATCH($K$1,Database!$A$1:$AS$1,),)))))/(((VLOOKUP(EDATE(B78,-12),Database!$A:$AS,MATCH($K$1,Database!$A$1:$AS$1,),))))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((((VLOOKUP(B78,Database!$A:$AS,MATCH($O$1,Database!$A$1:$AS$1,),))))-(((VLOOKUP(EDATE(B78,-12),Database!$A:$AS,MATCH($O$1,Database!$A$1:$AS$1,),)))))/(((VLOOKUP(EDATE(B78,-12),Database!$A:$AS,MATCH($O$1,Database!$A$1:$AS$1,),))))</f>
        <v/>
      </c>
      <c r="P78" s="13">
        <f>((((VLOOKUP(B78,Database!$A:$AS,MATCH($P$1,Database!$A$1:$AS$1,),))))-(((VLOOKUP(EDATE(B78,-12),Database!$A:$AS,MATCH($P$1,Database!$A$1:$AS$1,),)))))/(((VLOOKUP(EDATE(B78,-12),Database!$A:$AS,MATCH($P$1,Database!$A$1:$AS$1,),))))</f>
        <v/>
      </c>
      <c r="Q78" s="13">
        <f>((((VLOOKUP(B78,Database!$A:$AS,MATCH($Q$1,Database!$A$1:$AS$1,),))))-(((VLOOKUP(EDATE(B78,-12),Database!$A:$AS,MATCH($Q$1,Database!$A$1:$AS$1,),)))))/(((VLOOKUP(EDATE(B78,-12),Database!$A:$AS,MATCH($Q$1,Database!$A$1:$AS$1,),))))</f>
        <v/>
      </c>
      <c r="R78" s="13">
        <f>((((VLOOKUP(B78,Database!$A:$AS,MATCH($R$1,Database!$A$1:$AS$1,),))))-(((VLOOKUP(EDATE(B78,-12),Database!$A:$AS,MATCH($R$1,Database!$A$1:$AS$1,),)))))/(((VLOOKUP(EDATE(B78,-12),Database!$A:$AS,MATCH($R$1,Database!$A$1:$AS$1,),))))</f>
        <v/>
      </c>
      <c r="S78" s="13">
        <f>((((VLOOKUP(B78,Database!$A:$AS,MATCH($S$1,Database!$A$1:$AS$1,),))))-(((VLOOKUP(EDATE(B78,-12),Database!$A:$AS,MATCH($S$1,Database!$A$1:$AS$1,),)))))/(((VLOOKUP(EDATE(B78,-12),Database!$A:$AS,MATCH($S$1,Database!$A$1:$AS$1,),))))</f>
        <v/>
      </c>
      <c r="T78" s="13">
        <f>((((VLOOKUP(B78,Database!$A:$AS,MATCH($T$1,Database!$A$1:$AS$1,),))))-(((VLOOKUP(EDATE(B78,-12),Database!$A:$AS,MATCH($T$1,Database!$A$1:$AS$1,),)))))/(((VLOOKUP(EDATE(B78,-12),Database!$A:$AS,MATCH($T$1,Database!$A$1:$AS$1,),))))</f>
        <v/>
      </c>
      <c r="U78" s="13">
        <f>((((VLOOKUP(B78,Database!$A:$AS,MATCH($U$1,Database!$A$1:$AS$1,),))))-(((VLOOKUP(EDATE(B78,-12),Database!$A:$AS,MATCH($U$1,Database!$A$1:$AS$1,),)))))/(((VLOOKUP(EDATE(B78,-12),Database!$A:$AS,MATCH($U$1,Database!$A$1:$AS$1,),))))</f>
        <v/>
      </c>
      <c r="V78" s="13">
        <f>((((VLOOKUP(B78,Database!$A:$AS,MATCH($V$1,Database!$A$1:$AS$1,),))))-(((VLOOKUP(EDATE(B78,-12),Database!$A:$AS,MATCH($V$1,Database!$A$1:$AS$1,),)))))/(((VLOOKUP(EDATE(B78,-12),Database!$A:$AS,MATCH($V$1,Database!$A$1:$AS$1,),))))</f>
        <v/>
      </c>
    </row>
    <row r="79" customFormat="1" s="94">
      <c r="A79" s="44" t="n"/>
      <c r="B79" s="85" t="n">
        <v>34547</v>
      </c>
      <c r="C79" s="13">
        <f>((((VLOOKUP(B79,Database!$A:$AS,MATCH($C$1,Database!$A$1:$AS$1,),))))-(((VLOOKUP(EDATE(B79,-12),Database!$A:$AS,MATCH($C$1,Database!$A$1:$AS$1,),)))))/(((VLOOKUP(EDATE(B79,-12),Database!$A:$AS,MATCH($C$1,Database!$A$1:$AS$1,),))))</f>
        <v/>
      </c>
      <c r="D79" s="13">
        <f>((((VLOOKUP(B79,Database!$A:$AS,MATCH($D$1,Database!$A$1:$AS$1,),))))-(((VLOOKUP(EDATE(B79,-12),Database!$A:$AS,MATCH($D$1,Database!$A$1:$AS$1,),)))))/(((VLOOKUP(EDATE(B79,-12),Database!$A:$AS,MATCH($D$1,Database!$A$1:$AS$1,),))))</f>
        <v/>
      </c>
      <c r="E79" s="13">
        <f>((((VLOOKUP(B79,Database!$A:$AS,MATCH($E$1,Database!$A$1:$AS$1,),))))-(((VLOOKUP(EDATE(B79,-12),Database!$A:$AS,MATCH($E$1,Database!$A$1:$AS$1,),)))))/(((VLOOKUP(EDATE(B79,-12),Database!$A:$AS,MATCH($E$1,Database!$A$1:$AS$1,),))))</f>
        <v/>
      </c>
      <c r="F79" s="13">
        <f>((((VLOOKUP(B79,Database!$A:$AS,MATCH($F$1,Database!$A$1:$AS$1,),))))-(((VLOOKUP(EDATE(B79,-12),Database!$A:$AS,MATCH($F$1,Database!$A$1:$AS$1,),)))))/(((VLOOKUP(EDATE(B79,-12),Database!$A:$AS,MATCH($F$1,Database!$A$1:$AS$1,),))))</f>
        <v/>
      </c>
      <c r="G79" s="13">
        <f>((((VLOOKUP(B79,Database!$A:$AS,MATCH($G$1,Database!$A$1:$AS$1,),))))-(((VLOOKUP(EDATE(B79,-12),Database!$A:$AS,MATCH($G$1,Database!$A$1:$AS$1,),)))))/(((VLOOKUP(EDATE(B79,-12),Database!$A:$AS,MATCH($G$1,Database!$A$1:$AS$1,),))))</f>
        <v/>
      </c>
      <c r="H79" s="13">
        <f>((((VLOOKUP(B79,Database!$A:$AS,MATCH($H$1,Database!$A$1:$AS$1,),))))-(((VLOOKUP(EDATE(B79,-12),Database!$A:$AS,MATCH($H$1,Database!$A$1:$AS$1,),)))))/(((VLOOKUP(EDATE(B79,-12),Database!$A:$AS,MATCH($H$1,Database!$A$1:$AS$1,),))))</f>
        <v/>
      </c>
      <c r="I79" s="13">
        <f>((((VLOOKUP(B79,Database!$A:$AS,MATCH($I$1,Database!$A$1:$AS$1,),))))-(((VLOOKUP(EDATE(B79,-12),Database!$A:$AS,MATCH($I$1,Database!$A$1:$AS$1,),)))))/(((VLOOKUP(EDATE(B79,-12),Database!$A:$AS,MATCH($I$1,Database!$A$1:$AS$1,),))))</f>
        <v/>
      </c>
      <c r="J79" s="13">
        <f>((((VLOOKUP(B79,Database!$A:$AS,MATCH($J$1,Database!$A$1:$AS$1,),))))-(((VLOOKUP(EDATE(B79,-12),Database!$A:$AS,MATCH($J$1,Database!$A$1:$AS$1,),)))))/(((VLOOKUP(EDATE(B79,-12),Database!$A:$AS,MATCH($J$1,Database!$A$1:$AS$1,),))))</f>
        <v/>
      </c>
      <c r="K79" s="13">
        <f>((((VLOOKUP(B79,Database!$A:$AS,MATCH($K$1,Database!$A$1:$AS$1,),))))-(((VLOOKUP(EDATE(B79,-12),Database!$A:$AS,MATCH($K$1,Database!$A$1:$AS$1,),)))))/(((VLOOKUP(EDATE(B79,-12),Database!$A:$AS,MATCH($K$1,Database!$A$1:$AS$1,),))))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((((VLOOKUP(B79,Database!$A:$AS,MATCH($O$1,Database!$A$1:$AS$1,),))))-(((VLOOKUP(EDATE(B79,-12),Database!$A:$AS,MATCH($O$1,Database!$A$1:$AS$1,),)))))/(((VLOOKUP(EDATE(B79,-12),Database!$A:$AS,MATCH($O$1,Database!$A$1:$AS$1,),))))</f>
        <v/>
      </c>
      <c r="P79" s="13">
        <f>((((VLOOKUP(B79,Database!$A:$AS,MATCH($P$1,Database!$A$1:$AS$1,),))))-(((VLOOKUP(EDATE(B79,-12),Database!$A:$AS,MATCH($P$1,Database!$A$1:$AS$1,),)))))/(((VLOOKUP(EDATE(B79,-12),Database!$A:$AS,MATCH($P$1,Database!$A$1:$AS$1,),))))</f>
        <v/>
      </c>
      <c r="Q79" s="13">
        <f>((((VLOOKUP(B79,Database!$A:$AS,MATCH($Q$1,Database!$A$1:$AS$1,),))))-(((VLOOKUP(EDATE(B79,-12),Database!$A:$AS,MATCH($Q$1,Database!$A$1:$AS$1,),)))))/(((VLOOKUP(EDATE(B79,-12),Database!$A:$AS,MATCH($Q$1,Database!$A$1:$AS$1,),))))</f>
        <v/>
      </c>
      <c r="R79" s="13">
        <f>((((VLOOKUP(B79,Database!$A:$AS,MATCH($R$1,Database!$A$1:$AS$1,),))))-(((VLOOKUP(EDATE(B79,-12),Database!$A:$AS,MATCH($R$1,Database!$A$1:$AS$1,),)))))/(((VLOOKUP(EDATE(B79,-12),Database!$A:$AS,MATCH($R$1,Database!$A$1:$AS$1,),))))</f>
        <v/>
      </c>
      <c r="S79" s="13">
        <f>((((VLOOKUP(B79,Database!$A:$AS,MATCH($S$1,Database!$A$1:$AS$1,),))))-(((VLOOKUP(EDATE(B79,-12),Database!$A:$AS,MATCH($S$1,Database!$A$1:$AS$1,),)))))/(((VLOOKUP(EDATE(B79,-12),Database!$A:$AS,MATCH($S$1,Database!$A$1:$AS$1,),))))</f>
        <v/>
      </c>
      <c r="T79" s="13">
        <f>((((VLOOKUP(B79,Database!$A:$AS,MATCH($T$1,Database!$A$1:$AS$1,),))))-(((VLOOKUP(EDATE(B79,-12),Database!$A:$AS,MATCH($T$1,Database!$A$1:$AS$1,),)))))/(((VLOOKUP(EDATE(B79,-12),Database!$A:$AS,MATCH($T$1,Database!$A$1:$AS$1,),))))</f>
        <v/>
      </c>
      <c r="U79" s="13">
        <f>((((VLOOKUP(B79,Database!$A:$AS,MATCH($U$1,Database!$A$1:$AS$1,),))))-(((VLOOKUP(EDATE(B79,-12),Database!$A:$AS,MATCH($U$1,Database!$A$1:$AS$1,),)))))/(((VLOOKUP(EDATE(B79,-12),Database!$A:$AS,MATCH($U$1,Database!$A$1:$AS$1,),))))</f>
        <v/>
      </c>
      <c r="V79" s="13">
        <f>((((VLOOKUP(B79,Database!$A:$AS,MATCH($V$1,Database!$A$1:$AS$1,),))))-(((VLOOKUP(EDATE(B79,-12),Database!$A:$AS,MATCH($V$1,Database!$A$1:$AS$1,),)))))/(((VLOOKUP(EDATE(B79,-12),Database!$A:$AS,MATCH($V$1,Database!$A$1:$AS$1,),))))</f>
        <v/>
      </c>
    </row>
    <row r="80" customFormat="1" s="94">
      <c r="A80" s="44" t="n"/>
      <c r="B80" s="85" t="n">
        <v>34578</v>
      </c>
      <c r="C80" s="13">
        <f>((((VLOOKUP(B80,Database!$A:$AS,MATCH($C$1,Database!$A$1:$AS$1,),))))-(((VLOOKUP(EDATE(B80,-12),Database!$A:$AS,MATCH($C$1,Database!$A$1:$AS$1,),)))))/(((VLOOKUP(EDATE(B80,-12),Database!$A:$AS,MATCH($C$1,Database!$A$1:$AS$1,),))))</f>
        <v/>
      </c>
      <c r="D80" s="13">
        <f>((((VLOOKUP(B80,Database!$A:$AS,MATCH($D$1,Database!$A$1:$AS$1,),))))-(((VLOOKUP(EDATE(B80,-12),Database!$A:$AS,MATCH($D$1,Database!$A$1:$AS$1,),)))))/(((VLOOKUP(EDATE(B80,-12),Database!$A:$AS,MATCH($D$1,Database!$A$1:$AS$1,),))))</f>
        <v/>
      </c>
      <c r="E80" s="13">
        <f>((((VLOOKUP(B80,Database!$A:$AS,MATCH($E$1,Database!$A$1:$AS$1,),))))-(((VLOOKUP(EDATE(B80,-12),Database!$A:$AS,MATCH($E$1,Database!$A$1:$AS$1,),)))))/(((VLOOKUP(EDATE(B80,-12),Database!$A:$AS,MATCH($E$1,Database!$A$1:$AS$1,),))))</f>
        <v/>
      </c>
      <c r="F80" s="13">
        <f>((((VLOOKUP(B80,Database!$A:$AS,MATCH($F$1,Database!$A$1:$AS$1,),))))-(((VLOOKUP(EDATE(B80,-12),Database!$A:$AS,MATCH($F$1,Database!$A$1:$AS$1,),)))))/(((VLOOKUP(EDATE(B80,-12),Database!$A:$AS,MATCH($F$1,Database!$A$1:$AS$1,),))))</f>
        <v/>
      </c>
      <c r="G80" s="13">
        <f>((((VLOOKUP(B80,Database!$A:$AS,MATCH($G$1,Database!$A$1:$AS$1,),))))-(((VLOOKUP(EDATE(B80,-12),Database!$A:$AS,MATCH($G$1,Database!$A$1:$AS$1,),)))))/(((VLOOKUP(EDATE(B80,-12),Database!$A:$AS,MATCH($G$1,Database!$A$1:$AS$1,),))))</f>
        <v/>
      </c>
      <c r="H80" s="13">
        <f>((((VLOOKUP(B80,Database!$A:$AS,MATCH($H$1,Database!$A$1:$AS$1,),))))-(((VLOOKUP(EDATE(B80,-12),Database!$A:$AS,MATCH($H$1,Database!$A$1:$AS$1,),)))))/(((VLOOKUP(EDATE(B80,-12),Database!$A:$AS,MATCH($H$1,Database!$A$1:$AS$1,),))))</f>
        <v/>
      </c>
      <c r="I80" s="13">
        <f>((((VLOOKUP(B80,Database!$A:$AS,MATCH($I$1,Database!$A$1:$AS$1,),))))-(((VLOOKUP(EDATE(B80,-12),Database!$A:$AS,MATCH($I$1,Database!$A$1:$AS$1,),)))))/(((VLOOKUP(EDATE(B80,-12),Database!$A:$AS,MATCH($I$1,Database!$A$1:$AS$1,),))))</f>
        <v/>
      </c>
      <c r="J80" s="13">
        <f>((((VLOOKUP(B80,Database!$A:$AS,MATCH($J$1,Database!$A$1:$AS$1,),))))-(((VLOOKUP(EDATE(B80,-12),Database!$A:$AS,MATCH($J$1,Database!$A$1:$AS$1,),)))))/(((VLOOKUP(EDATE(B80,-12),Database!$A:$AS,MATCH($J$1,Database!$A$1:$AS$1,),))))</f>
        <v/>
      </c>
      <c r="K80" s="13">
        <f>((((VLOOKUP(B80,Database!$A:$AS,MATCH($K$1,Database!$A$1:$AS$1,),))))-(((VLOOKUP(EDATE(B80,-12),Database!$A:$AS,MATCH($K$1,Database!$A$1:$AS$1,),)))))/(((VLOOKUP(EDATE(B80,-12),Database!$A:$AS,MATCH($K$1,Database!$A$1:$AS$1,),))))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((((VLOOKUP(B80,Database!$A:$AS,MATCH($O$1,Database!$A$1:$AS$1,),))))-(((VLOOKUP(EDATE(B80,-12),Database!$A:$AS,MATCH($O$1,Database!$A$1:$AS$1,),)))))/(((VLOOKUP(EDATE(B80,-12),Database!$A:$AS,MATCH($O$1,Database!$A$1:$AS$1,),))))</f>
        <v/>
      </c>
      <c r="P80" s="13">
        <f>((((VLOOKUP(B80,Database!$A:$AS,MATCH($P$1,Database!$A$1:$AS$1,),))))-(((VLOOKUP(EDATE(B80,-12),Database!$A:$AS,MATCH($P$1,Database!$A$1:$AS$1,),)))))/(((VLOOKUP(EDATE(B80,-12),Database!$A:$AS,MATCH($P$1,Database!$A$1:$AS$1,),))))</f>
        <v/>
      </c>
      <c r="Q80" s="13">
        <f>((((VLOOKUP(B80,Database!$A:$AS,MATCH($Q$1,Database!$A$1:$AS$1,),))))-(((VLOOKUP(EDATE(B80,-12),Database!$A:$AS,MATCH($Q$1,Database!$A$1:$AS$1,),)))))/(((VLOOKUP(EDATE(B80,-12),Database!$A:$AS,MATCH($Q$1,Database!$A$1:$AS$1,),))))</f>
        <v/>
      </c>
      <c r="R80" s="13">
        <f>((((VLOOKUP(B80,Database!$A:$AS,MATCH($R$1,Database!$A$1:$AS$1,),))))-(((VLOOKUP(EDATE(B80,-12),Database!$A:$AS,MATCH($R$1,Database!$A$1:$AS$1,),)))))/(((VLOOKUP(EDATE(B80,-12),Database!$A:$AS,MATCH($R$1,Database!$A$1:$AS$1,),))))</f>
        <v/>
      </c>
      <c r="S80" s="13">
        <f>((((VLOOKUP(B80,Database!$A:$AS,MATCH($S$1,Database!$A$1:$AS$1,),))))-(((VLOOKUP(EDATE(B80,-12),Database!$A:$AS,MATCH($S$1,Database!$A$1:$AS$1,),)))))/(((VLOOKUP(EDATE(B80,-12),Database!$A:$AS,MATCH($S$1,Database!$A$1:$AS$1,),))))</f>
        <v/>
      </c>
      <c r="T80" s="13">
        <f>((((VLOOKUP(B80,Database!$A:$AS,MATCH($T$1,Database!$A$1:$AS$1,),))))-(((VLOOKUP(EDATE(B80,-12),Database!$A:$AS,MATCH($T$1,Database!$A$1:$AS$1,),)))))/(((VLOOKUP(EDATE(B80,-12),Database!$A:$AS,MATCH($T$1,Database!$A$1:$AS$1,),))))</f>
        <v/>
      </c>
      <c r="U80" s="13">
        <f>((((VLOOKUP(B80,Database!$A:$AS,MATCH($U$1,Database!$A$1:$AS$1,),))))-(((VLOOKUP(EDATE(B80,-12),Database!$A:$AS,MATCH($U$1,Database!$A$1:$AS$1,),)))))/(((VLOOKUP(EDATE(B80,-12),Database!$A:$AS,MATCH($U$1,Database!$A$1:$AS$1,),))))</f>
        <v/>
      </c>
      <c r="V80" s="13">
        <f>((((VLOOKUP(B80,Database!$A:$AS,MATCH($V$1,Database!$A$1:$AS$1,),))))-(((VLOOKUP(EDATE(B80,-12),Database!$A:$AS,MATCH($V$1,Database!$A$1:$AS$1,),)))))/(((VLOOKUP(EDATE(B80,-12),Database!$A:$AS,MATCH($V$1,Database!$A$1:$AS$1,),))))</f>
        <v/>
      </c>
    </row>
    <row r="81" customFormat="1" s="94">
      <c r="A81" s="44" t="n"/>
      <c r="B81" s="85" t="n">
        <v>34608</v>
      </c>
      <c r="C81" s="13">
        <f>((((VLOOKUP(B81,Database!$A:$AS,MATCH($C$1,Database!$A$1:$AS$1,),))))-(((VLOOKUP(EDATE(B81,-12),Database!$A:$AS,MATCH($C$1,Database!$A$1:$AS$1,),)))))/(((VLOOKUP(EDATE(B81,-12),Database!$A:$AS,MATCH($C$1,Database!$A$1:$AS$1,),))))</f>
        <v/>
      </c>
      <c r="D81" s="13">
        <f>((((VLOOKUP(B81,Database!$A:$AS,MATCH($D$1,Database!$A$1:$AS$1,),))))-(((VLOOKUP(EDATE(B81,-12),Database!$A:$AS,MATCH($D$1,Database!$A$1:$AS$1,),)))))/(((VLOOKUP(EDATE(B81,-12),Database!$A:$AS,MATCH($D$1,Database!$A$1:$AS$1,),))))</f>
        <v/>
      </c>
      <c r="E81" s="13">
        <f>((((VLOOKUP(B81,Database!$A:$AS,MATCH($E$1,Database!$A$1:$AS$1,),))))-(((VLOOKUP(EDATE(B81,-12),Database!$A:$AS,MATCH($E$1,Database!$A$1:$AS$1,),)))))/(((VLOOKUP(EDATE(B81,-12),Database!$A:$AS,MATCH($E$1,Database!$A$1:$AS$1,),))))</f>
        <v/>
      </c>
      <c r="F81" s="13">
        <f>((((VLOOKUP(B81,Database!$A:$AS,MATCH($F$1,Database!$A$1:$AS$1,),))))-(((VLOOKUP(EDATE(B81,-12),Database!$A:$AS,MATCH($F$1,Database!$A$1:$AS$1,),)))))/(((VLOOKUP(EDATE(B81,-12),Database!$A:$AS,MATCH($F$1,Database!$A$1:$AS$1,),))))</f>
        <v/>
      </c>
      <c r="G81" s="13">
        <f>((((VLOOKUP(B81,Database!$A:$AS,MATCH($G$1,Database!$A$1:$AS$1,),))))-(((VLOOKUP(EDATE(B81,-12),Database!$A:$AS,MATCH($G$1,Database!$A$1:$AS$1,),)))))/(((VLOOKUP(EDATE(B81,-12),Database!$A:$AS,MATCH($G$1,Database!$A$1:$AS$1,),))))</f>
        <v/>
      </c>
      <c r="H81" s="13">
        <f>((((VLOOKUP(B81,Database!$A:$AS,MATCH($H$1,Database!$A$1:$AS$1,),))))-(((VLOOKUP(EDATE(B81,-12),Database!$A:$AS,MATCH($H$1,Database!$A$1:$AS$1,),)))))/(((VLOOKUP(EDATE(B81,-12),Database!$A:$AS,MATCH($H$1,Database!$A$1:$AS$1,),))))</f>
        <v/>
      </c>
      <c r="I81" s="13">
        <f>((((VLOOKUP(B81,Database!$A:$AS,MATCH($I$1,Database!$A$1:$AS$1,),))))-(((VLOOKUP(EDATE(B81,-12),Database!$A:$AS,MATCH($I$1,Database!$A$1:$AS$1,),)))))/(((VLOOKUP(EDATE(B81,-12),Database!$A:$AS,MATCH($I$1,Database!$A$1:$AS$1,),))))</f>
        <v/>
      </c>
      <c r="J81" s="13">
        <f>((((VLOOKUP(B81,Database!$A:$AS,MATCH($J$1,Database!$A$1:$AS$1,),))))-(((VLOOKUP(EDATE(B81,-12),Database!$A:$AS,MATCH($J$1,Database!$A$1:$AS$1,),)))))/(((VLOOKUP(EDATE(B81,-12),Database!$A:$AS,MATCH($J$1,Database!$A$1:$AS$1,),))))</f>
        <v/>
      </c>
      <c r="K81" s="13">
        <f>((((VLOOKUP(B81,Database!$A:$AS,MATCH($K$1,Database!$A$1:$AS$1,),))))-(((VLOOKUP(EDATE(B81,-12),Database!$A:$AS,MATCH($K$1,Database!$A$1:$AS$1,),)))))/(((VLOOKUP(EDATE(B81,-12),Database!$A:$AS,MATCH($K$1,Database!$A$1:$AS$1,),))))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((((VLOOKUP(B81,Database!$A:$AS,MATCH($O$1,Database!$A$1:$AS$1,),))))-(((VLOOKUP(EDATE(B81,-12),Database!$A:$AS,MATCH($O$1,Database!$A$1:$AS$1,),)))))/(((VLOOKUP(EDATE(B81,-12),Database!$A:$AS,MATCH($O$1,Database!$A$1:$AS$1,),))))</f>
        <v/>
      </c>
      <c r="P81" s="13">
        <f>((((VLOOKUP(B81,Database!$A:$AS,MATCH($P$1,Database!$A$1:$AS$1,),))))-(((VLOOKUP(EDATE(B81,-12),Database!$A:$AS,MATCH($P$1,Database!$A$1:$AS$1,),)))))/(((VLOOKUP(EDATE(B81,-12),Database!$A:$AS,MATCH($P$1,Database!$A$1:$AS$1,),))))</f>
        <v/>
      </c>
      <c r="Q81" s="13">
        <f>((((VLOOKUP(B81,Database!$A:$AS,MATCH($Q$1,Database!$A$1:$AS$1,),))))-(((VLOOKUP(EDATE(B81,-12),Database!$A:$AS,MATCH($Q$1,Database!$A$1:$AS$1,),)))))/(((VLOOKUP(EDATE(B81,-12),Database!$A:$AS,MATCH($Q$1,Database!$A$1:$AS$1,),))))</f>
        <v/>
      </c>
      <c r="R81" s="13">
        <f>((((VLOOKUP(B81,Database!$A:$AS,MATCH($R$1,Database!$A$1:$AS$1,),))))-(((VLOOKUP(EDATE(B81,-12),Database!$A:$AS,MATCH($R$1,Database!$A$1:$AS$1,),)))))/(((VLOOKUP(EDATE(B81,-12),Database!$A:$AS,MATCH($R$1,Database!$A$1:$AS$1,),))))</f>
        <v/>
      </c>
      <c r="S81" s="13">
        <f>((((VLOOKUP(B81,Database!$A:$AS,MATCH($S$1,Database!$A$1:$AS$1,),))))-(((VLOOKUP(EDATE(B81,-12),Database!$A:$AS,MATCH($S$1,Database!$A$1:$AS$1,),)))))/(((VLOOKUP(EDATE(B81,-12),Database!$A:$AS,MATCH($S$1,Database!$A$1:$AS$1,),))))</f>
        <v/>
      </c>
      <c r="T81" s="13">
        <f>((((VLOOKUP(B81,Database!$A:$AS,MATCH($T$1,Database!$A$1:$AS$1,),))))-(((VLOOKUP(EDATE(B81,-12),Database!$A:$AS,MATCH($T$1,Database!$A$1:$AS$1,),)))))/(((VLOOKUP(EDATE(B81,-12),Database!$A:$AS,MATCH($T$1,Database!$A$1:$AS$1,),))))</f>
        <v/>
      </c>
      <c r="U81" s="13">
        <f>((((VLOOKUP(B81,Database!$A:$AS,MATCH($U$1,Database!$A$1:$AS$1,),))))-(((VLOOKUP(EDATE(B81,-12),Database!$A:$AS,MATCH($U$1,Database!$A$1:$AS$1,),)))))/(((VLOOKUP(EDATE(B81,-12),Database!$A:$AS,MATCH($U$1,Database!$A$1:$AS$1,),))))</f>
        <v/>
      </c>
      <c r="V81" s="13">
        <f>((((VLOOKUP(B81,Database!$A:$AS,MATCH($V$1,Database!$A$1:$AS$1,),))))-(((VLOOKUP(EDATE(B81,-12),Database!$A:$AS,MATCH($V$1,Database!$A$1:$AS$1,),)))))/(((VLOOKUP(EDATE(B81,-12),Database!$A:$AS,MATCH($V$1,Database!$A$1:$AS$1,),))))</f>
        <v/>
      </c>
    </row>
    <row r="82" customFormat="1" s="94">
      <c r="A82" s="44" t="n"/>
      <c r="B82" s="85" t="n">
        <v>34639</v>
      </c>
      <c r="C82" s="13">
        <f>((((VLOOKUP(B82,Database!$A:$AS,MATCH($C$1,Database!$A$1:$AS$1,),))))-(((VLOOKUP(EDATE(B82,-12),Database!$A:$AS,MATCH($C$1,Database!$A$1:$AS$1,),)))))/(((VLOOKUP(EDATE(B82,-12),Database!$A:$AS,MATCH($C$1,Database!$A$1:$AS$1,),))))</f>
        <v/>
      </c>
      <c r="D82" s="13">
        <f>((((VLOOKUP(B82,Database!$A:$AS,MATCH($D$1,Database!$A$1:$AS$1,),))))-(((VLOOKUP(EDATE(B82,-12),Database!$A:$AS,MATCH($D$1,Database!$A$1:$AS$1,),)))))/(((VLOOKUP(EDATE(B82,-12),Database!$A:$AS,MATCH($D$1,Database!$A$1:$AS$1,),))))</f>
        <v/>
      </c>
      <c r="E82" s="13">
        <f>((((VLOOKUP(B82,Database!$A:$AS,MATCH($E$1,Database!$A$1:$AS$1,),))))-(((VLOOKUP(EDATE(B82,-12),Database!$A:$AS,MATCH($E$1,Database!$A$1:$AS$1,),)))))/(((VLOOKUP(EDATE(B82,-12),Database!$A:$AS,MATCH($E$1,Database!$A$1:$AS$1,),))))</f>
        <v/>
      </c>
      <c r="F82" s="13">
        <f>((((VLOOKUP(B82,Database!$A:$AS,MATCH($F$1,Database!$A$1:$AS$1,),))))-(((VLOOKUP(EDATE(B82,-12),Database!$A:$AS,MATCH($F$1,Database!$A$1:$AS$1,),)))))/(((VLOOKUP(EDATE(B82,-12),Database!$A:$AS,MATCH($F$1,Database!$A$1:$AS$1,),))))</f>
        <v/>
      </c>
      <c r="G82" s="13">
        <f>((((VLOOKUP(B82,Database!$A:$AS,MATCH($G$1,Database!$A$1:$AS$1,),))))-(((VLOOKUP(EDATE(B82,-12),Database!$A:$AS,MATCH($G$1,Database!$A$1:$AS$1,),)))))/(((VLOOKUP(EDATE(B82,-12),Database!$A:$AS,MATCH($G$1,Database!$A$1:$AS$1,),))))</f>
        <v/>
      </c>
      <c r="H82" s="13">
        <f>((((VLOOKUP(B82,Database!$A:$AS,MATCH($H$1,Database!$A$1:$AS$1,),))))-(((VLOOKUP(EDATE(B82,-12),Database!$A:$AS,MATCH($H$1,Database!$A$1:$AS$1,),)))))/(((VLOOKUP(EDATE(B82,-12),Database!$A:$AS,MATCH($H$1,Database!$A$1:$AS$1,),))))</f>
        <v/>
      </c>
      <c r="I82" s="13">
        <f>((((VLOOKUP(B82,Database!$A:$AS,MATCH($I$1,Database!$A$1:$AS$1,),))))-(((VLOOKUP(EDATE(B82,-12),Database!$A:$AS,MATCH($I$1,Database!$A$1:$AS$1,),)))))/(((VLOOKUP(EDATE(B82,-12),Database!$A:$AS,MATCH($I$1,Database!$A$1:$AS$1,),))))</f>
        <v/>
      </c>
      <c r="J82" s="13">
        <f>((((VLOOKUP(B82,Database!$A:$AS,MATCH($J$1,Database!$A$1:$AS$1,),))))-(((VLOOKUP(EDATE(B82,-12),Database!$A:$AS,MATCH($J$1,Database!$A$1:$AS$1,),)))))/(((VLOOKUP(EDATE(B82,-12),Database!$A:$AS,MATCH($J$1,Database!$A$1:$AS$1,),))))</f>
        <v/>
      </c>
      <c r="K82" s="13">
        <f>((((VLOOKUP(B82,Database!$A:$AS,MATCH($K$1,Database!$A$1:$AS$1,),))))-(((VLOOKUP(EDATE(B82,-12),Database!$A:$AS,MATCH($K$1,Database!$A$1:$AS$1,),)))))/(((VLOOKUP(EDATE(B82,-12),Database!$A:$AS,MATCH($K$1,Database!$A$1:$AS$1,),))))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((((VLOOKUP(B82,Database!$A:$AS,MATCH($O$1,Database!$A$1:$AS$1,),))))-(((VLOOKUP(EDATE(B82,-12),Database!$A:$AS,MATCH($O$1,Database!$A$1:$AS$1,),)))))/(((VLOOKUP(EDATE(B82,-12),Database!$A:$AS,MATCH($O$1,Database!$A$1:$AS$1,),))))</f>
        <v/>
      </c>
      <c r="P82" s="13">
        <f>((((VLOOKUP(B82,Database!$A:$AS,MATCH($P$1,Database!$A$1:$AS$1,),))))-(((VLOOKUP(EDATE(B82,-12),Database!$A:$AS,MATCH($P$1,Database!$A$1:$AS$1,),)))))/(((VLOOKUP(EDATE(B82,-12),Database!$A:$AS,MATCH($P$1,Database!$A$1:$AS$1,),))))</f>
        <v/>
      </c>
      <c r="Q82" s="13">
        <f>((((VLOOKUP(B82,Database!$A:$AS,MATCH($Q$1,Database!$A$1:$AS$1,),))))-(((VLOOKUP(EDATE(B82,-12),Database!$A:$AS,MATCH($Q$1,Database!$A$1:$AS$1,),)))))/(((VLOOKUP(EDATE(B82,-12),Database!$A:$AS,MATCH($Q$1,Database!$A$1:$AS$1,),))))</f>
        <v/>
      </c>
      <c r="R82" s="13">
        <f>((((VLOOKUP(B82,Database!$A:$AS,MATCH($R$1,Database!$A$1:$AS$1,),))))-(((VLOOKUP(EDATE(B82,-12),Database!$A:$AS,MATCH($R$1,Database!$A$1:$AS$1,),)))))/(((VLOOKUP(EDATE(B82,-12),Database!$A:$AS,MATCH($R$1,Database!$A$1:$AS$1,),))))</f>
        <v/>
      </c>
      <c r="S82" s="13">
        <f>((((VLOOKUP(B82,Database!$A:$AS,MATCH($S$1,Database!$A$1:$AS$1,),))))-(((VLOOKUP(EDATE(B82,-12),Database!$A:$AS,MATCH($S$1,Database!$A$1:$AS$1,),)))))/(((VLOOKUP(EDATE(B82,-12),Database!$A:$AS,MATCH($S$1,Database!$A$1:$AS$1,),))))</f>
        <v/>
      </c>
      <c r="T82" s="13">
        <f>((((VLOOKUP(B82,Database!$A:$AS,MATCH($T$1,Database!$A$1:$AS$1,),))))-(((VLOOKUP(EDATE(B82,-12),Database!$A:$AS,MATCH($T$1,Database!$A$1:$AS$1,),)))))/(((VLOOKUP(EDATE(B82,-12),Database!$A:$AS,MATCH($T$1,Database!$A$1:$AS$1,),))))</f>
        <v/>
      </c>
      <c r="U82" s="13">
        <f>((((VLOOKUP(B82,Database!$A:$AS,MATCH($U$1,Database!$A$1:$AS$1,),))))-(((VLOOKUP(EDATE(B82,-12),Database!$A:$AS,MATCH($U$1,Database!$A$1:$AS$1,),)))))/(((VLOOKUP(EDATE(B82,-12),Database!$A:$AS,MATCH($U$1,Database!$A$1:$AS$1,),))))</f>
        <v/>
      </c>
      <c r="V82" s="13">
        <f>((((VLOOKUP(B82,Database!$A:$AS,MATCH($V$1,Database!$A$1:$AS$1,),))))-(((VLOOKUP(EDATE(B82,-12),Database!$A:$AS,MATCH($V$1,Database!$A$1:$AS$1,),)))))/(((VLOOKUP(EDATE(B82,-12),Database!$A:$AS,MATCH($V$1,Database!$A$1:$AS$1,),))))</f>
        <v/>
      </c>
    </row>
    <row r="83" customFormat="1" s="94">
      <c r="A83" s="44" t="n"/>
      <c r="B83" s="85" t="n">
        <v>34669</v>
      </c>
      <c r="C83" s="13">
        <f>((((VLOOKUP(B83,Database!$A:$AS,MATCH($C$1,Database!$A$1:$AS$1,),))))-(((VLOOKUP(EDATE(B83,-12),Database!$A:$AS,MATCH($C$1,Database!$A$1:$AS$1,),)))))/(((VLOOKUP(EDATE(B83,-12),Database!$A:$AS,MATCH($C$1,Database!$A$1:$AS$1,),))))</f>
        <v/>
      </c>
      <c r="D83" s="13">
        <f>((((VLOOKUP(B83,Database!$A:$AS,MATCH($D$1,Database!$A$1:$AS$1,),))))-(((VLOOKUP(EDATE(B83,-12),Database!$A:$AS,MATCH($D$1,Database!$A$1:$AS$1,),)))))/(((VLOOKUP(EDATE(B83,-12),Database!$A:$AS,MATCH($D$1,Database!$A$1:$AS$1,),))))</f>
        <v/>
      </c>
      <c r="E83" s="13">
        <f>((((VLOOKUP(B83,Database!$A:$AS,MATCH($E$1,Database!$A$1:$AS$1,),))))-(((VLOOKUP(EDATE(B83,-12),Database!$A:$AS,MATCH($E$1,Database!$A$1:$AS$1,),)))))/(((VLOOKUP(EDATE(B83,-12),Database!$A:$AS,MATCH($E$1,Database!$A$1:$AS$1,),))))</f>
        <v/>
      </c>
      <c r="F83" s="13">
        <f>((((VLOOKUP(B83,Database!$A:$AS,MATCH($F$1,Database!$A$1:$AS$1,),))))-(((VLOOKUP(EDATE(B83,-12),Database!$A:$AS,MATCH($F$1,Database!$A$1:$AS$1,),)))))/(((VLOOKUP(EDATE(B83,-12),Database!$A:$AS,MATCH($F$1,Database!$A$1:$AS$1,),))))</f>
        <v/>
      </c>
      <c r="G83" s="13">
        <f>((((VLOOKUP(B83,Database!$A:$AS,MATCH($G$1,Database!$A$1:$AS$1,),))))-(((VLOOKUP(EDATE(B83,-12),Database!$A:$AS,MATCH($G$1,Database!$A$1:$AS$1,),)))))/(((VLOOKUP(EDATE(B83,-12),Database!$A:$AS,MATCH($G$1,Database!$A$1:$AS$1,),))))</f>
        <v/>
      </c>
      <c r="H83" s="13">
        <f>((((VLOOKUP(B83,Database!$A:$AS,MATCH($H$1,Database!$A$1:$AS$1,),))))-(((VLOOKUP(EDATE(B83,-12),Database!$A:$AS,MATCH($H$1,Database!$A$1:$AS$1,),)))))/(((VLOOKUP(EDATE(B83,-12),Database!$A:$AS,MATCH($H$1,Database!$A$1:$AS$1,),))))</f>
        <v/>
      </c>
      <c r="I83" s="13">
        <f>((((VLOOKUP(B83,Database!$A:$AS,MATCH($I$1,Database!$A$1:$AS$1,),))))-(((VLOOKUP(EDATE(B83,-12),Database!$A:$AS,MATCH($I$1,Database!$A$1:$AS$1,),)))))/(((VLOOKUP(EDATE(B83,-12),Database!$A:$AS,MATCH($I$1,Database!$A$1:$AS$1,),))))</f>
        <v/>
      </c>
      <c r="J83" s="13">
        <f>((((VLOOKUP(B83,Database!$A:$AS,MATCH($J$1,Database!$A$1:$AS$1,),))))-(((VLOOKUP(EDATE(B83,-12),Database!$A:$AS,MATCH($J$1,Database!$A$1:$AS$1,),)))))/(((VLOOKUP(EDATE(B83,-12),Database!$A:$AS,MATCH($J$1,Database!$A$1:$AS$1,),))))</f>
        <v/>
      </c>
      <c r="K83" s="13">
        <f>((((VLOOKUP(B83,Database!$A:$AS,MATCH($K$1,Database!$A$1:$AS$1,),))))-(((VLOOKUP(EDATE(B83,-12),Database!$A:$AS,MATCH($K$1,Database!$A$1:$AS$1,),)))))/(((VLOOKUP(EDATE(B83,-12),Database!$A:$AS,MATCH($K$1,Database!$A$1:$AS$1,),))))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((((VLOOKUP(B83,Database!$A:$AS,MATCH($O$1,Database!$A$1:$AS$1,),))))-(((VLOOKUP(EDATE(B83,-12),Database!$A:$AS,MATCH($O$1,Database!$A$1:$AS$1,),)))))/(((VLOOKUP(EDATE(B83,-12),Database!$A:$AS,MATCH($O$1,Database!$A$1:$AS$1,),))))</f>
        <v/>
      </c>
      <c r="P83" s="13">
        <f>((((VLOOKUP(B83,Database!$A:$AS,MATCH($P$1,Database!$A$1:$AS$1,),))))-(((VLOOKUP(EDATE(B83,-12),Database!$A:$AS,MATCH($P$1,Database!$A$1:$AS$1,),)))))/(((VLOOKUP(EDATE(B83,-12),Database!$A:$AS,MATCH($P$1,Database!$A$1:$AS$1,),))))</f>
        <v/>
      </c>
      <c r="Q83" s="13">
        <f>((((VLOOKUP(B83,Database!$A:$AS,MATCH($Q$1,Database!$A$1:$AS$1,),))))-(((VLOOKUP(EDATE(B83,-12),Database!$A:$AS,MATCH($Q$1,Database!$A$1:$AS$1,),)))))/(((VLOOKUP(EDATE(B83,-12),Database!$A:$AS,MATCH($Q$1,Database!$A$1:$AS$1,),))))</f>
        <v/>
      </c>
      <c r="R83" s="13">
        <f>((((VLOOKUP(B83,Database!$A:$AS,MATCH($R$1,Database!$A$1:$AS$1,),))))-(((VLOOKUP(EDATE(B83,-12),Database!$A:$AS,MATCH($R$1,Database!$A$1:$AS$1,),)))))/(((VLOOKUP(EDATE(B83,-12),Database!$A:$AS,MATCH($R$1,Database!$A$1:$AS$1,),))))</f>
        <v/>
      </c>
      <c r="S83" s="13">
        <f>((((VLOOKUP(B83,Database!$A:$AS,MATCH($S$1,Database!$A$1:$AS$1,),))))-(((VLOOKUP(EDATE(B83,-12),Database!$A:$AS,MATCH($S$1,Database!$A$1:$AS$1,),)))))/(((VLOOKUP(EDATE(B83,-12),Database!$A:$AS,MATCH($S$1,Database!$A$1:$AS$1,),))))</f>
        <v/>
      </c>
      <c r="T83" s="13">
        <f>((((VLOOKUP(B83,Database!$A:$AS,MATCH($T$1,Database!$A$1:$AS$1,),))))-(((VLOOKUP(EDATE(B83,-12),Database!$A:$AS,MATCH($T$1,Database!$A$1:$AS$1,),)))))/(((VLOOKUP(EDATE(B83,-12),Database!$A:$AS,MATCH($T$1,Database!$A$1:$AS$1,),))))</f>
        <v/>
      </c>
      <c r="U83" s="13">
        <f>((((VLOOKUP(B83,Database!$A:$AS,MATCH($U$1,Database!$A$1:$AS$1,),))))-(((VLOOKUP(EDATE(B83,-12),Database!$A:$AS,MATCH($U$1,Database!$A$1:$AS$1,),)))))/(((VLOOKUP(EDATE(B83,-12),Database!$A:$AS,MATCH($U$1,Database!$A$1:$AS$1,),))))</f>
        <v/>
      </c>
      <c r="V83" s="13">
        <f>((((VLOOKUP(B83,Database!$A:$AS,MATCH($V$1,Database!$A$1:$AS$1,),))))-(((VLOOKUP(EDATE(B83,-12),Database!$A:$AS,MATCH($V$1,Database!$A$1:$AS$1,),)))))/(((VLOOKUP(EDATE(B83,-12),Database!$A:$AS,MATCH($V$1,Database!$A$1:$AS$1,),))))</f>
        <v/>
      </c>
    </row>
    <row r="84" customFormat="1" s="94">
      <c r="A84" s="44" t="n"/>
      <c r="B84" s="85" t="n">
        <v>34700</v>
      </c>
      <c r="C84" s="13">
        <f>((((VLOOKUP(B84,Database!$A:$AS,MATCH($C$1,Database!$A$1:$AS$1,),))))-(((VLOOKUP(EDATE(B84,-12),Database!$A:$AS,MATCH($C$1,Database!$A$1:$AS$1,),)))))/(((VLOOKUP(EDATE(B84,-12),Database!$A:$AS,MATCH($C$1,Database!$A$1:$AS$1,),))))</f>
        <v/>
      </c>
      <c r="D84" s="13">
        <f>((((VLOOKUP(B84,Database!$A:$AS,MATCH($D$1,Database!$A$1:$AS$1,),))))-(((VLOOKUP(EDATE(B84,-12),Database!$A:$AS,MATCH($D$1,Database!$A$1:$AS$1,),)))))/(((VLOOKUP(EDATE(B84,-12),Database!$A:$AS,MATCH($D$1,Database!$A$1:$AS$1,),))))</f>
        <v/>
      </c>
      <c r="E84" s="13">
        <f>((((VLOOKUP(B84,Database!$A:$AS,MATCH($E$1,Database!$A$1:$AS$1,),))))-(((VLOOKUP(EDATE(B84,-12),Database!$A:$AS,MATCH($E$1,Database!$A$1:$AS$1,),)))))/(((VLOOKUP(EDATE(B84,-12),Database!$A:$AS,MATCH($E$1,Database!$A$1:$AS$1,),))))</f>
        <v/>
      </c>
      <c r="F84" s="13">
        <f>((((VLOOKUP(B84,Database!$A:$AS,MATCH($F$1,Database!$A$1:$AS$1,),))))-(((VLOOKUP(EDATE(B84,-12),Database!$A:$AS,MATCH($F$1,Database!$A$1:$AS$1,),)))))/(((VLOOKUP(EDATE(B84,-12),Database!$A:$AS,MATCH($F$1,Database!$A$1:$AS$1,),))))</f>
        <v/>
      </c>
      <c r="G84" s="13">
        <f>((((VLOOKUP(B84,Database!$A:$AS,MATCH($G$1,Database!$A$1:$AS$1,),))))-(((VLOOKUP(EDATE(B84,-12),Database!$A:$AS,MATCH($G$1,Database!$A$1:$AS$1,),)))))/(((VLOOKUP(EDATE(B84,-12),Database!$A:$AS,MATCH($G$1,Database!$A$1:$AS$1,),))))</f>
        <v/>
      </c>
      <c r="H84" s="13">
        <f>((((VLOOKUP(B84,Database!$A:$AS,MATCH($H$1,Database!$A$1:$AS$1,),))))-(((VLOOKUP(EDATE(B84,-12),Database!$A:$AS,MATCH($H$1,Database!$A$1:$AS$1,),)))))/(((VLOOKUP(EDATE(B84,-12),Database!$A:$AS,MATCH($H$1,Database!$A$1:$AS$1,),))))</f>
        <v/>
      </c>
      <c r="I84" s="13">
        <f>((((VLOOKUP(B84,Database!$A:$AS,MATCH($I$1,Database!$A$1:$AS$1,),))))-(((VLOOKUP(EDATE(B84,-12),Database!$A:$AS,MATCH($I$1,Database!$A$1:$AS$1,),)))))/(((VLOOKUP(EDATE(B84,-12),Database!$A:$AS,MATCH($I$1,Database!$A$1:$AS$1,),))))</f>
        <v/>
      </c>
      <c r="J84" s="13">
        <f>((((VLOOKUP(B84,Database!$A:$AS,MATCH($J$1,Database!$A$1:$AS$1,),))))-(((VLOOKUP(EDATE(B84,-12),Database!$A:$AS,MATCH($J$1,Database!$A$1:$AS$1,),)))))/(((VLOOKUP(EDATE(B84,-12),Database!$A:$AS,MATCH($J$1,Database!$A$1:$AS$1,),))))</f>
        <v/>
      </c>
      <c r="K84" s="13">
        <f>((((VLOOKUP(B84,Database!$A:$AS,MATCH($K$1,Database!$A$1:$AS$1,),))))-(((VLOOKUP(EDATE(B84,-12),Database!$A:$AS,MATCH($K$1,Database!$A$1:$AS$1,),)))))/(((VLOOKUP(EDATE(B84,-12),Database!$A:$AS,MATCH($K$1,Database!$A$1:$AS$1,),))))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((((VLOOKUP(B84,Database!$A:$AS,MATCH($O$1,Database!$A$1:$AS$1,),))))-(((VLOOKUP(EDATE(B84,-12),Database!$A:$AS,MATCH($O$1,Database!$A$1:$AS$1,),)))))/(((VLOOKUP(EDATE(B84,-12),Database!$A:$AS,MATCH($O$1,Database!$A$1:$AS$1,),))))</f>
        <v/>
      </c>
      <c r="P84" s="13">
        <f>((((VLOOKUP(B84,Database!$A:$AS,MATCH($P$1,Database!$A$1:$AS$1,),))))-(((VLOOKUP(EDATE(B84,-12),Database!$A:$AS,MATCH($P$1,Database!$A$1:$AS$1,),)))))/(((VLOOKUP(EDATE(B84,-12),Database!$A:$AS,MATCH($P$1,Database!$A$1:$AS$1,),))))</f>
        <v/>
      </c>
      <c r="Q84" s="13">
        <f>((((VLOOKUP(B84,Database!$A:$AS,MATCH($Q$1,Database!$A$1:$AS$1,),))))-(((VLOOKUP(EDATE(B84,-12),Database!$A:$AS,MATCH($Q$1,Database!$A$1:$AS$1,),)))))/(((VLOOKUP(EDATE(B84,-12),Database!$A:$AS,MATCH($Q$1,Database!$A$1:$AS$1,),))))</f>
        <v/>
      </c>
      <c r="R84" s="13">
        <f>((((VLOOKUP(B84,Database!$A:$AS,MATCH($R$1,Database!$A$1:$AS$1,),))))-(((VLOOKUP(EDATE(B84,-12),Database!$A:$AS,MATCH($R$1,Database!$A$1:$AS$1,),)))))/(((VLOOKUP(EDATE(B84,-12),Database!$A:$AS,MATCH($R$1,Database!$A$1:$AS$1,),))))</f>
        <v/>
      </c>
      <c r="S84" s="13">
        <f>((((VLOOKUP(B84,Database!$A:$AS,MATCH($S$1,Database!$A$1:$AS$1,),))))-(((VLOOKUP(EDATE(B84,-12),Database!$A:$AS,MATCH($S$1,Database!$A$1:$AS$1,),)))))/(((VLOOKUP(EDATE(B84,-12),Database!$A:$AS,MATCH($S$1,Database!$A$1:$AS$1,),))))</f>
        <v/>
      </c>
      <c r="T84" s="13">
        <f>((((VLOOKUP(B84,Database!$A:$AS,MATCH($T$1,Database!$A$1:$AS$1,),))))-(((VLOOKUP(EDATE(B84,-12),Database!$A:$AS,MATCH($T$1,Database!$A$1:$AS$1,),)))))/(((VLOOKUP(EDATE(B84,-12),Database!$A:$AS,MATCH($T$1,Database!$A$1:$AS$1,),))))</f>
        <v/>
      </c>
      <c r="U84" s="13">
        <f>((((VLOOKUP(B84,Database!$A:$AS,MATCH($U$1,Database!$A$1:$AS$1,),))))-(((VLOOKUP(EDATE(B84,-12),Database!$A:$AS,MATCH($U$1,Database!$A$1:$AS$1,),)))))/(((VLOOKUP(EDATE(B84,-12),Database!$A:$AS,MATCH($U$1,Database!$A$1:$AS$1,),))))</f>
        <v/>
      </c>
      <c r="V84" s="13">
        <f>((((VLOOKUP(B84,Database!$A:$AS,MATCH($V$1,Database!$A$1:$AS$1,),))))-(((VLOOKUP(EDATE(B84,-12),Database!$A:$AS,MATCH($V$1,Database!$A$1:$AS$1,),)))))/(((VLOOKUP(EDATE(B84,-12),Database!$A:$AS,MATCH($V$1,Database!$A$1:$AS$1,),))))</f>
        <v/>
      </c>
    </row>
    <row r="85" customFormat="1" s="94">
      <c r="A85" s="44" t="n"/>
      <c r="B85" s="85" t="n">
        <v>34731</v>
      </c>
      <c r="C85" s="13">
        <f>((((VLOOKUP(B85,Database!$A:$AS,MATCH($C$1,Database!$A$1:$AS$1,),))))-(((VLOOKUP(EDATE(B85,-12),Database!$A:$AS,MATCH($C$1,Database!$A$1:$AS$1,),)))))/(((VLOOKUP(EDATE(B85,-12),Database!$A:$AS,MATCH($C$1,Database!$A$1:$AS$1,),))))</f>
        <v/>
      </c>
      <c r="D85" s="13">
        <f>((((VLOOKUP(B85,Database!$A:$AS,MATCH($D$1,Database!$A$1:$AS$1,),))))-(((VLOOKUP(EDATE(B85,-12),Database!$A:$AS,MATCH($D$1,Database!$A$1:$AS$1,),)))))/(((VLOOKUP(EDATE(B85,-12),Database!$A:$AS,MATCH($D$1,Database!$A$1:$AS$1,),))))</f>
        <v/>
      </c>
      <c r="E85" s="13">
        <f>((((VLOOKUP(B85,Database!$A:$AS,MATCH($E$1,Database!$A$1:$AS$1,),))))-(((VLOOKUP(EDATE(B85,-12),Database!$A:$AS,MATCH($E$1,Database!$A$1:$AS$1,),)))))/(((VLOOKUP(EDATE(B85,-12),Database!$A:$AS,MATCH($E$1,Database!$A$1:$AS$1,),))))</f>
        <v/>
      </c>
      <c r="F85" s="13">
        <f>((((VLOOKUP(B85,Database!$A:$AS,MATCH($F$1,Database!$A$1:$AS$1,),))))-(((VLOOKUP(EDATE(B85,-12),Database!$A:$AS,MATCH($F$1,Database!$A$1:$AS$1,),)))))/(((VLOOKUP(EDATE(B85,-12),Database!$A:$AS,MATCH($F$1,Database!$A$1:$AS$1,),))))</f>
        <v/>
      </c>
      <c r="G85" s="13">
        <f>((((VLOOKUP(B85,Database!$A:$AS,MATCH($G$1,Database!$A$1:$AS$1,),))))-(((VLOOKUP(EDATE(B85,-12),Database!$A:$AS,MATCH($G$1,Database!$A$1:$AS$1,),)))))/(((VLOOKUP(EDATE(B85,-12),Database!$A:$AS,MATCH($G$1,Database!$A$1:$AS$1,),))))</f>
        <v/>
      </c>
      <c r="H85" s="13">
        <f>((((VLOOKUP(B85,Database!$A:$AS,MATCH($H$1,Database!$A$1:$AS$1,),))))-(((VLOOKUP(EDATE(B85,-12),Database!$A:$AS,MATCH($H$1,Database!$A$1:$AS$1,),)))))/(((VLOOKUP(EDATE(B85,-12),Database!$A:$AS,MATCH($H$1,Database!$A$1:$AS$1,),))))</f>
        <v/>
      </c>
      <c r="I85" s="13">
        <f>((((VLOOKUP(B85,Database!$A:$AS,MATCH($I$1,Database!$A$1:$AS$1,),))))-(((VLOOKUP(EDATE(B85,-12),Database!$A:$AS,MATCH($I$1,Database!$A$1:$AS$1,),)))))/(((VLOOKUP(EDATE(B85,-12),Database!$A:$AS,MATCH($I$1,Database!$A$1:$AS$1,),))))</f>
        <v/>
      </c>
      <c r="J85" s="13">
        <f>((((VLOOKUP(B85,Database!$A:$AS,MATCH($J$1,Database!$A$1:$AS$1,),))))-(((VLOOKUP(EDATE(B85,-12),Database!$A:$AS,MATCH($J$1,Database!$A$1:$AS$1,),)))))/(((VLOOKUP(EDATE(B85,-12),Database!$A:$AS,MATCH($J$1,Database!$A$1:$AS$1,),))))</f>
        <v/>
      </c>
      <c r="K85" s="13">
        <f>((((VLOOKUP(B85,Database!$A:$AS,MATCH($K$1,Database!$A$1:$AS$1,),))))-(((VLOOKUP(EDATE(B85,-12),Database!$A:$AS,MATCH($K$1,Database!$A$1:$AS$1,),)))))/(((VLOOKUP(EDATE(B85,-12),Database!$A:$AS,MATCH($K$1,Database!$A$1:$AS$1,),))))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((((VLOOKUP(B85,Database!$A:$AS,MATCH($O$1,Database!$A$1:$AS$1,),))))-(((VLOOKUP(EDATE(B85,-12),Database!$A:$AS,MATCH($O$1,Database!$A$1:$AS$1,),)))))/(((VLOOKUP(EDATE(B85,-12),Database!$A:$AS,MATCH($O$1,Database!$A$1:$AS$1,),))))</f>
        <v/>
      </c>
      <c r="P85" s="13">
        <f>((((VLOOKUP(B85,Database!$A:$AS,MATCH($P$1,Database!$A$1:$AS$1,),))))-(((VLOOKUP(EDATE(B85,-12),Database!$A:$AS,MATCH($P$1,Database!$A$1:$AS$1,),)))))/(((VLOOKUP(EDATE(B85,-12),Database!$A:$AS,MATCH($P$1,Database!$A$1:$AS$1,),))))</f>
        <v/>
      </c>
      <c r="Q85" s="13">
        <f>((((VLOOKUP(B85,Database!$A:$AS,MATCH($Q$1,Database!$A$1:$AS$1,),))))-(((VLOOKUP(EDATE(B85,-12),Database!$A:$AS,MATCH($Q$1,Database!$A$1:$AS$1,),)))))/(((VLOOKUP(EDATE(B85,-12),Database!$A:$AS,MATCH($Q$1,Database!$A$1:$AS$1,),))))</f>
        <v/>
      </c>
      <c r="R85" s="13">
        <f>((((VLOOKUP(B85,Database!$A:$AS,MATCH($R$1,Database!$A$1:$AS$1,),))))-(((VLOOKUP(EDATE(B85,-12),Database!$A:$AS,MATCH($R$1,Database!$A$1:$AS$1,),)))))/(((VLOOKUP(EDATE(B85,-12),Database!$A:$AS,MATCH($R$1,Database!$A$1:$AS$1,),))))</f>
        <v/>
      </c>
      <c r="S85" s="13">
        <f>((((VLOOKUP(B85,Database!$A:$AS,MATCH($S$1,Database!$A$1:$AS$1,),))))-(((VLOOKUP(EDATE(B85,-12),Database!$A:$AS,MATCH($S$1,Database!$A$1:$AS$1,),)))))/(((VLOOKUP(EDATE(B85,-12),Database!$A:$AS,MATCH($S$1,Database!$A$1:$AS$1,),))))</f>
        <v/>
      </c>
      <c r="T85" s="13">
        <f>((((VLOOKUP(B85,Database!$A:$AS,MATCH($T$1,Database!$A$1:$AS$1,),))))-(((VLOOKUP(EDATE(B85,-12),Database!$A:$AS,MATCH($T$1,Database!$A$1:$AS$1,),)))))/(((VLOOKUP(EDATE(B85,-12),Database!$A:$AS,MATCH($T$1,Database!$A$1:$AS$1,),))))</f>
        <v/>
      </c>
      <c r="U85" s="13">
        <f>((((VLOOKUP(B85,Database!$A:$AS,MATCH($U$1,Database!$A$1:$AS$1,),))))-(((VLOOKUP(EDATE(B85,-12),Database!$A:$AS,MATCH($U$1,Database!$A$1:$AS$1,),)))))/(((VLOOKUP(EDATE(B85,-12),Database!$A:$AS,MATCH($U$1,Database!$A$1:$AS$1,),))))</f>
        <v/>
      </c>
      <c r="V85" s="13">
        <f>((((VLOOKUP(B85,Database!$A:$AS,MATCH($V$1,Database!$A$1:$AS$1,),))))-(((VLOOKUP(EDATE(B85,-12),Database!$A:$AS,MATCH($V$1,Database!$A$1:$AS$1,),)))))/(((VLOOKUP(EDATE(B85,-12),Database!$A:$AS,MATCH($V$1,Database!$A$1:$AS$1,),))))</f>
        <v/>
      </c>
    </row>
    <row r="86" customFormat="1" s="94">
      <c r="A86" s="44" t="n"/>
      <c r="B86" s="85" t="n">
        <v>34759</v>
      </c>
      <c r="C86" s="13">
        <f>((((VLOOKUP(B86,Database!$A:$AS,MATCH($C$1,Database!$A$1:$AS$1,),))))-(((VLOOKUP(EDATE(B86,-12),Database!$A:$AS,MATCH($C$1,Database!$A$1:$AS$1,),)))))/(((VLOOKUP(EDATE(B86,-12),Database!$A:$AS,MATCH($C$1,Database!$A$1:$AS$1,),))))</f>
        <v/>
      </c>
      <c r="D86" s="13">
        <f>((((VLOOKUP(B86,Database!$A:$AS,MATCH($D$1,Database!$A$1:$AS$1,),))))-(((VLOOKUP(EDATE(B86,-12),Database!$A:$AS,MATCH($D$1,Database!$A$1:$AS$1,),)))))/(((VLOOKUP(EDATE(B86,-12),Database!$A:$AS,MATCH($D$1,Database!$A$1:$AS$1,),))))</f>
        <v/>
      </c>
      <c r="E86" s="13">
        <f>((((VLOOKUP(B86,Database!$A:$AS,MATCH($E$1,Database!$A$1:$AS$1,),))))-(((VLOOKUP(EDATE(B86,-12),Database!$A:$AS,MATCH($E$1,Database!$A$1:$AS$1,),)))))/(((VLOOKUP(EDATE(B86,-12),Database!$A:$AS,MATCH($E$1,Database!$A$1:$AS$1,),))))</f>
        <v/>
      </c>
      <c r="F86" s="13">
        <f>((((VLOOKUP(B86,Database!$A:$AS,MATCH($F$1,Database!$A$1:$AS$1,),))))-(((VLOOKUP(EDATE(B86,-12),Database!$A:$AS,MATCH($F$1,Database!$A$1:$AS$1,),)))))/(((VLOOKUP(EDATE(B86,-12),Database!$A:$AS,MATCH($F$1,Database!$A$1:$AS$1,),))))</f>
        <v/>
      </c>
      <c r="G86" s="13">
        <f>((((VLOOKUP(B86,Database!$A:$AS,MATCH($G$1,Database!$A$1:$AS$1,),))))-(((VLOOKUP(EDATE(B86,-12),Database!$A:$AS,MATCH($G$1,Database!$A$1:$AS$1,),)))))/(((VLOOKUP(EDATE(B86,-12),Database!$A:$AS,MATCH($G$1,Database!$A$1:$AS$1,),))))</f>
        <v/>
      </c>
      <c r="H86" s="13">
        <f>((((VLOOKUP(B86,Database!$A:$AS,MATCH($H$1,Database!$A$1:$AS$1,),))))-(((VLOOKUP(EDATE(B86,-12),Database!$A:$AS,MATCH($H$1,Database!$A$1:$AS$1,),)))))/(((VLOOKUP(EDATE(B86,-12),Database!$A:$AS,MATCH($H$1,Database!$A$1:$AS$1,),))))</f>
        <v/>
      </c>
      <c r="I86" s="13">
        <f>((((VLOOKUP(B86,Database!$A:$AS,MATCH($I$1,Database!$A$1:$AS$1,),))))-(((VLOOKUP(EDATE(B86,-12),Database!$A:$AS,MATCH($I$1,Database!$A$1:$AS$1,),)))))/(((VLOOKUP(EDATE(B86,-12),Database!$A:$AS,MATCH($I$1,Database!$A$1:$AS$1,),))))</f>
        <v/>
      </c>
      <c r="J86" s="13">
        <f>((((VLOOKUP(B86,Database!$A:$AS,MATCH($J$1,Database!$A$1:$AS$1,),))))-(((VLOOKUP(EDATE(B86,-12),Database!$A:$AS,MATCH($J$1,Database!$A$1:$AS$1,),)))))/(((VLOOKUP(EDATE(B86,-12),Database!$A:$AS,MATCH($J$1,Database!$A$1:$AS$1,),))))</f>
        <v/>
      </c>
      <c r="K86" s="13">
        <f>((((VLOOKUP(B86,Database!$A:$AS,MATCH($K$1,Database!$A$1:$AS$1,),))))-(((VLOOKUP(EDATE(B86,-12),Database!$A:$AS,MATCH($K$1,Database!$A$1:$AS$1,),)))))/(((VLOOKUP(EDATE(B86,-12),Database!$A:$AS,MATCH($K$1,Database!$A$1:$AS$1,),))))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((((VLOOKUP(B86,Database!$A:$AS,MATCH($O$1,Database!$A$1:$AS$1,),))))-(((VLOOKUP(EDATE(B86,-12),Database!$A:$AS,MATCH($O$1,Database!$A$1:$AS$1,),)))))/(((VLOOKUP(EDATE(B86,-12),Database!$A:$AS,MATCH($O$1,Database!$A$1:$AS$1,),))))</f>
        <v/>
      </c>
      <c r="P86" s="13">
        <f>((((VLOOKUP(B86,Database!$A:$AS,MATCH($P$1,Database!$A$1:$AS$1,),))))-(((VLOOKUP(EDATE(B86,-12),Database!$A:$AS,MATCH($P$1,Database!$A$1:$AS$1,),)))))/(((VLOOKUP(EDATE(B86,-12),Database!$A:$AS,MATCH($P$1,Database!$A$1:$AS$1,),))))</f>
        <v/>
      </c>
      <c r="Q86" s="13">
        <f>((((VLOOKUP(B86,Database!$A:$AS,MATCH($Q$1,Database!$A$1:$AS$1,),))))-(((VLOOKUP(EDATE(B86,-12),Database!$A:$AS,MATCH($Q$1,Database!$A$1:$AS$1,),)))))/(((VLOOKUP(EDATE(B86,-12),Database!$A:$AS,MATCH($Q$1,Database!$A$1:$AS$1,),))))</f>
        <v/>
      </c>
      <c r="R86" s="13">
        <f>((((VLOOKUP(B86,Database!$A:$AS,MATCH($R$1,Database!$A$1:$AS$1,),))))-(((VLOOKUP(EDATE(B86,-12),Database!$A:$AS,MATCH($R$1,Database!$A$1:$AS$1,),)))))/(((VLOOKUP(EDATE(B86,-12),Database!$A:$AS,MATCH($R$1,Database!$A$1:$AS$1,),))))</f>
        <v/>
      </c>
      <c r="S86" s="13">
        <f>((((VLOOKUP(B86,Database!$A:$AS,MATCH($S$1,Database!$A$1:$AS$1,),))))-(((VLOOKUP(EDATE(B86,-12),Database!$A:$AS,MATCH($S$1,Database!$A$1:$AS$1,),)))))/(((VLOOKUP(EDATE(B86,-12),Database!$A:$AS,MATCH($S$1,Database!$A$1:$AS$1,),))))</f>
        <v/>
      </c>
      <c r="T86" s="13">
        <f>((((VLOOKUP(B86,Database!$A:$AS,MATCH($T$1,Database!$A$1:$AS$1,),))))-(((VLOOKUP(EDATE(B86,-12),Database!$A:$AS,MATCH($T$1,Database!$A$1:$AS$1,),)))))/(((VLOOKUP(EDATE(B86,-12),Database!$A:$AS,MATCH($T$1,Database!$A$1:$AS$1,),))))</f>
        <v/>
      </c>
      <c r="U86" s="13">
        <f>((((VLOOKUP(B86,Database!$A:$AS,MATCH($U$1,Database!$A$1:$AS$1,),))))-(((VLOOKUP(EDATE(B86,-12),Database!$A:$AS,MATCH($U$1,Database!$A$1:$AS$1,),)))))/(((VLOOKUP(EDATE(B86,-12),Database!$A:$AS,MATCH($U$1,Database!$A$1:$AS$1,),))))</f>
        <v/>
      </c>
      <c r="V86" s="13">
        <f>((((VLOOKUP(B86,Database!$A:$AS,MATCH($V$1,Database!$A$1:$AS$1,),))))-(((VLOOKUP(EDATE(B86,-12),Database!$A:$AS,MATCH($V$1,Database!$A$1:$AS$1,),)))))/(((VLOOKUP(EDATE(B86,-12),Database!$A:$AS,MATCH($V$1,Database!$A$1:$AS$1,),))))</f>
        <v/>
      </c>
    </row>
    <row r="87" customFormat="1" s="94">
      <c r="A87" s="44" t="n"/>
      <c r="B87" s="85" t="n">
        <v>34790</v>
      </c>
      <c r="C87" s="13">
        <f>((((VLOOKUP(B87,Database!$A:$AS,MATCH($C$1,Database!$A$1:$AS$1,),))))-(((VLOOKUP(EDATE(B87,-12),Database!$A:$AS,MATCH($C$1,Database!$A$1:$AS$1,),)))))/(((VLOOKUP(EDATE(B87,-12),Database!$A:$AS,MATCH($C$1,Database!$A$1:$AS$1,),))))</f>
        <v/>
      </c>
      <c r="D87" s="13">
        <f>((((VLOOKUP(B87,Database!$A:$AS,MATCH($D$1,Database!$A$1:$AS$1,),))))-(((VLOOKUP(EDATE(B87,-12),Database!$A:$AS,MATCH($D$1,Database!$A$1:$AS$1,),)))))/(((VLOOKUP(EDATE(B87,-12),Database!$A:$AS,MATCH($D$1,Database!$A$1:$AS$1,),))))</f>
        <v/>
      </c>
      <c r="E87" s="13">
        <f>((((VLOOKUP(B87,Database!$A:$AS,MATCH($E$1,Database!$A$1:$AS$1,),))))-(((VLOOKUP(EDATE(B87,-12),Database!$A:$AS,MATCH($E$1,Database!$A$1:$AS$1,),)))))/(((VLOOKUP(EDATE(B87,-12),Database!$A:$AS,MATCH($E$1,Database!$A$1:$AS$1,),))))</f>
        <v/>
      </c>
      <c r="F87" s="13">
        <f>((((VLOOKUP(B87,Database!$A:$AS,MATCH($F$1,Database!$A$1:$AS$1,),))))-(((VLOOKUP(EDATE(B87,-12),Database!$A:$AS,MATCH($F$1,Database!$A$1:$AS$1,),)))))/(((VLOOKUP(EDATE(B87,-12),Database!$A:$AS,MATCH($F$1,Database!$A$1:$AS$1,),))))</f>
        <v/>
      </c>
      <c r="G87" s="13">
        <f>((((VLOOKUP(B87,Database!$A:$AS,MATCH($G$1,Database!$A$1:$AS$1,),))))-(((VLOOKUP(EDATE(B87,-12),Database!$A:$AS,MATCH($G$1,Database!$A$1:$AS$1,),)))))/(((VLOOKUP(EDATE(B87,-12),Database!$A:$AS,MATCH($G$1,Database!$A$1:$AS$1,),))))</f>
        <v/>
      </c>
      <c r="H87" s="13">
        <f>((((VLOOKUP(B87,Database!$A:$AS,MATCH($H$1,Database!$A$1:$AS$1,),))))-(((VLOOKUP(EDATE(B87,-12),Database!$A:$AS,MATCH($H$1,Database!$A$1:$AS$1,),)))))/(((VLOOKUP(EDATE(B87,-12),Database!$A:$AS,MATCH($H$1,Database!$A$1:$AS$1,),))))</f>
        <v/>
      </c>
      <c r="I87" s="13">
        <f>((((VLOOKUP(B87,Database!$A:$AS,MATCH($I$1,Database!$A$1:$AS$1,),))))-(((VLOOKUP(EDATE(B87,-12),Database!$A:$AS,MATCH($I$1,Database!$A$1:$AS$1,),)))))/(((VLOOKUP(EDATE(B87,-12),Database!$A:$AS,MATCH($I$1,Database!$A$1:$AS$1,),))))</f>
        <v/>
      </c>
      <c r="J87" s="13">
        <f>((((VLOOKUP(B87,Database!$A:$AS,MATCH($J$1,Database!$A$1:$AS$1,),))))-(((VLOOKUP(EDATE(B87,-12),Database!$A:$AS,MATCH($J$1,Database!$A$1:$AS$1,),)))))/(((VLOOKUP(EDATE(B87,-12),Database!$A:$AS,MATCH($J$1,Database!$A$1:$AS$1,),))))</f>
        <v/>
      </c>
      <c r="K87" s="13">
        <f>((((VLOOKUP(B87,Database!$A:$AS,MATCH($K$1,Database!$A$1:$AS$1,),))))-(((VLOOKUP(EDATE(B87,-12),Database!$A:$AS,MATCH($K$1,Database!$A$1:$AS$1,),)))))/(((VLOOKUP(EDATE(B87,-12),Database!$A:$AS,MATCH($K$1,Database!$A$1:$AS$1,),))))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((((VLOOKUP(B87,Database!$A:$AS,MATCH($O$1,Database!$A$1:$AS$1,),))))-(((VLOOKUP(EDATE(B87,-12),Database!$A:$AS,MATCH($O$1,Database!$A$1:$AS$1,),)))))/(((VLOOKUP(EDATE(B87,-12),Database!$A:$AS,MATCH($O$1,Database!$A$1:$AS$1,),))))</f>
        <v/>
      </c>
      <c r="P87" s="13">
        <f>((((VLOOKUP(B87,Database!$A:$AS,MATCH($P$1,Database!$A$1:$AS$1,),))))-(((VLOOKUP(EDATE(B87,-12),Database!$A:$AS,MATCH($P$1,Database!$A$1:$AS$1,),)))))/(((VLOOKUP(EDATE(B87,-12),Database!$A:$AS,MATCH($P$1,Database!$A$1:$AS$1,),))))</f>
        <v/>
      </c>
      <c r="Q87" s="13">
        <f>((((VLOOKUP(B87,Database!$A:$AS,MATCH($Q$1,Database!$A$1:$AS$1,),))))-(((VLOOKUP(EDATE(B87,-12),Database!$A:$AS,MATCH($Q$1,Database!$A$1:$AS$1,),)))))/(((VLOOKUP(EDATE(B87,-12),Database!$A:$AS,MATCH($Q$1,Database!$A$1:$AS$1,),))))</f>
        <v/>
      </c>
      <c r="R87" s="13">
        <f>((((VLOOKUP(B87,Database!$A:$AS,MATCH($R$1,Database!$A$1:$AS$1,),))))-(((VLOOKUP(EDATE(B87,-12),Database!$A:$AS,MATCH($R$1,Database!$A$1:$AS$1,),)))))/(((VLOOKUP(EDATE(B87,-12),Database!$A:$AS,MATCH($R$1,Database!$A$1:$AS$1,),))))</f>
        <v/>
      </c>
      <c r="S87" s="13">
        <f>((((VLOOKUP(B87,Database!$A:$AS,MATCH($S$1,Database!$A$1:$AS$1,),))))-(((VLOOKUP(EDATE(B87,-12),Database!$A:$AS,MATCH($S$1,Database!$A$1:$AS$1,),)))))/(((VLOOKUP(EDATE(B87,-12),Database!$A:$AS,MATCH($S$1,Database!$A$1:$AS$1,),))))</f>
        <v/>
      </c>
      <c r="T87" s="13">
        <f>((((VLOOKUP(B87,Database!$A:$AS,MATCH($T$1,Database!$A$1:$AS$1,),))))-(((VLOOKUP(EDATE(B87,-12),Database!$A:$AS,MATCH($T$1,Database!$A$1:$AS$1,),)))))/(((VLOOKUP(EDATE(B87,-12),Database!$A:$AS,MATCH($T$1,Database!$A$1:$AS$1,),))))</f>
        <v/>
      </c>
      <c r="U87" s="13">
        <f>((((VLOOKUP(B87,Database!$A:$AS,MATCH($U$1,Database!$A$1:$AS$1,),))))-(((VLOOKUP(EDATE(B87,-12),Database!$A:$AS,MATCH($U$1,Database!$A$1:$AS$1,),)))))/(((VLOOKUP(EDATE(B87,-12),Database!$A:$AS,MATCH($U$1,Database!$A$1:$AS$1,),))))</f>
        <v/>
      </c>
      <c r="V87" s="13">
        <f>((((VLOOKUP(B87,Database!$A:$AS,MATCH($V$1,Database!$A$1:$AS$1,),))))-(((VLOOKUP(EDATE(B87,-12),Database!$A:$AS,MATCH($V$1,Database!$A$1:$AS$1,),)))))/(((VLOOKUP(EDATE(B87,-12),Database!$A:$AS,MATCH($V$1,Database!$A$1:$AS$1,),))))</f>
        <v/>
      </c>
    </row>
    <row r="88" customFormat="1" s="94">
      <c r="A88" s="44" t="n"/>
      <c r="B88" s="85" t="n">
        <v>34820</v>
      </c>
      <c r="C88" s="13">
        <f>((((VLOOKUP(B88,Database!$A:$AS,MATCH($C$1,Database!$A$1:$AS$1,),))))-(((VLOOKUP(EDATE(B88,-12),Database!$A:$AS,MATCH($C$1,Database!$A$1:$AS$1,),)))))/(((VLOOKUP(EDATE(B88,-12),Database!$A:$AS,MATCH($C$1,Database!$A$1:$AS$1,),))))</f>
        <v/>
      </c>
      <c r="D88" s="13">
        <f>((((VLOOKUP(B88,Database!$A:$AS,MATCH($D$1,Database!$A$1:$AS$1,),))))-(((VLOOKUP(EDATE(B88,-12),Database!$A:$AS,MATCH($D$1,Database!$A$1:$AS$1,),)))))/(((VLOOKUP(EDATE(B88,-12),Database!$A:$AS,MATCH($D$1,Database!$A$1:$AS$1,),))))</f>
        <v/>
      </c>
      <c r="E88" s="13">
        <f>((((VLOOKUP(B88,Database!$A:$AS,MATCH($E$1,Database!$A$1:$AS$1,),))))-(((VLOOKUP(EDATE(B88,-12),Database!$A:$AS,MATCH($E$1,Database!$A$1:$AS$1,),)))))/(((VLOOKUP(EDATE(B88,-12),Database!$A:$AS,MATCH($E$1,Database!$A$1:$AS$1,),))))</f>
        <v/>
      </c>
      <c r="F88" s="13">
        <f>((((VLOOKUP(B88,Database!$A:$AS,MATCH($F$1,Database!$A$1:$AS$1,),))))-(((VLOOKUP(EDATE(B88,-12),Database!$A:$AS,MATCH($F$1,Database!$A$1:$AS$1,),)))))/(((VLOOKUP(EDATE(B88,-12),Database!$A:$AS,MATCH($F$1,Database!$A$1:$AS$1,),))))</f>
        <v/>
      </c>
      <c r="G88" s="13">
        <f>((((VLOOKUP(B88,Database!$A:$AS,MATCH($G$1,Database!$A$1:$AS$1,),))))-(((VLOOKUP(EDATE(B88,-12),Database!$A:$AS,MATCH($G$1,Database!$A$1:$AS$1,),)))))/(((VLOOKUP(EDATE(B88,-12),Database!$A:$AS,MATCH($G$1,Database!$A$1:$AS$1,),))))</f>
        <v/>
      </c>
      <c r="H88" s="13">
        <f>((((VLOOKUP(B88,Database!$A:$AS,MATCH($H$1,Database!$A$1:$AS$1,),))))-(((VLOOKUP(EDATE(B88,-12),Database!$A:$AS,MATCH($H$1,Database!$A$1:$AS$1,),)))))/(((VLOOKUP(EDATE(B88,-12),Database!$A:$AS,MATCH($H$1,Database!$A$1:$AS$1,),))))</f>
        <v/>
      </c>
      <c r="I88" s="13">
        <f>((((VLOOKUP(B88,Database!$A:$AS,MATCH($I$1,Database!$A$1:$AS$1,),))))-(((VLOOKUP(EDATE(B88,-12),Database!$A:$AS,MATCH($I$1,Database!$A$1:$AS$1,),)))))/(((VLOOKUP(EDATE(B88,-12),Database!$A:$AS,MATCH($I$1,Database!$A$1:$AS$1,),))))</f>
        <v/>
      </c>
      <c r="J88" s="13">
        <f>((((VLOOKUP(B88,Database!$A:$AS,MATCH($J$1,Database!$A$1:$AS$1,),))))-(((VLOOKUP(EDATE(B88,-12),Database!$A:$AS,MATCH($J$1,Database!$A$1:$AS$1,),)))))/(((VLOOKUP(EDATE(B88,-12),Database!$A:$AS,MATCH($J$1,Database!$A$1:$AS$1,),))))</f>
        <v/>
      </c>
      <c r="K88" s="13">
        <f>((((VLOOKUP(B88,Database!$A:$AS,MATCH($K$1,Database!$A$1:$AS$1,),))))-(((VLOOKUP(EDATE(B88,-12),Database!$A:$AS,MATCH($K$1,Database!$A$1:$AS$1,),)))))/(((VLOOKUP(EDATE(B88,-12),Database!$A:$AS,MATCH($K$1,Database!$A$1:$AS$1,),))))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((((VLOOKUP(B88,Database!$A:$AS,MATCH($O$1,Database!$A$1:$AS$1,),))))-(((VLOOKUP(EDATE(B88,-12),Database!$A:$AS,MATCH($O$1,Database!$A$1:$AS$1,),)))))/(((VLOOKUP(EDATE(B88,-12),Database!$A:$AS,MATCH($O$1,Database!$A$1:$AS$1,),))))</f>
        <v/>
      </c>
      <c r="P88" s="13">
        <f>((((VLOOKUP(B88,Database!$A:$AS,MATCH($P$1,Database!$A$1:$AS$1,),))))-(((VLOOKUP(EDATE(B88,-12),Database!$A:$AS,MATCH($P$1,Database!$A$1:$AS$1,),)))))/(((VLOOKUP(EDATE(B88,-12),Database!$A:$AS,MATCH($P$1,Database!$A$1:$AS$1,),))))</f>
        <v/>
      </c>
      <c r="Q88" s="13">
        <f>((((VLOOKUP(B88,Database!$A:$AS,MATCH($Q$1,Database!$A$1:$AS$1,),))))-(((VLOOKUP(EDATE(B88,-12),Database!$A:$AS,MATCH($Q$1,Database!$A$1:$AS$1,),)))))/(((VLOOKUP(EDATE(B88,-12),Database!$A:$AS,MATCH($Q$1,Database!$A$1:$AS$1,),))))</f>
        <v/>
      </c>
      <c r="R88" s="13">
        <f>((((VLOOKUP(B88,Database!$A:$AS,MATCH($R$1,Database!$A$1:$AS$1,),))))-(((VLOOKUP(EDATE(B88,-12),Database!$A:$AS,MATCH($R$1,Database!$A$1:$AS$1,),)))))/(((VLOOKUP(EDATE(B88,-12),Database!$A:$AS,MATCH($R$1,Database!$A$1:$AS$1,),))))</f>
        <v/>
      </c>
      <c r="S88" s="13">
        <f>((((VLOOKUP(B88,Database!$A:$AS,MATCH($S$1,Database!$A$1:$AS$1,),))))-(((VLOOKUP(EDATE(B88,-12),Database!$A:$AS,MATCH($S$1,Database!$A$1:$AS$1,),)))))/(((VLOOKUP(EDATE(B88,-12),Database!$A:$AS,MATCH($S$1,Database!$A$1:$AS$1,),))))</f>
        <v/>
      </c>
      <c r="T88" s="13">
        <f>((((VLOOKUP(B88,Database!$A:$AS,MATCH($T$1,Database!$A$1:$AS$1,),))))-(((VLOOKUP(EDATE(B88,-12),Database!$A:$AS,MATCH($T$1,Database!$A$1:$AS$1,),)))))/(((VLOOKUP(EDATE(B88,-12),Database!$A:$AS,MATCH($T$1,Database!$A$1:$AS$1,),))))</f>
        <v/>
      </c>
      <c r="U88" s="13">
        <f>((((VLOOKUP(B88,Database!$A:$AS,MATCH($U$1,Database!$A$1:$AS$1,),))))-(((VLOOKUP(EDATE(B88,-12),Database!$A:$AS,MATCH($U$1,Database!$A$1:$AS$1,),)))))/(((VLOOKUP(EDATE(B88,-12),Database!$A:$AS,MATCH($U$1,Database!$A$1:$AS$1,),))))</f>
        <v/>
      </c>
      <c r="V88" s="13">
        <f>((((VLOOKUP(B88,Database!$A:$AS,MATCH($V$1,Database!$A$1:$AS$1,),))))-(((VLOOKUP(EDATE(B88,-12),Database!$A:$AS,MATCH($V$1,Database!$A$1:$AS$1,),)))))/(((VLOOKUP(EDATE(B88,-12),Database!$A:$AS,MATCH($V$1,Database!$A$1:$AS$1,),))))</f>
        <v/>
      </c>
    </row>
    <row r="89" customFormat="1" s="94">
      <c r="A89" s="44" t="n"/>
      <c r="B89" s="85" t="n">
        <v>34851</v>
      </c>
      <c r="C89" s="13">
        <f>((((VLOOKUP(B89,Database!$A:$AS,MATCH($C$1,Database!$A$1:$AS$1,),))))-(((VLOOKUP(EDATE(B89,-12),Database!$A:$AS,MATCH($C$1,Database!$A$1:$AS$1,),)))))/(((VLOOKUP(EDATE(B89,-12),Database!$A:$AS,MATCH($C$1,Database!$A$1:$AS$1,),))))</f>
        <v/>
      </c>
      <c r="D89" s="13">
        <f>((((VLOOKUP(B89,Database!$A:$AS,MATCH($D$1,Database!$A$1:$AS$1,),))))-(((VLOOKUP(EDATE(B89,-12),Database!$A:$AS,MATCH($D$1,Database!$A$1:$AS$1,),)))))/(((VLOOKUP(EDATE(B89,-12),Database!$A:$AS,MATCH($D$1,Database!$A$1:$AS$1,),))))</f>
        <v/>
      </c>
      <c r="E89" s="13">
        <f>((((VLOOKUP(B89,Database!$A:$AS,MATCH($E$1,Database!$A$1:$AS$1,),))))-(((VLOOKUP(EDATE(B89,-12),Database!$A:$AS,MATCH($E$1,Database!$A$1:$AS$1,),)))))/(((VLOOKUP(EDATE(B89,-12),Database!$A:$AS,MATCH($E$1,Database!$A$1:$AS$1,),))))</f>
        <v/>
      </c>
      <c r="F89" s="13">
        <f>((((VLOOKUP(B89,Database!$A:$AS,MATCH($F$1,Database!$A$1:$AS$1,),))))-(((VLOOKUP(EDATE(B89,-12),Database!$A:$AS,MATCH($F$1,Database!$A$1:$AS$1,),)))))/(((VLOOKUP(EDATE(B89,-12),Database!$A:$AS,MATCH($F$1,Database!$A$1:$AS$1,),))))</f>
        <v/>
      </c>
      <c r="G89" s="13">
        <f>((((VLOOKUP(B89,Database!$A:$AS,MATCH($G$1,Database!$A$1:$AS$1,),))))-(((VLOOKUP(EDATE(B89,-12),Database!$A:$AS,MATCH($G$1,Database!$A$1:$AS$1,),)))))/(((VLOOKUP(EDATE(B89,-12),Database!$A:$AS,MATCH($G$1,Database!$A$1:$AS$1,),))))</f>
        <v/>
      </c>
      <c r="H89" s="13">
        <f>((((VLOOKUP(B89,Database!$A:$AS,MATCH($H$1,Database!$A$1:$AS$1,),))))-(((VLOOKUP(EDATE(B89,-12),Database!$A:$AS,MATCH($H$1,Database!$A$1:$AS$1,),)))))/(((VLOOKUP(EDATE(B89,-12),Database!$A:$AS,MATCH($H$1,Database!$A$1:$AS$1,),))))</f>
        <v/>
      </c>
      <c r="I89" s="13">
        <f>((((VLOOKUP(B89,Database!$A:$AS,MATCH($I$1,Database!$A$1:$AS$1,),))))-(((VLOOKUP(EDATE(B89,-12),Database!$A:$AS,MATCH($I$1,Database!$A$1:$AS$1,),)))))/(((VLOOKUP(EDATE(B89,-12),Database!$A:$AS,MATCH($I$1,Database!$A$1:$AS$1,),))))</f>
        <v/>
      </c>
      <c r="J89" s="13">
        <f>((((VLOOKUP(B89,Database!$A:$AS,MATCH($J$1,Database!$A$1:$AS$1,),))))-(((VLOOKUP(EDATE(B89,-12),Database!$A:$AS,MATCH($J$1,Database!$A$1:$AS$1,),)))))/(((VLOOKUP(EDATE(B89,-12),Database!$A:$AS,MATCH($J$1,Database!$A$1:$AS$1,),))))</f>
        <v/>
      </c>
      <c r="K89" s="13">
        <f>((((VLOOKUP(B89,Database!$A:$AS,MATCH($K$1,Database!$A$1:$AS$1,),))))-(((VLOOKUP(EDATE(B89,-12),Database!$A:$AS,MATCH($K$1,Database!$A$1:$AS$1,),)))))/(((VLOOKUP(EDATE(B89,-12),Database!$A:$AS,MATCH($K$1,Database!$A$1:$AS$1,),))))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((((VLOOKUP(B89,Database!$A:$AS,MATCH($O$1,Database!$A$1:$AS$1,),))))-(((VLOOKUP(EDATE(B89,-12),Database!$A:$AS,MATCH($O$1,Database!$A$1:$AS$1,),)))))/(((VLOOKUP(EDATE(B89,-12),Database!$A:$AS,MATCH($O$1,Database!$A$1:$AS$1,),))))</f>
        <v/>
      </c>
      <c r="P89" s="13">
        <f>((((VLOOKUP(B89,Database!$A:$AS,MATCH($P$1,Database!$A$1:$AS$1,),))))-(((VLOOKUP(EDATE(B89,-12),Database!$A:$AS,MATCH($P$1,Database!$A$1:$AS$1,),)))))/(((VLOOKUP(EDATE(B89,-12),Database!$A:$AS,MATCH($P$1,Database!$A$1:$AS$1,),))))</f>
        <v/>
      </c>
      <c r="Q89" s="13">
        <f>((((VLOOKUP(B89,Database!$A:$AS,MATCH($Q$1,Database!$A$1:$AS$1,),))))-(((VLOOKUP(EDATE(B89,-12),Database!$A:$AS,MATCH($Q$1,Database!$A$1:$AS$1,),)))))/(((VLOOKUP(EDATE(B89,-12),Database!$A:$AS,MATCH($Q$1,Database!$A$1:$AS$1,),))))</f>
        <v/>
      </c>
      <c r="R89" s="13">
        <f>((((VLOOKUP(B89,Database!$A:$AS,MATCH($R$1,Database!$A$1:$AS$1,),))))-(((VLOOKUP(EDATE(B89,-12),Database!$A:$AS,MATCH($R$1,Database!$A$1:$AS$1,),)))))/(((VLOOKUP(EDATE(B89,-12),Database!$A:$AS,MATCH($R$1,Database!$A$1:$AS$1,),))))</f>
        <v/>
      </c>
      <c r="S89" s="13">
        <f>((((VLOOKUP(B89,Database!$A:$AS,MATCH($S$1,Database!$A$1:$AS$1,),))))-(((VLOOKUP(EDATE(B89,-12),Database!$A:$AS,MATCH($S$1,Database!$A$1:$AS$1,),)))))/(((VLOOKUP(EDATE(B89,-12),Database!$A:$AS,MATCH($S$1,Database!$A$1:$AS$1,),))))</f>
        <v/>
      </c>
      <c r="T89" s="13">
        <f>((((VLOOKUP(B89,Database!$A:$AS,MATCH($T$1,Database!$A$1:$AS$1,),))))-(((VLOOKUP(EDATE(B89,-12),Database!$A:$AS,MATCH($T$1,Database!$A$1:$AS$1,),)))))/(((VLOOKUP(EDATE(B89,-12),Database!$A:$AS,MATCH($T$1,Database!$A$1:$AS$1,),))))</f>
        <v/>
      </c>
      <c r="U89" s="13">
        <f>((((VLOOKUP(B89,Database!$A:$AS,MATCH($U$1,Database!$A$1:$AS$1,),))))-(((VLOOKUP(EDATE(B89,-12),Database!$A:$AS,MATCH($U$1,Database!$A$1:$AS$1,),)))))/(((VLOOKUP(EDATE(B89,-12),Database!$A:$AS,MATCH($U$1,Database!$A$1:$AS$1,),))))</f>
        <v/>
      </c>
      <c r="V89" s="13">
        <f>((((VLOOKUP(B89,Database!$A:$AS,MATCH($V$1,Database!$A$1:$AS$1,),))))-(((VLOOKUP(EDATE(B89,-12),Database!$A:$AS,MATCH($V$1,Database!$A$1:$AS$1,),)))))/(((VLOOKUP(EDATE(B89,-12),Database!$A:$AS,MATCH($V$1,Database!$A$1:$AS$1,),))))</f>
        <v/>
      </c>
    </row>
    <row r="90" customFormat="1" s="94">
      <c r="A90" s="44" t="n"/>
      <c r="B90" s="85" t="n">
        <v>34881</v>
      </c>
      <c r="C90" s="13">
        <f>((((VLOOKUP(B90,Database!$A:$AS,MATCH($C$1,Database!$A$1:$AS$1,),))))-(((VLOOKUP(EDATE(B90,-12),Database!$A:$AS,MATCH($C$1,Database!$A$1:$AS$1,),)))))/(((VLOOKUP(EDATE(B90,-12),Database!$A:$AS,MATCH($C$1,Database!$A$1:$AS$1,),))))</f>
        <v/>
      </c>
      <c r="D90" s="13">
        <f>((((VLOOKUP(B90,Database!$A:$AS,MATCH($D$1,Database!$A$1:$AS$1,),))))-(((VLOOKUP(EDATE(B90,-12),Database!$A:$AS,MATCH($D$1,Database!$A$1:$AS$1,),)))))/(((VLOOKUP(EDATE(B90,-12),Database!$A:$AS,MATCH($D$1,Database!$A$1:$AS$1,),))))</f>
        <v/>
      </c>
      <c r="E90" s="13">
        <f>((((VLOOKUP(B90,Database!$A:$AS,MATCH($E$1,Database!$A$1:$AS$1,),))))-(((VLOOKUP(EDATE(B90,-12),Database!$A:$AS,MATCH($E$1,Database!$A$1:$AS$1,),)))))/(((VLOOKUP(EDATE(B90,-12),Database!$A:$AS,MATCH($E$1,Database!$A$1:$AS$1,),))))</f>
        <v/>
      </c>
      <c r="F90" s="13">
        <f>((((VLOOKUP(B90,Database!$A:$AS,MATCH($F$1,Database!$A$1:$AS$1,),))))-(((VLOOKUP(EDATE(B90,-12),Database!$A:$AS,MATCH($F$1,Database!$A$1:$AS$1,),)))))/(((VLOOKUP(EDATE(B90,-12),Database!$A:$AS,MATCH($F$1,Database!$A$1:$AS$1,),))))</f>
        <v/>
      </c>
      <c r="G90" s="13">
        <f>((((VLOOKUP(B90,Database!$A:$AS,MATCH($G$1,Database!$A$1:$AS$1,),))))-(((VLOOKUP(EDATE(B90,-12),Database!$A:$AS,MATCH($G$1,Database!$A$1:$AS$1,),)))))/(((VLOOKUP(EDATE(B90,-12),Database!$A:$AS,MATCH($G$1,Database!$A$1:$AS$1,),))))</f>
        <v/>
      </c>
      <c r="H90" s="13">
        <f>((((VLOOKUP(B90,Database!$A:$AS,MATCH($H$1,Database!$A$1:$AS$1,),))))-(((VLOOKUP(EDATE(B90,-12),Database!$A:$AS,MATCH($H$1,Database!$A$1:$AS$1,),)))))/(((VLOOKUP(EDATE(B90,-12),Database!$A:$AS,MATCH($H$1,Database!$A$1:$AS$1,),))))</f>
        <v/>
      </c>
      <c r="I90" s="13">
        <f>((((VLOOKUP(B90,Database!$A:$AS,MATCH($I$1,Database!$A$1:$AS$1,),))))-(((VLOOKUP(EDATE(B90,-12),Database!$A:$AS,MATCH($I$1,Database!$A$1:$AS$1,),)))))/(((VLOOKUP(EDATE(B90,-12),Database!$A:$AS,MATCH($I$1,Database!$A$1:$AS$1,),))))</f>
        <v/>
      </c>
      <c r="J90" s="13">
        <f>((((VLOOKUP(B90,Database!$A:$AS,MATCH($J$1,Database!$A$1:$AS$1,),))))-(((VLOOKUP(EDATE(B90,-12),Database!$A:$AS,MATCH($J$1,Database!$A$1:$AS$1,),)))))/(((VLOOKUP(EDATE(B90,-12),Database!$A:$AS,MATCH($J$1,Database!$A$1:$AS$1,),))))</f>
        <v/>
      </c>
      <c r="K90" s="13">
        <f>((((VLOOKUP(B90,Database!$A:$AS,MATCH($K$1,Database!$A$1:$AS$1,),))))-(((VLOOKUP(EDATE(B90,-12),Database!$A:$AS,MATCH($K$1,Database!$A$1:$AS$1,),)))))/(((VLOOKUP(EDATE(B90,-12),Database!$A:$AS,MATCH($K$1,Database!$A$1:$AS$1,),))))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((((VLOOKUP(B90,Database!$A:$AS,MATCH($O$1,Database!$A$1:$AS$1,),))))-(((VLOOKUP(EDATE(B90,-12),Database!$A:$AS,MATCH($O$1,Database!$A$1:$AS$1,),)))))/(((VLOOKUP(EDATE(B90,-12),Database!$A:$AS,MATCH($O$1,Database!$A$1:$AS$1,),))))</f>
        <v/>
      </c>
      <c r="P90" s="13">
        <f>((((VLOOKUP(B90,Database!$A:$AS,MATCH($P$1,Database!$A$1:$AS$1,),))))-(((VLOOKUP(EDATE(B90,-12),Database!$A:$AS,MATCH($P$1,Database!$A$1:$AS$1,),)))))/(((VLOOKUP(EDATE(B90,-12),Database!$A:$AS,MATCH($P$1,Database!$A$1:$AS$1,),))))</f>
        <v/>
      </c>
      <c r="Q90" s="13">
        <f>((((VLOOKUP(B90,Database!$A:$AS,MATCH($Q$1,Database!$A$1:$AS$1,),))))-(((VLOOKUP(EDATE(B90,-12),Database!$A:$AS,MATCH($Q$1,Database!$A$1:$AS$1,),)))))/(((VLOOKUP(EDATE(B90,-12),Database!$A:$AS,MATCH($Q$1,Database!$A$1:$AS$1,),))))</f>
        <v/>
      </c>
      <c r="R90" s="13">
        <f>((((VLOOKUP(B90,Database!$A:$AS,MATCH($R$1,Database!$A$1:$AS$1,),))))-(((VLOOKUP(EDATE(B90,-12),Database!$A:$AS,MATCH($R$1,Database!$A$1:$AS$1,),)))))/(((VLOOKUP(EDATE(B90,-12),Database!$A:$AS,MATCH($R$1,Database!$A$1:$AS$1,),))))</f>
        <v/>
      </c>
      <c r="S90" s="13">
        <f>((((VLOOKUP(B90,Database!$A:$AS,MATCH($S$1,Database!$A$1:$AS$1,),))))-(((VLOOKUP(EDATE(B90,-12),Database!$A:$AS,MATCH($S$1,Database!$A$1:$AS$1,),)))))/(((VLOOKUP(EDATE(B90,-12),Database!$A:$AS,MATCH($S$1,Database!$A$1:$AS$1,),))))</f>
        <v/>
      </c>
      <c r="T90" s="13">
        <f>((((VLOOKUP(B90,Database!$A:$AS,MATCH($T$1,Database!$A$1:$AS$1,),))))-(((VLOOKUP(EDATE(B90,-12),Database!$A:$AS,MATCH($T$1,Database!$A$1:$AS$1,),)))))/(((VLOOKUP(EDATE(B90,-12),Database!$A:$AS,MATCH($T$1,Database!$A$1:$AS$1,),))))</f>
        <v/>
      </c>
      <c r="U90" s="13">
        <f>((((VLOOKUP(B90,Database!$A:$AS,MATCH($U$1,Database!$A$1:$AS$1,),))))-(((VLOOKUP(EDATE(B90,-12),Database!$A:$AS,MATCH($U$1,Database!$A$1:$AS$1,),)))))/(((VLOOKUP(EDATE(B90,-12),Database!$A:$AS,MATCH($U$1,Database!$A$1:$AS$1,),))))</f>
        <v/>
      </c>
      <c r="V90" s="13">
        <f>((((VLOOKUP(B90,Database!$A:$AS,MATCH($V$1,Database!$A$1:$AS$1,),))))-(((VLOOKUP(EDATE(B90,-12),Database!$A:$AS,MATCH($V$1,Database!$A$1:$AS$1,),)))))/(((VLOOKUP(EDATE(B90,-12),Database!$A:$AS,MATCH($V$1,Database!$A$1:$AS$1,),))))</f>
        <v/>
      </c>
    </row>
    <row r="91" customFormat="1" s="94">
      <c r="A91" s="44" t="n"/>
      <c r="B91" s="85" t="n">
        <v>34912</v>
      </c>
      <c r="C91" s="13">
        <f>((((VLOOKUP(B91,Database!$A:$AS,MATCH($C$1,Database!$A$1:$AS$1,),))))-(((VLOOKUP(EDATE(B91,-12),Database!$A:$AS,MATCH($C$1,Database!$A$1:$AS$1,),)))))/(((VLOOKUP(EDATE(B91,-12),Database!$A:$AS,MATCH($C$1,Database!$A$1:$AS$1,),))))</f>
        <v/>
      </c>
      <c r="D91" s="13">
        <f>((((VLOOKUP(B91,Database!$A:$AS,MATCH($D$1,Database!$A$1:$AS$1,),))))-(((VLOOKUP(EDATE(B91,-12),Database!$A:$AS,MATCH($D$1,Database!$A$1:$AS$1,),)))))/(((VLOOKUP(EDATE(B91,-12),Database!$A:$AS,MATCH($D$1,Database!$A$1:$AS$1,),))))</f>
        <v/>
      </c>
      <c r="E91" s="13">
        <f>((((VLOOKUP(B91,Database!$A:$AS,MATCH($E$1,Database!$A$1:$AS$1,),))))-(((VLOOKUP(EDATE(B91,-12),Database!$A:$AS,MATCH($E$1,Database!$A$1:$AS$1,),)))))/(((VLOOKUP(EDATE(B91,-12),Database!$A:$AS,MATCH($E$1,Database!$A$1:$AS$1,),))))</f>
        <v/>
      </c>
      <c r="F91" s="13">
        <f>((((VLOOKUP(B91,Database!$A:$AS,MATCH($F$1,Database!$A$1:$AS$1,),))))-(((VLOOKUP(EDATE(B91,-12),Database!$A:$AS,MATCH($F$1,Database!$A$1:$AS$1,),)))))/(((VLOOKUP(EDATE(B91,-12),Database!$A:$AS,MATCH($F$1,Database!$A$1:$AS$1,),))))</f>
        <v/>
      </c>
      <c r="G91" s="13">
        <f>((((VLOOKUP(B91,Database!$A:$AS,MATCH($G$1,Database!$A$1:$AS$1,),))))-(((VLOOKUP(EDATE(B91,-12),Database!$A:$AS,MATCH($G$1,Database!$A$1:$AS$1,),)))))/(((VLOOKUP(EDATE(B91,-12),Database!$A:$AS,MATCH($G$1,Database!$A$1:$AS$1,),))))</f>
        <v/>
      </c>
      <c r="H91" s="13">
        <f>((((VLOOKUP(B91,Database!$A:$AS,MATCH($H$1,Database!$A$1:$AS$1,),))))-(((VLOOKUP(EDATE(B91,-12),Database!$A:$AS,MATCH($H$1,Database!$A$1:$AS$1,),)))))/(((VLOOKUP(EDATE(B91,-12),Database!$A:$AS,MATCH($H$1,Database!$A$1:$AS$1,),))))</f>
        <v/>
      </c>
      <c r="I91" s="13">
        <f>((((VLOOKUP(B91,Database!$A:$AS,MATCH($I$1,Database!$A$1:$AS$1,),))))-(((VLOOKUP(EDATE(B91,-12),Database!$A:$AS,MATCH($I$1,Database!$A$1:$AS$1,),)))))/(((VLOOKUP(EDATE(B91,-12),Database!$A:$AS,MATCH($I$1,Database!$A$1:$AS$1,),))))</f>
        <v/>
      </c>
      <c r="J91" s="13">
        <f>((((VLOOKUP(B91,Database!$A:$AS,MATCH($J$1,Database!$A$1:$AS$1,),))))-(((VLOOKUP(EDATE(B91,-12),Database!$A:$AS,MATCH($J$1,Database!$A$1:$AS$1,),)))))/(((VLOOKUP(EDATE(B91,-12),Database!$A:$AS,MATCH($J$1,Database!$A$1:$AS$1,),))))</f>
        <v/>
      </c>
      <c r="K91" s="13">
        <f>((((VLOOKUP(B91,Database!$A:$AS,MATCH($K$1,Database!$A$1:$AS$1,),))))-(((VLOOKUP(EDATE(B91,-12),Database!$A:$AS,MATCH($K$1,Database!$A$1:$AS$1,),)))))/(((VLOOKUP(EDATE(B91,-12),Database!$A:$AS,MATCH($K$1,Database!$A$1:$AS$1,),))))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((((VLOOKUP(B91,Database!$A:$AS,MATCH($O$1,Database!$A$1:$AS$1,),))))-(((VLOOKUP(EDATE(B91,-12),Database!$A:$AS,MATCH($O$1,Database!$A$1:$AS$1,),)))))/(((VLOOKUP(EDATE(B91,-12),Database!$A:$AS,MATCH($O$1,Database!$A$1:$AS$1,),))))</f>
        <v/>
      </c>
      <c r="P91" s="13">
        <f>((((VLOOKUP(B91,Database!$A:$AS,MATCH($P$1,Database!$A$1:$AS$1,),))))-(((VLOOKUP(EDATE(B91,-12),Database!$A:$AS,MATCH($P$1,Database!$A$1:$AS$1,),)))))/(((VLOOKUP(EDATE(B91,-12),Database!$A:$AS,MATCH($P$1,Database!$A$1:$AS$1,),))))</f>
        <v/>
      </c>
      <c r="Q91" s="13">
        <f>((((VLOOKUP(B91,Database!$A:$AS,MATCH($Q$1,Database!$A$1:$AS$1,),))))-(((VLOOKUP(EDATE(B91,-12),Database!$A:$AS,MATCH($Q$1,Database!$A$1:$AS$1,),)))))/(((VLOOKUP(EDATE(B91,-12),Database!$A:$AS,MATCH($Q$1,Database!$A$1:$AS$1,),))))</f>
        <v/>
      </c>
      <c r="R91" s="13">
        <f>((((VLOOKUP(B91,Database!$A:$AS,MATCH($R$1,Database!$A$1:$AS$1,),))))-(((VLOOKUP(EDATE(B91,-12),Database!$A:$AS,MATCH($R$1,Database!$A$1:$AS$1,),)))))/(((VLOOKUP(EDATE(B91,-12),Database!$A:$AS,MATCH($R$1,Database!$A$1:$AS$1,),))))</f>
        <v/>
      </c>
      <c r="S91" s="13">
        <f>((((VLOOKUP(B91,Database!$A:$AS,MATCH($S$1,Database!$A$1:$AS$1,),))))-(((VLOOKUP(EDATE(B91,-12),Database!$A:$AS,MATCH($S$1,Database!$A$1:$AS$1,),)))))/(((VLOOKUP(EDATE(B91,-12),Database!$A:$AS,MATCH($S$1,Database!$A$1:$AS$1,),))))</f>
        <v/>
      </c>
      <c r="T91" s="13">
        <f>((((VLOOKUP(B91,Database!$A:$AS,MATCH($T$1,Database!$A$1:$AS$1,),))))-(((VLOOKUP(EDATE(B91,-12),Database!$A:$AS,MATCH($T$1,Database!$A$1:$AS$1,),)))))/(((VLOOKUP(EDATE(B91,-12),Database!$A:$AS,MATCH($T$1,Database!$A$1:$AS$1,),))))</f>
        <v/>
      </c>
      <c r="U91" s="13">
        <f>((((VLOOKUP(B91,Database!$A:$AS,MATCH($U$1,Database!$A$1:$AS$1,),))))-(((VLOOKUP(EDATE(B91,-12),Database!$A:$AS,MATCH($U$1,Database!$A$1:$AS$1,),)))))/(((VLOOKUP(EDATE(B91,-12),Database!$A:$AS,MATCH($U$1,Database!$A$1:$AS$1,),))))</f>
        <v/>
      </c>
      <c r="V91" s="13">
        <f>((((VLOOKUP(B91,Database!$A:$AS,MATCH($V$1,Database!$A$1:$AS$1,),))))-(((VLOOKUP(EDATE(B91,-12),Database!$A:$AS,MATCH($V$1,Database!$A$1:$AS$1,),)))))/(((VLOOKUP(EDATE(B91,-12),Database!$A:$AS,MATCH($V$1,Database!$A$1:$AS$1,),))))</f>
        <v/>
      </c>
    </row>
    <row r="92" customFormat="1" s="94">
      <c r="A92" s="44" t="n"/>
      <c r="B92" s="85" t="n">
        <v>34943</v>
      </c>
      <c r="C92" s="13">
        <f>((((VLOOKUP(B92,Database!$A:$AS,MATCH($C$1,Database!$A$1:$AS$1,),))))-(((VLOOKUP(EDATE(B92,-12),Database!$A:$AS,MATCH($C$1,Database!$A$1:$AS$1,),)))))/(((VLOOKUP(EDATE(B92,-12),Database!$A:$AS,MATCH($C$1,Database!$A$1:$AS$1,),))))</f>
        <v/>
      </c>
      <c r="D92" s="13">
        <f>((((VLOOKUP(B92,Database!$A:$AS,MATCH($D$1,Database!$A$1:$AS$1,),))))-(((VLOOKUP(EDATE(B92,-12),Database!$A:$AS,MATCH($D$1,Database!$A$1:$AS$1,),)))))/(((VLOOKUP(EDATE(B92,-12),Database!$A:$AS,MATCH($D$1,Database!$A$1:$AS$1,),))))</f>
        <v/>
      </c>
      <c r="E92" s="13">
        <f>((((VLOOKUP(B92,Database!$A:$AS,MATCH($E$1,Database!$A$1:$AS$1,),))))-(((VLOOKUP(EDATE(B92,-12),Database!$A:$AS,MATCH($E$1,Database!$A$1:$AS$1,),)))))/(((VLOOKUP(EDATE(B92,-12),Database!$A:$AS,MATCH($E$1,Database!$A$1:$AS$1,),))))</f>
        <v/>
      </c>
      <c r="F92" s="13">
        <f>((((VLOOKUP(B92,Database!$A:$AS,MATCH($F$1,Database!$A$1:$AS$1,),))))-(((VLOOKUP(EDATE(B92,-12),Database!$A:$AS,MATCH($F$1,Database!$A$1:$AS$1,),)))))/(((VLOOKUP(EDATE(B92,-12),Database!$A:$AS,MATCH($F$1,Database!$A$1:$AS$1,),))))</f>
        <v/>
      </c>
      <c r="G92" s="13">
        <f>((((VLOOKUP(B92,Database!$A:$AS,MATCH($G$1,Database!$A$1:$AS$1,),))))-(((VLOOKUP(EDATE(B92,-12),Database!$A:$AS,MATCH($G$1,Database!$A$1:$AS$1,),)))))/(((VLOOKUP(EDATE(B92,-12),Database!$A:$AS,MATCH($G$1,Database!$A$1:$AS$1,),))))</f>
        <v/>
      </c>
      <c r="H92" s="13">
        <f>((((VLOOKUP(B92,Database!$A:$AS,MATCH($H$1,Database!$A$1:$AS$1,),))))-(((VLOOKUP(EDATE(B92,-12),Database!$A:$AS,MATCH($H$1,Database!$A$1:$AS$1,),)))))/(((VLOOKUP(EDATE(B92,-12),Database!$A:$AS,MATCH($H$1,Database!$A$1:$AS$1,),))))</f>
        <v/>
      </c>
      <c r="I92" s="13">
        <f>((((VLOOKUP(B92,Database!$A:$AS,MATCH($I$1,Database!$A$1:$AS$1,),))))-(((VLOOKUP(EDATE(B92,-12),Database!$A:$AS,MATCH($I$1,Database!$A$1:$AS$1,),)))))/(((VLOOKUP(EDATE(B92,-12),Database!$A:$AS,MATCH($I$1,Database!$A$1:$AS$1,),))))</f>
        <v/>
      </c>
      <c r="J92" s="13">
        <f>((((VLOOKUP(B92,Database!$A:$AS,MATCH($J$1,Database!$A$1:$AS$1,),))))-(((VLOOKUP(EDATE(B92,-12),Database!$A:$AS,MATCH($J$1,Database!$A$1:$AS$1,),)))))/(((VLOOKUP(EDATE(B92,-12),Database!$A:$AS,MATCH($J$1,Database!$A$1:$AS$1,),))))</f>
        <v/>
      </c>
      <c r="K92" s="13">
        <f>((((VLOOKUP(B92,Database!$A:$AS,MATCH($K$1,Database!$A$1:$AS$1,),))))-(((VLOOKUP(EDATE(B92,-12),Database!$A:$AS,MATCH($K$1,Database!$A$1:$AS$1,),)))))/(((VLOOKUP(EDATE(B92,-12),Database!$A:$AS,MATCH($K$1,Database!$A$1:$AS$1,),))))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((((VLOOKUP(B92,Database!$A:$AS,MATCH($O$1,Database!$A$1:$AS$1,),))))-(((VLOOKUP(EDATE(B92,-12),Database!$A:$AS,MATCH($O$1,Database!$A$1:$AS$1,),)))))/(((VLOOKUP(EDATE(B92,-12),Database!$A:$AS,MATCH($O$1,Database!$A$1:$AS$1,),))))</f>
        <v/>
      </c>
      <c r="P92" s="13">
        <f>((((VLOOKUP(B92,Database!$A:$AS,MATCH($P$1,Database!$A$1:$AS$1,),))))-(((VLOOKUP(EDATE(B92,-12),Database!$A:$AS,MATCH($P$1,Database!$A$1:$AS$1,),)))))/(((VLOOKUP(EDATE(B92,-12),Database!$A:$AS,MATCH($P$1,Database!$A$1:$AS$1,),))))</f>
        <v/>
      </c>
      <c r="Q92" s="13">
        <f>((((VLOOKUP(B92,Database!$A:$AS,MATCH($Q$1,Database!$A$1:$AS$1,),))))-(((VLOOKUP(EDATE(B92,-12),Database!$A:$AS,MATCH($Q$1,Database!$A$1:$AS$1,),)))))/(((VLOOKUP(EDATE(B92,-12),Database!$A:$AS,MATCH($Q$1,Database!$A$1:$AS$1,),))))</f>
        <v/>
      </c>
      <c r="R92" s="13">
        <f>((((VLOOKUP(B92,Database!$A:$AS,MATCH($R$1,Database!$A$1:$AS$1,),))))-(((VLOOKUP(EDATE(B92,-12),Database!$A:$AS,MATCH($R$1,Database!$A$1:$AS$1,),)))))/(((VLOOKUP(EDATE(B92,-12),Database!$A:$AS,MATCH($R$1,Database!$A$1:$AS$1,),))))</f>
        <v/>
      </c>
      <c r="S92" s="13">
        <f>((((VLOOKUP(B92,Database!$A:$AS,MATCH($S$1,Database!$A$1:$AS$1,),))))-(((VLOOKUP(EDATE(B92,-12),Database!$A:$AS,MATCH($S$1,Database!$A$1:$AS$1,),)))))/(((VLOOKUP(EDATE(B92,-12),Database!$A:$AS,MATCH($S$1,Database!$A$1:$AS$1,),))))</f>
        <v/>
      </c>
      <c r="T92" s="13">
        <f>((((VLOOKUP(B92,Database!$A:$AS,MATCH($T$1,Database!$A$1:$AS$1,),))))-(((VLOOKUP(EDATE(B92,-12),Database!$A:$AS,MATCH($T$1,Database!$A$1:$AS$1,),)))))/(((VLOOKUP(EDATE(B92,-12),Database!$A:$AS,MATCH($T$1,Database!$A$1:$AS$1,),))))</f>
        <v/>
      </c>
      <c r="U92" s="13">
        <f>((((VLOOKUP(B92,Database!$A:$AS,MATCH($U$1,Database!$A$1:$AS$1,),))))-(((VLOOKUP(EDATE(B92,-12),Database!$A:$AS,MATCH($U$1,Database!$A$1:$AS$1,),)))))/(((VLOOKUP(EDATE(B92,-12),Database!$A:$AS,MATCH($U$1,Database!$A$1:$AS$1,),))))</f>
        <v/>
      </c>
      <c r="V92" s="13">
        <f>((((VLOOKUP(B92,Database!$A:$AS,MATCH($V$1,Database!$A$1:$AS$1,),))))-(((VLOOKUP(EDATE(B92,-12),Database!$A:$AS,MATCH($V$1,Database!$A$1:$AS$1,),)))))/(((VLOOKUP(EDATE(B92,-12),Database!$A:$AS,MATCH($V$1,Database!$A$1:$AS$1,),))))</f>
        <v/>
      </c>
    </row>
    <row r="93" customFormat="1" s="94">
      <c r="A93" s="44" t="n"/>
      <c r="B93" s="85" t="n">
        <v>34973</v>
      </c>
      <c r="C93" s="13">
        <f>((((VLOOKUP(B93,Database!$A:$AS,MATCH($C$1,Database!$A$1:$AS$1,),))))-(((VLOOKUP(EDATE(B93,-12),Database!$A:$AS,MATCH($C$1,Database!$A$1:$AS$1,),)))))/(((VLOOKUP(EDATE(B93,-12),Database!$A:$AS,MATCH($C$1,Database!$A$1:$AS$1,),))))</f>
        <v/>
      </c>
      <c r="D93" s="13">
        <f>((((VLOOKUP(B93,Database!$A:$AS,MATCH($D$1,Database!$A$1:$AS$1,),))))-(((VLOOKUP(EDATE(B93,-12),Database!$A:$AS,MATCH($D$1,Database!$A$1:$AS$1,),)))))/(((VLOOKUP(EDATE(B93,-12),Database!$A:$AS,MATCH($D$1,Database!$A$1:$AS$1,),))))</f>
        <v/>
      </c>
      <c r="E93" s="13">
        <f>((((VLOOKUP(B93,Database!$A:$AS,MATCH($E$1,Database!$A$1:$AS$1,),))))-(((VLOOKUP(EDATE(B93,-12),Database!$A:$AS,MATCH($E$1,Database!$A$1:$AS$1,),)))))/(((VLOOKUP(EDATE(B93,-12),Database!$A:$AS,MATCH($E$1,Database!$A$1:$AS$1,),))))</f>
        <v/>
      </c>
      <c r="F93" s="13">
        <f>((((VLOOKUP(B93,Database!$A:$AS,MATCH($F$1,Database!$A$1:$AS$1,),))))-(((VLOOKUP(EDATE(B93,-12),Database!$A:$AS,MATCH($F$1,Database!$A$1:$AS$1,),)))))/(((VLOOKUP(EDATE(B93,-12),Database!$A:$AS,MATCH($F$1,Database!$A$1:$AS$1,),))))</f>
        <v/>
      </c>
      <c r="G93" s="13">
        <f>((((VLOOKUP(B93,Database!$A:$AS,MATCH($G$1,Database!$A$1:$AS$1,),))))-(((VLOOKUP(EDATE(B93,-12),Database!$A:$AS,MATCH($G$1,Database!$A$1:$AS$1,),)))))/(((VLOOKUP(EDATE(B93,-12),Database!$A:$AS,MATCH($G$1,Database!$A$1:$AS$1,),))))</f>
        <v/>
      </c>
      <c r="H93" s="13">
        <f>((((VLOOKUP(B93,Database!$A:$AS,MATCH($H$1,Database!$A$1:$AS$1,),))))-(((VLOOKUP(EDATE(B93,-12),Database!$A:$AS,MATCH($H$1,Database!$A$1:$AS$1,),)))))/(((VLOOKUP(EDATE(B93,-12),Database!$A:$AS,MATCH($H$1,Database!$A$1:$AS$1,),))))</f>
        <v/>
      </c>
      <c r="I93" s="13">
        <f>((((VLOOKUP(B93,Database!$A:$AS,MATCH($I$1,Database!$A$1:$AS$1,),))))-(((VLOOKUP(EDATE(B93,-12),Database!$A:$AS,MATCH($I$1,Database!$A$1:$AS$1,),)))))/(((VLOOKUP(EDATE(B93,-12),Database!$A:$AS,MATCH($I$1,Database!$A$1:$AS$1,),))))</f>
        <v/>
      </c>
      <c r="J93" s="13">
        <f>((((VLOOKUP(B93,Database!$A:$AS,MATCH($J$1,Database!$A$1:$AS$1,),))))-(((VLOOKUP(EDATE(B93,-12),Database!$A:$AS,MATCH($J$1,Database!$A$1:$AS$1,),)))))/(((VLOOKUP(EDATE(B93,-12),Database!$A:$AS,MATCH($J$1,Database!$A$1:$AS$1,),))))</f>
        <v/>
      </c>
      <c r="K93" s="13">
        <f>((((VLOOKUP(B93,Database!$A:$AS,MATCH($K$1,Database!$A$1:$AS$1,),))))-(((VLOOKUP(EDATE(B93,-12),Database!$A:$AS,MATCH($K$1,Database!$A$1:$AS$1,),)))))/(((VLOOKUP(EDATE(B93,-12),Database!$A:$AS,MATCH($K$1,Database!$A$1:$AS$1,),))))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((((VLOOKUP(B93,Database!$A:$AS,MATCH($O$1,Database!$A$1:$AS$1,),))))-(((VLOOKUP(EDATE(B93,-12),Database!$A:$AS,MATCH($O$1,Database!$A$1:$AS$1,),)))))/(((VLOOKUP(EDATE(B93,-12),Database!$A:$AS,MATCH($O$1,Database!$A$1:$AS$1,),))))</f>
        <v/>
      </c>
      <c r="P93" s="13">
        <f>((((VLOOKUP(B93,Database!$A:$AS,MATCH($P$1,Database!$A$1:$AS$1,),))))-(((VLOOKUP(EDATE(B93,-12),Database!$A:$AS,MATCH($P$1,Database!$A$1:$AS$1,),)))))/(((VLOOKUP(EDATE(B93,-12),Database!$A:$AS,MATCH($P$1,Database!$A$1:$AS$1,),))))</f>
        <v/>
      </c>
      <c r="Q93" s="13">
        <f>((((VLOOKUP(B93,Database!$A:$AS,MATCH($Q$1,Database!$A$1:$AS$1,),))))-(((VLOOKUP(EDATE(B93,-12),Database!$A:$AS,MATCH($Q$1,Database!$A$1:$AS$1,),)))))/(((VLOOKUP(EDATE(B93,-12),Database!$A:$AS,MATCH($Q$1,Database!$A$1:$AS$1,),))))</f>
        <v/>
      </c>
      <c r="R93" s="13">
        <f>((((VLOOKUP(B93,Database!$A:$AS,MATCH($R$1,Database!$A$1:$AS$1,),))))-(((VLOOKUP(EDATE(B93,-12),Database!$A:$AS,MATCH($R$1,Database!$A$1:$AS$1,),)))))/(((VLOOKUP(EDATE(B93,-12),Database!$A:$AS,MATCH($R$1,Database!$A$1:$AS$1,),))))</f>
        <v/>
      </c>
      <c r="S93" s="13">
        <f>((((VLOOKUP(B93,Database!$A:$AS,MATCH($S$1,Database!$A$1:$AS$1,),))))-(((VLOOKUP(EDATE(B93,-12),Database!$A:$AS,MATCH($S$1,Database!$A$1:$AS$1,),)))))/(((VLOOKUP(EDATE(B93,-12),Database!$A:$AS,MATCH($S$1,Database!$A$1:$AS$1,),))))</f>
        <v/>
      </c>
      <c r="T93" s="13">
        <f>((((VLOOKUP(B93,Database!$A:$AS,MATCH($T$1,Database!$A$1:$AS$1,),))))-(((VLOOKUP(EDATE(B93,-12),Database!$A:$AS,MATCH($T$1,Database!$A$1:$AS$1,),)))))/(((VLOOKUP(EDATE(B93,-12),Database!$A:$AS,MATCH($T$1,Database!$A$1:$AS$1,),))))</f>
        <v/>
      </c>
      <c r="U93" s="13">
        <f>((((VLOOKUP(B93,Database!$A:$AS,MATCH($U$1,Database!$A$1:$AS$1,),))))-(((VLOOKUP(EDATE(B93,-12),Database!$A:$AS,MATCH($U$1,Database!$A$1:$AS$1,),)))))/(((VLOOKUP(EDATE(B93,-12),Database!$A:$AS,MATCH($U$1,Database!$A$1:$AS$1,),))))</f>
        <v/>
      </c>
      <c r="V93" s="13">
        <f>((((VLOOKUP(B93,Database!$A:$AS,MATCH($V$1,Database!$A$1:$AS$1,),))))-(((VLOOKUP(EDATE(B93,-12),Database!$A:$AS,MATCH($V$1,Database!$A$1:$AS$1,),)))))/(((VLOOKUP(EDATE(B93,-12),Database!$A:$AS,MATCH($V$1,Database!$A$1:$AS$1,),))))</f>
        <v/>
      </c>
    </row>
    <row r="94" customFormat="1" s="94">
      <c r="A94" s="44" t="n"/>
      <c r="B94" s="85" t="n">
        <v>35004</v>
      </c>
      <c r="C94" s="13">
        <f>((((VLOOKUP(B94,Database!$A:$AS,MATCH($C$1,Database!$A$1:$AS$1,),))))-(((VLOOKUP(EDATE(B94,-12),Database!$A:$AS,MATCH($C$1,Database!$A$1:$AS$1,),)))))/(((VLOOKUP(EDATE(B94,-12),Database!$A:$AS,MATCH($C$1,Database!$A$1:$AS$1,),))))</f>
        <v/>
      </c>
      <c r="D94" s="13">
        <f>((((VLOOKUP(B94,Database!$A:$AS,MATCH($D$1,Database!$A$1:$AS$1,),))))-(((VLOOKUP(EDATE(B94,-12),Database!$A:$AS,MATCH($D$1,Database!$A$1:$AS$1,),)))))/(((VLOOKUP(EDATE(B94,-12),Database!$A:$AS,MATCH($D$1,Database!$A$1:$AS$1,),))))</f>
        <v/>
      </c>
      <c r="E94" s="13">
        <f>((((VLOOKUP(B94,Database!$A:$AS,MATCH($E$1,Database!$A$1:$AS$1,),))))-(((VLOOKUP(EDATE(B94,-12),Database!$A:$AS,MATCH($E$1,Database!$A$1:$AS$1,),)))))/(((VLOOKUP(EDATE(B94,-12),Database!$A:$AS,MATCH($E$1,Database!$A$1:$AS$1,),))))</f>
        <v/>
      </c>
      <c r="F94" s="13">
        <f>((((VLOOKUP(B94,Database!$A:$AS,MATCH($F$1,Database!$A$1:$AS$1,),))))-(((VLOOKUP(EDATE(B94,-12),Database!$A:$AS,MATCH($F$1,Database!$A$1:$AS$1,),)))))/(((VLOOKUP(EDATE(B94,-12),Database!$A:$AS,MATCH($F$1,Database!$A$1:$AS$1,),))))</f>
        <v/>
      </c>
      <c r="G94" s="13">
        <f>((((VLOOKUP(B94,Database!$A:$AS,MATCH($G$1,Database!$A$1:$AS$1,),))))-(((VLOOKUP(EDATE(B94,-12),Database!$A:$AS,MATCH($G$1,Database!$A$1:$AS$1,),)))))/(((VLOOKUP(EDATE(B94,-12),Database!$A:$AS,MATCH($G$1,Database!$A$1:$AS$1,),))))</f>
        <v/>
      </c>
      <c r="H94" s="13">
        <f>((((VLOOKUP(B94,Database!$A:$AS,MATCH($H$1,Database!$A$1:$AS$1,),))))-(((VLOOKUP(EDATE(B94,-12),Database!$A:$AS,MATCH($H$1,Database!$A$1:$AS$1,),)))))/(((VLOOKUP(EDATE(B94,-12),Database!$A:$AS,MATCH($H$1,Database!$A$1:$AS$1,),))))</f>
        <v/>
      </c>
      <c r="I94" s="13">
        <f>((((VLOOKUP(B94,Database!$A:$AS,MATCH($I$1,Database!$A$1:$AS$1,),))))-(((VLOOKUP(EDATE(B94,-12),Database!$A:$AS,MATCH($I$1,Database!$A$1:$AS$1,),)))))/(((VLOOKUP(EDATE(B94,-12),Database!$A:$AS,MATCH($I$1,Database!$A$1:$AS$1,),))))</f>
        <v/>
      </c>
      <c r="J94" s="13">
        <f>((((VLOOKUP(B94,Database!$A:$AS,MATCH($J$1,Database!$A$1:$AS$1,),))))-(((VLOOKUP(EDATE(B94,-12),Database!$A:$AS,MATCH($J$1,Database!$A$1:$AS$1,),)))))/(((VLOOKUP(EDATE(B94,-12),Database!$A:$AS,MATCH($J$1,Database!$A$1:$AS$1,),))))</f>
        <v/>
      </c>
      <c r="K94" s="13">
        <f>((((VLOOKUP(B94,Database!$A:$AS,MATCH($K$1,Database!$A$1:$AS$1,),))))-(((VLOOKUP(EDATE(B94,-12),Database!$A:$AS,MATCH($K$1,Database!$A$1:$AS$1,),)))))/(((VLOOKUP(EDATE(B94,-12),Database!$A:$AS,MATCH($K$1,Database!$A$1:$AS$1,),))))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((((VLOOKUP(B94,Database!$A:$AS,MATCH($O$1,Database!$A$1:$AS$1,),))))-(((VLOOKUP(EDATE(B94,-12),Database!$A:$AS,MATCH($O$1,Database!$A$1:$AS$1,),)))))/(((VLOOKUP(EDATE(B94,-12),Database!$A:$AS,MATCH($O$1,Database!$A$1:$AS$1,),))))</f>
        <v/>
      </c>
      <c r="P94" s="13">
        <f>((((VLOOKUP(B94,Database!$A:$AS,MATCH($P$1,Database!$A$1:$AS$1,),))))-(((VLOOKUP(EDATE(B94,-12),Database!$A:$AS,MATCH($P$1,Database!$A$1:$AS$1,),)))))/(((VLOOKUP(EDATE(B94,-12),Database!$A:$AS,MATCH($P$1,Database!$A$1:$AS$1,),))))</f>
        <v/>
      </c>
      <c r="Q94" s="13">
        <f>((((VLOOKUP(B94,Database!$A:$AS,MATCH($Q$1,Database!$A$1:$AS$1,),))))-(((VLOOKUP(EDATE(B94,-12),Database!$A:$AS,MATCH($Q$1,Database!$A$1:$AS$1,),)))))/(((VLOOKUP(EDATE(B94,-12),Database!$A:$AS,MATCH($Q$1,Database!$A$1:$AS$1,),))))</f>
        <v/>
      </c>
      <c r="R94" s="13">
        <f>((((VLOOKUP(B94,Database!$A:$AS,MATCH($R$1,Database!$A$1:$AS$1,),))))-(((VLOOKUP(EDATE(B94,-12),Database!$A:$AS,MATCH($R$1,Database!$A$1:$AS$1,),)))))/(((VLOOKUP(EDATE(B94,-12),Database!$A:$AS,MATCH($R$1,Database!$A$1:$AS$1,),))))</f>
        <v/>
      </c>
      <c r="S94" s="13">
        <f>((((VLOOKUP(B94,Database!$A:$AS,MATCH($S$1,Database!$A$1:$AS$1,),))))-(((VLOOKUP(EDATE(B94,-12),Database!$A:$AS,MATCH($S$1,Database!$A$1:$AS$1,),)))))/(((VLOOKUP(EDATE(B94,-12),Database!$A:$AS,MATCH($S$1,Database!$A$1:$AS$1,),))))</f>
        <v/>
      </c>
      <c r="T94" s="13">
        <f>((((VLOOKUP(B94,Database!$A:$AS,MATCH($T$1,Database!$A$1:$AS$1,),))))-(((VLOOKUP(EDATE(B94,-12),Database!$A:$AS,MATCH($T$1,Database!$A$1:$AS$1,),)))))/(((VLOOKUP(EDATE(B94,-12),Database!$A:$AS,MATCH($T$1,Database!$A$1:$AS$1,),))))</f>
        <v/>
      </c>
      <c r="U94" s="13">
        <f>((((VLOOKUP(B94,Database!$A:$AS,MATCH($U$1,Database!$A$1:$AS$1,),))))-(((VLOOKUP(EDATE(B94,-12),Database!$A:$AS,MATCH($U$1,Database!$A$1:$AS$1,),)))))/(((VLOOKUP(EDATE(B94,-12),Database!$A:$AS,MATCH($U$1,Database!$A$1:$AS$1,),))))</f>
        <v/>
      </c>
      <c r="V94" s="13">
        <f>((((VLOOKUP(B94,Database!$A:$AS,MATCH($V$1,Database!$A$1:$AS$1,),))))-(((VLOOKUP(EDATE(B94,-12),Database!$A:$AS,MATCH($V$1,Database!$A$1:$AS$1,),)))))/(((VLOOKUP(EDATE(B94,-12),Database!$A:$AS,MATCH($V$1,Database!$A$1:$AS$1,),))))</f>
        <v/>
      </c>
    </row>
    <row r="95" customFormat="1" s="94">
      <c r="A95" s="44" t="n"/>
      <c r="B95" s="85" t="n">
        <v>35034</v>
      </c>
      <c r="C95" s="13">
        <f>((((VLOOKUP(B95,Database!$A:$AS,MATCH($C$1,Database!$A$1:$AS$1,),))))-(((VLOOKUP(EDATE(B95,-12),Database!$A:$AS,MATCH($C$1,Database!$A$1:$AS$1,),)))))/(((VLOOKUP(EDATE(B95,-12),Database!$A:$AS,MATCH($C$1,Database!$A$1:$AS$1,),))))</f>
        <v/>
      </c>
      <c r="D95" s="13">
        <f>((((VLOOKUP(B95,Database!$A:$AS,MATCH($D$1,Database!$A$1:$AS$1,),))))-(((VLOOKUP(EDATE(B95,-12),Database!$A:$AS,MATCH($D$1,Database!$A$1:$AS$1,),)))))/(((VLOOKUP(EDATE(B95,-12),Database!$A:$AS,MATCH($D$1,Database!$A$1:$AS$1,),))))</f>
        <v/>
      </c>
      <c r="E95" s="13">
        <f>((((VLOOKUP(B95,Database!$A:$AS,MATCH($E$1,Database!$A$1:$AS$1,),))))-(((VLOOKUP(EDATE(B95,-12),Database!$A:$AS,MATCH($E$1,Database!$A$1:$AS$1,),)))))/(((VLOOKUP(EDATE(B95,-12),Database!$A:$AS,MATCH($E$1,Database!$A$1:$AS$1,),))))</f>
        <v/>
      </c>
      <c r="F95" s="13">
        <f>((((VLOOKUP(B95,Database!$A:$AS,MATCH($F$1,Database!$A$1:$AS$1,),))))-(((VLOOKUP(EDATE(B95,-12),Database!$A:$AS,MATCH($F$1,Database!$A$1:$AS$1,),)))))/(((VLOOKUP(EDATE(B95,-12),Database!$A:$AS,MATCH($F$1,Database!$A$1:$AS$1,),))))</f>
        <v/>
      </c>
      <c r="G95" s="13">
        <f>((((VLOOKUP(B95,Database!$A:$AS,MATCH($G$1,Database!$A$1:$AS$1,),))))-(((VLOOKUP(EDATE(B95,-12),Database!$A:$AS,MATCH($G$1,Database!$A$1:$AS$1,),)))))/(((VLOOKUP(EDATE(B95,-12),Database!$A:$AS,MATCH($G$1,Database!$A$1:$AS$1,),))))</f>
        <v/>
      </c>
      <c r="H95" s="13">
        <f>((((VLOOKUP(B95,Database!$A:$AS,MATCH($H$1,Database!$A$1:$AS$1,),))))-(((VLOOKUP(EDATE(B95,-12),Database!$A:$AS,MATCH($H$1,Database!$A$1:$AS$1,),)))))/(((VLOOKUP(EDATE(B95,-12),Database!$A:$AS,MATCH($H$1,Database!$A$1:$AS$1,),))))</f>
        <v/>
      </c>
      <c r="I95" s="13">
        <f>((((VLOOKUP(B95,Database!$A:$AS,MATCH($I$1,Database!$A$1:$AS$1,),))))-(((VLOOKUP(EDATE(B95,-12),Database!$A:$AS,MATCH($I$1,Database!$A$1:$AS$1,),)))))/(((VLOOKUP(EDATE(B95,-12),Database!$A:$AS,MATCH($I$1,Database!$A$1:$AS$1,),))))</f>
        <v/>
      </c>
      <c r="J95" s="13">
        <f>((((VLOOKUP(B95,Database!$A:$AS,MATCH($J$1,Database!$A$1:$AS$1,),))))-(((VLOOKUP(EDATE(B95,-12),Database!$A:$AS,MATCH($J$1,Database!$A$1:$AS$1,),)))))/(((VLOOKUP(EDATE(B95,-12),Database!$A:$AS,MATCH($J$1,Database!$A$1:$AS$1,),))))</f>
        <v/>
      </c>
      <c r="K95" s="13">
        <f>((((VLOOKUP(B95,Database!$A:$AS,MATCH($K$1,Database!$A$1:$AS$1,),))))-(((VLOOKUP(EDATE(B95,-12),Database!$A:$AS,MATCH($K$1,Database!$A$1:$AS$1,),)))))/(((VLOOKUP(EDATE(B95,-12),Database!$A:$AS,MATCH($K$1,Database!$A$1:$AS$1,),))))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((((VLOOKUP(B95,Database!$A:$AS,MATCH($O$1,Database!$A$1:$AS$1,),))))-(((VLOOKUP(EDATE(B95,-12),Database!$A:$AS,MATCH($O$1,Database!$A$1:$AS$1,),)))))/(((VLOOKUP(EDATE(B95,-12),Database!$A:$AS,MATCH($O$1,Database!$A$1:$AS$1,),))))</f>
        <v/>
      </c>
      <c r="P95" s="13">
        <f>((((VLOOKUP(B95,Database!$A:$AS,MATCH($P$1,Database!$A$1:$AS$1,),))))-(((VLOOKUP(EDATE(B95,-12),Database!$A:$AS,MATCH($P$1,Database!$A$1:$AS$1,),)))))/(((VLOOKUP(EDATE(B95,-12),Database!$A:$AS,MATCH($P$1,Database!$A$1:$AS$1,),))))</f>
        <v/>
      </c>
      <c r="Q95" s="13">
        <f>((((VLOOKUP(B95,Database!$A:$AS,MATCH($Q$1,Database!$A$1:$AS$1,),))))-(((VLOOKUP(EDATE(B95,-12),Database!$A:$AS,MATCH($Q$1,Database!$A$1:$AS$1,),)))))/(((VLOOKUP(EDATE(B95,-12),Database!$A:$AS,MATCH($Q$1,Database!$A$1:$AS$1,),))))</f>
        <v/>
      </c>
      <c r="R95" s="13">
        <f>((((VLOOKUP(B95,Database!$A:$AS,MATCH($R$1,Database!$A$1:$AS$1,),))))-(((VLOOKUP(EDATE(B95,-12),Database!$A:$AS,MATCH($R$1,Database!$A$1:$AS$1,),)))))/(((VLOOKUP(EDATE(B95,-12),Database!$A:$AS,MATCH($R$1,Database!$A$1:$AS$1,),))))</f>
        <v/>
      </c>
      <c r="S95" s="13">
        <f>((((VLOOKUP(B95,Database!$A:$AS,MATCH($S$1,Database!$A$1:$AS$1,),))))-(((VLOOKUP(EDATE(B95,-12),Database!$A:$AS,MATCH($S$1,Database!$A$1:$AS$1,),)))))/(((VLOOKUP(EDATE(B95,-12),Database!$A:$AS,MATCH($S$1,Database!$A$1:$AS$1,),))))</f>
        <v/>
      </c>
      <c r="T95" s="13">
        <f>((((VLOOKUP(B95,Database!$A:$AS,MATCH($T$1,Database!$A$1:$AS$1,),))))-(((VLOOKUP(EDATE(B95,-12),Database!$A:$AS,MATCH($T$1,Database!$A$1:$AS$1,),)))))/(((VLOOKUP(EDATE(B95,-12),Database!$A:$AS,MATCH($T$1,Database!$A$1:$AS$1,),))))</f>
        <v/>
      </c>
      <c r="U95" s="13">
        <f>((((VLOOKUP(B95,Database!$A:$AS,MATCH($U$1,Database!$A$1:$AS$1,),))))-(((VLOOKUP(EDATE(B95,-12),Database!$A:$AS,MATCH($U$1,Database!$A$1:$AS$1,),)))))/(((VLOOKUP(EDATE(B95,-12),Database!$A:$AS,MATCH($U$1,Database!$A$1:$AS$1,),))))</f>
        <v/>
      </c>
      <c r="V95" s="13">
        <f>((((VLOOKUP(B95,Database!$A:$AS,MATCH($V$1,Database!$A$1:$AS$1,),))))-(((VLOOKUP(EDATE(B95,-12),Database!$A:$AS,MATCH($V$1,Database!$A$1:$AS$1,),)))))/(((VLOOKUP(EDATE(B95,-12),Database!$A:$AS,MATCH($V$1,Database!$A$1:$AS$1,),))))</f>
        <v/>
      </c>
    </row>
    <row r="96" customFormat="1" s="94">
      <c r="A96" s="44" t="n"/>
      <c r="B96" s="85" t="n">
        <v>35065</v>
      </c>
      <c r="C96" s="13">
        <f>((((VLOOKUP(B96,Database!$A:$AS,MATCH($C$1,Database!$A$1:$AS$1,),))))-(((VLOOKUP(EDATE(B96,-12),Database!$A:$AS,MATCH($C$1,Database!$A$1:$AS$1,),)))))/(((VLOOKUP(EDATE(B96,-12),Database!$A:$AS,MATCH($C$1,Database!$A$1:$AS$1,),))))</f>
        <v/>
      </c>
      <c r="D96" s="13">
        <f>((((VLOOKUP(B96,Database!$A:$AS,MATCH($D$1,Database!$A$1:$AS$1,),))))-(((VLOOKUP(EDATE(B96,-12),Database!$A:$AS,MATCH($D$1,Database!$A$1:$AS$1,),)))))/(((VLOOKUP(EDATE(B96,-12),Database!$A:$AS,MATCH($D$1,Database!$A$1:$AS$1,),))))</f>
        <v/>
      </c>
      <c r="E96" s="13">
        <f>((((VLOOKUP(B96,Database!$A:$AS,MATCH($E$1,Database!$A$1:$AS$1,),))))-(((VLOOKUP(EDATE(B96,-12),Database!$A:$AS,MATCH($E$1,Database!$A$1:$AS$1,),)))))/(((VLOOKUP(EDATE(B96,-12),Database!$A:$AS,MATCH($E$1,Database!$A$1:$AS$1,),))))</f>
        <v/>
      </c>
      <c r="F96" s="13">
        <f>((((VLOOKUP(B96,Database!$A:$AS,MATCH($F$1,Database!$A$1:$AS$1,),))))-(((VLOOKUP(EDATE(B96,-12),Database!$A:$AS,MATCH($F$1,Database!$A$1:$AS$1,),)))))/(((VLOOKUP(EDATE(B96,-12),Database!$A:$AS,MATCH($F$1,Database!$A$1:$AS$1,),))))</f>
        <v/>
      </c>
      <c r="G96" s="13">
        <f>((((VLOOKUP(B96,Database!$A:$AS,MATCH($G$1,Database!$A$1:$AS$1,),))))-(((VLOOKUP(EDATE(B96,-12),Database!$A:$AS,MATCH($G$1,Database!$A$1:$AS$1,),)))))/(((VLOOKUP(EDATE(B96,-12),Database!$A:$AS,MATCH($G$1,Database!$A$1:$AS$1,),))))</f>
        <v/>
      </c>
      <c r="H96" s="13">
        <f>((((VLOOKUP(B96,Database!$A:$AS,MATCH($H$1,Database!$A$1:$AS$1,),))))-(((VLOOKUP(EDATE(B96,-12),Database!$A:$AS,MATCH($H$1,Database!$A$1:$AS$1,),)))))/(((VLOOKUP(EDATE(B96,-12),Database!$A:$AS,MATCH($H$1,Database!$A$1:$AS$1,),))))</f>
        <v/>
      </c>
      <c r="I96" s="13">
        <f>((((VLOOKUP(B96,Database!$A:$AS,MATCH($I$1,Database!$A$1:$AS$1,),))))-(((VLOOKUP(EDATE(B96,-12),Database!$A:$AS,MATCH($I$1,Database!$A$1:$AS$1,),)))))/(((VLOOKUP(EDATE(B96,-12),Database!$A:$AS,MATCH($I$1,Database!$A$1:$AS$1,),))))</f>
        <v/>
      </c>
      <c r="J96" s="13">
        <f>((((VLOOKUP(B96,Database!$A:$AS,MATCH($J$1,Database!$A$1:$AS$1,),))))-(((VLOOKUP(EDATE(B96,-12),Database!$A:$AS,MATCH($J$1,Database!$A$1:$AS$1,),)))))/(((VLOOKUP(EDATE(B96,-12),Database!$A:$AS,MATCH($J$1,Database!$A$1:$AS$1,),))))</f>
        <v/>
      </c>
      <c r="K96" s="13">
        <f>((((VLOOKUP(B96,Database!$A:$AS,MATCH($K$1,Database!$A$1:$AS$1,),))))-(((VLOOKUP(EDATE(B96,-12),Database!$A:$AS,MATCH($K$1,Database!$A$1:$AS$1,),)))))/(((VLOOKUP(EDATE(B96,-12),Database!$A:$AS,MATCH($K$1,Database!$A$1:$AS$1,),))))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((((VLOOKUP(B96,Database!$A:$AS,MATCH($O$1,Database!$A$1:$AS$1,),))))-(((VLOOKUP(EDATE(B96,-12),Database!$A:$AS,MATCH($O$1,Database!$A$1:$AS$1,),)))))/(((VLOOKUP(EDATE(B96,-12),Database!$A:$AS,MATCH($O$1,Database!$A$1:$AS$1,),))))</f>
        <v/>
      </c>
      <c r="P96" s="13">
        <f>((((VLOOKUP(B96,Database!$A:$AS,MATCH($P$1,Database!$A$1:$AS$1,),))))-(((VLOOKUP(EDATE(B96,-12),Database!$A:$AS,MATCH($P$1,Database!$A$1:$AS$1,),)))))/(((VLOOKUP(EDATE(B96,-12),Database!$A:$AS,MATCH($P$1,Database!$A$1:$AS$1,),))))</f>
        <v/>
      </c>
      <c r="Q96" s="13">
        <f>((((VLOOKUP(B96,Database!$A:$AS,MATCH($Q$1,Database!$A$1:$AS$1,),))))-(((VLOOKUP(EDATE(B96,-12),Database!$A:$AS,MATCH($Q$1,Database!$A$1:$AS$1,),)))))/(((VLOOKUP(EDATE(B96,-12),Database!$A:$AS,MATCH($Q$1,Database!$A$1:$AS$1,),))))</f>
        <v/>
      </c>
      <c r="R96" s="13">
        <f>((((VLOOKUP(B96,Database!$A:$AS,MATCH($R$1,Database!$A$1:$AS$1,),))))-(((VLOOKUP(EDATE(B96,-12),Database!$A:$AS,MATCH($R$1,Database!$A$1:$AS$1,),)))))/(((VLOOKUP(EDATE(B96,-12),Database!$A:$AS,MATCH($R$1,Database!$A$1:$AS$1,),))))</f>
        <v/>
      </c>
      <c r="S96" s="13">
        <f>((((VLOOKUP(B96,Database!$A:$AS,MATCH($S$1,Database!$A$1:$AS$1,),))))-(((VLOOKUP(EDATE(B96,-12),Database!$A:$AS,MATCH($S$1,Database!$A$1:$AS$1,),)))))/(((VLOOKUP(EDATE(B96,-12),Database!$A:$AS,MATCH($S$1,Database!$A$1:$AS$1,),))))</f>
        <v/>
      </c>
      <c r="T96" s="13">
        <f>((((VLOOKUP(B96,Database!$A:$AS,MATCH($T$1,Database!$A$1:$AS$1,),))))-(((VLOOKUP(EDATE(B96,-12),Database!$A:$AS,MATCH($T$1,Database!$A$1:$AS$1,),)))))/(((VLOOKUP(EDATE(B96,-12),Database!$A:$AS,MATCH($T$1,Database!$A$1:$AS$1,),))))</f>
        <v/>
      </c>
      <c r="U96" s="13">
        <f>((((VLOOKUP(B96,Database!$A:$AS,MATCH($U$1,Database!$A$1:$AS$1,),))))-(((VLOOKUP(EDATE(B96,-12),Database!$A:$AS,MATCH($U$1,Database!$A$1:$AS$1,),)))))/(((VLOOKUP(EDATE(B96,-12),Database!$A:$AS,MATCH($U$1,Database!$A$1:$AS$1,),))))</f>
        <v/>
      </c>
      <c r="V96" s="13">
        <f>((((VLOOKUP(B96,Database!$A:$AS,MATCH($V$1,Database!$A$1:$AS$1,),))))-(((VLOOKUP(EDATE(B96,-12),Database!$A:$AS,MATCH($V$1,Database!$A$1:$AS$1,),)))))/(((VLOOKUP(EDATE(B96,-12),Database!$A:$AS,MATCH($V$1,Database!$A$1:$AS$1,),))))</f>
        <v/>
      </c>
    </row>
    <row r="97" customFormat="1" s="94">
      <c r="A97" s="44" t="n"/>
      <c r="B97" s="85" t="n">
        <v>35096</v>
      </c>
      <c r="C97" s="13">
        <f>((((VLOOKUP(B97,Database!$A:$AS,MATCH($C$1,Database!$A$1:$AS$1,),))))-(((VLOOKUP(EDATE(B97,-12),Database!$A:$AS,MATCH($C$1,Database!$A$1:$AS$1,),)))))/(((VLOOKUP(EDATE(B97,-12),Database!$A:$AS,MATCH($C$1,Database!$A$1:$AS$1,),))))</f>
        <v/>
      </c>
      <c r="D97" s="13">
        <f>((((VLOOKUP(B97,Database!$A:$AS,MATCH($D$1,Database!$A$1:$AS$1,),))))-(((VLOOKUP(EDATE(B97,-12),Database!$A:$AS,MATCH($D$1,Database!$A$1:$AS$1,),)))))/(((VLOOKUP(EDATE(B97,-12),Database!$A:$AS,MATCH($D$1,Database!$A$1:$AS$1,),))))</f>
        <v/>
      </c>
      <c r="E97" s="13">
        <f>((((VLOOKUP(B97,Database!$A:$AS,MATCH($E$1,Database!$A$1:$AS$1,),))))-(((VLOOKUP(EDATE(B97,-12),Database!$A:$AS,MATCH($E$1,Database!$A$1:$AS$1,),)))))/(((VLOOKUP(EDATE(B97,-12),Database!$A:$AS,MATCH($E$1,Database!$A$1:$AS$1,),))))</f>
        <v/>
      </c>
      <c r="F97" s="13">
        <f>((((VLOOKUP(B97,Database!$A:$AS,MATCH($F$1,Database!$A$1:$AS$1,),))))-(((VLOOKUP(EDATE(B97,-12),Database!$A:$AS,MATCH($F$1,Database!$A$1:$AS$1,),)))))/(((VLOOKUP(EDATE(B97,-12),Database!$A:$AS,MATCH($F$1,Database!$A$1:$AS$1,),))))</f>
        <v/>
      </c>
      <c r="G97" s="13">
        <f>((((VLOOKUP(B97,Database!$A:$AS,MATCH($G$1,Database!$A$1:$AS$1,),))))-(((VLOOKUP(EDATE(B97,-12),Database!$A:$AS,MATCH($G$1,Database!$A$1:$AS$1,),)))))/(((VLOOKUP(EDATE(B97,-12),Database!$A:$AS,MATCH($G$1,Database!$A$1:$AS$1,),))))</f>
        <v/>
      </c>
      <c r="H97" s="13">
        <f>((((VLOOKUP(B97,Database!$A:$AS,MATCH($H$1,Database!$A$1:$AS$1,),))))-(((VLOOKUP(EDATE(B97,-12),Database!$A:$AS,MATCH($H$1,Database!$A$1:$AS$1,),)))))/(((VLOOKUP(EDATE(B97,-12),Database!$A:$AS,MATCH($H$1,Database!$A$1:$AS$1,),))))</f>
        <v/>
      </c>
      <c r="I97" s="13">
        <f>((((VLOOKUP(B97,Database!$A:$AS,MATCH($I$1,Database!$A$1:$AS$1,),))))-(((VLOOKUP(EDATE(B97,-12),Database!$A:$AS,MATCH($I$1,Database!$A$1:$AS$1,),)))))/(((VLOOKUP(EDATE(B97,-12),Database!$A:$AS,MATCH($I$1,Database!$A$1:$AS$1,),))))</f>
        <v/>
      </c>
      <c r="J97" s="13">
        <f>((((VLOOKUP(B97,Database!$A:$AS,MATCH($J$1,Database!$A$1:$AS$1,),))))-(((VLOOKUP(EDATE(B97,-12),Database!$A:$AS,MATCH($J$1,Database!$A$1:$AS$1,),)))))/(((VLOOKUP(EDATE(B97,-12),Database!$A:$AS,MATCH($J$1,Database!$A$1:$AS$1,),))))</f>
        <v/>
      </c>
      <c r="K97" s="13">
        <f>((((VLOOKUP(B97,Database!$A:$AS,MATCH($K$1,Database!$A$1:$AS$1,),))))-(((VLOOKUP(EDATE(B97,-12),Database!$A:$AS,MATCH($K$1,Database!$A$1:$AS$1,),)))))/(((VLOOKUP(EDATE(B97,-12),Database!$A:$AS,MATCH($K$1,Database!$A$1:$AS$1,),))))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((((VLOOKUP(B97,Database!$A:$AS,MATCH($O$1,Database!$A$1:$AS$1,),))))-(((VLOOKUP(EDATE(B97,-12),Database!$A:$AS,MATCH($O$1,Database!$A$1:$AS$1,),)))))/(((VLOOKUP(EDATE(B97,-12),Database!$A:$AS,MATCH($O$1,Database!$A$1:$AS$1,),))))</f>
        <v/>
      </c>
      <c r="P97" s="13">
        <f>((((VLOOKUP(B97,Database!$A:$AS,MATCH($P$1,Database!$A$1:$AS$1,),))))-(((VLOOKUP(EDATE(B97,-12),Database!$A:$AS,MATCH($P$1,Database!$A$1:$AS$1,),)))))/(((VLOOKUP(EDATE(B97,-12),Database!$A:$AS,MATCH($P$1,Database!$A$1:$AS$1,),))))</f>
        <v/>
      </c>
      <c r="Q97" s="13">
        <f>((((VLOOKUP(B97,Database!$A:$AS,MATCH($Q$1,Database!$A$1:$AS$1,),))))-(((VLOOKUP(EDATE(B97,-12),Database!$A:$AS,MATCH($Q$1,Database!$A$1:$AS$1,),)))))/(((VLOOKUP(EDATE(B97,-12),Database!$A:$AS,MATCH($Q$1,Database!$A$1:$AS$1,),))))</f>
        <v/>
      </c>
      <c r="R97" s="13">
        <f>((((VLOOKUP(B97,Database!$A:$AS,MATCH($R$1,Database!$A$1:$AS$1,),))))-(((VLOOKUP(EDATE(B97,-12),Database!$A:$AS,MATCH($R$1,Database!$A$1:$AS$1,),)))))/(((VLOOKUP(EDATE(B97,-12),Database!$A:$AS,MATCH($R$1,Database!$A$1:$AS$1,),))))</f>
        <v/>
      </c>
      <c r="S97" s="13">
        <f>((((VLOOKUP(B97,Database!$A:$AS,MATCH($S$1,Database!$A$1:$AS$1,),))))-(((VLOOKUP(EDATE(B97,-12),Database!$A:$AS,MATCH($S$1,Database!$A$1:$AS$1,),)))))/(((VLOOKUP(EDATE(B97,-12),Database!$A:$AS,MATCH($S$1,Database!$A$1:$AS$1,),))))</f>
        <v/>
      </c>
      <c r="T97" s="13">
        <f>((((VLOOKUP(B97,Database!$A:$AS,MATCH($T$1,Database!$A$1:$AS$1,),))))-(((VLOOKUP(EDATE(B97,-12),Database!$A:$AS,MATCH($T$1,Database!$A$1:$AS$1,),)))))/(((VLOOKUP(EDATE(B97,-12),Database!$A:$AS,MATCH($T$1,Database!$A$1:$AS$1,),))))</f>
        <v/>
      </c>
      <c r="U97" s="13">
        <f>((((VLOOKUP(B97,Database!$A:$AS,MATCH($U$1,Database!$A$1:$AS$1,),))))-(((VLOOKUP(EDATE(B97,-12),Database!$A:$AS,MATCH($U$1,Database!$A$1:$AS$1,),)))))/(((VLOOKUP(EDATE(B97,-12),Database!$A:$AS,MATCH($U$1,Database!$A$1:$AS$1,),))))</f>
        <v/>
      </c>
      <c r="V97" s="13">
        <f>((((VLOOKUP(B97,Database!$A:$AS,MATCH($V$1,Database!$A$1:$AS$1,),))))-(((VLOOKUP(EDATE(B97,-12),Database!$A:$AS,MATCH($V$1,Database!$A$1:$AS$1,),)))))/(((VLOOKUP(EDATE(B97,-12),Database!$A:$AS,MATCH($V$1,Database!$A$1:$AS$1,),))))</f>
        <v/>
      </c>
    </row>
    <row r="98" customFormat="1" s="94">
      <c r="A98" s="44" t="n"/>
      <c r="B98" s="85" t="n">
        <v>35125</v>
      </c>
      <c r="C98" s="13">
        <f>((((VLOOKUP(B98,Database!$A:$AS,MATCH($C$1,Database!$A$1:$AS$1,),))))-(((VLOOKUP(EDATE(B98,-12),Database!$A:$AS,MATCH($C$1,Database!$A$1:$AS$1,),)))))/(((VLOOKUP(EDATE(B98,-12),Database!$A:$AS,MATCH($C$1,Database!$A$1:$AS$1,),))))</f>
        <v/>
      </c>
      <c r="D98" s="13">
        <f>((((VLOOKUP(B98,Database!$A:$AS,MATCH($D$1,Database!$A$1:$AS$1,),))))-(((VLOOKUP(EDATE(B98,-12),Database!$A:$AS,MATCH($D$1,Database!$A$1:$AS$1,),)))))/(((VLOOKUP(EDATE(B98,-12),Database!$A:$AS,MATCH($D$1,Database!$A$1:$AS$1,),))))</f>
        <v/>
      </c>
      <c r="E98" s="13">
        <f>((((VLOOKUP(B98,Database!$A:$AS,MATCH($E$1,Database!$A$1:$AS$1,),))))-(((VLOOKUP(EDATE(B98,-12),Database!$A:$AS,MATCH($E$1,Database!$A$1:$AS$1,),)))))/(((VLOOKUP(EDATE(B98,-12),Database!$A:$AS,MATCH($E$1,Database!$A$1:$AS$1,),))))</f>
        <v/>
      </c>
      <c r="F98" s="13">
        <f>((((VLOOKUP(B98,Database!$A:$AS,MATCH($F$1,Database!$A$1:$AS$1,),))))-(((VLOOKUP(EDATE(B98,-12),Database!$A:$AS,MATCH($F$1,Database!$A$1:$AS$1,),)))))/(((VLOOKUP(EDATE(B98,-12),Database!$A:$AS,MATCH($F$1,Database!$A$1:$AS$1,),))))</f>
        <v/>
      </c>
      <c r="G98" s="13">
        <f>((((VLOOKUP(B98,Database!$A:$AS,MATCH($G$1,Database!$A$1:$AS$1,),))))-(((VLOOKUP(EDATE(B98,-12),Database!$A:$AS,MATCH($G$1,Database!$A$1:$AS$1,),)))))/(((VLOOKUP(EDATE(B98,-12),Database!$A:$AS,MATCH($G$1,Database!$A$1:$AS$1,),))))</f>
        <v/>
      </c>
      <c r="H98" s="13">
        <f>((((VLOOKUP(B98,Database!$A:$AS,MATCH($H$1,Database!$A$1:$AS$1,),))))-(((VLOOKUP(EDATE(B98,-12),Database!$A:$AS,MATCH($H$1,Database!$A$1:$AS$1,),)))))/(((VLOOKUP(EDATE(B98,-12),Database!$A:$AS,MATCH($H$1,Database!$A$1:$AS$1,),))))</f>
        <v/>
      </c>
      <c r="I98" s="13">
        <f>((((VLOOKUP(B98,Database!$A:$AS,MATCH($I$1,Database!$A$1:$AS$1,),))))-(((VLOOKUP(EDATE(B98,-12),Database!$A:$AS,MATCH($I$1,Database!$A$1:$AS$1,),)))))/(((VLOOKUP(EDATE(B98,-12),Database!$A:$AS,MATCH($I$1,Database!$A$1:$AS$1,),))))</f>
        <v/>
      </c>
      <c r="J98" s="13">
        <f>((((VLOOKUP(B98,Database!$A:$AS,MATCH($J$1,Database!$A$1:$AS$1,),))))-(((VLOOKUP(EDATE(B98,-12),Database!$A:$AS,MATCH($J$1,Database!$A$1:$AS$1,),)))))/(((VLOOKUP(EDATE(B98,-12),Database!$A:$AS,MATCH($J$1,Database!$A$1:$AS$1,),))))</f>
        <v/>
      </c>
      <c r="K98" s="13">
        <f>((((VLOOKUP(B98,Database!$A:$AS,MATCH($K$1,Database!$A$1:$AS$1,),))))-(((VLOOKUP(EDATE(B98,-12),Database!$A:$AS,MATCH($K$1,Database!$A$1:$AS$1,),)))))/(((VLOOKUP(EDATE(B98,-12),Database!$A:$AS,MATCH($K$1,Database!$A$1:$AS$1,),))))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((((VLOOKUP(B98,Database!$A:$AS,MATCH($O$1,Database!$A$1:$AS$1,),))))-(((VLOOKUP(EDATE(B98,-12),Database!$A:$AS,MATCH($O$1,Database!$A$1:$AS$1,),)))))/(((VLOOKUP(EDATE(B98,-12),Database!$A:$AS,MATCH($O$1,Database!$A$1:$AS$1,),))))</f>
        <v/>
      </c>
      <c r="P98" s="13">
        <f>((((VLOOKUP(B98,Database!$A:$AS,MATCH($P$1,Database!$A$1:$AS$1,),))))-(((VLOOKUP(EDATE(B98,-12),Database!$A:$AS,MATCH($P$1,Database!$A$1:$AS$1,),)))))/(((VLOOKUP(EDATE(B98,-12),Database!$A:$AS,MATCH($P$1,Database!$A$1:$AS$1,),))))</f>
        <v/>
      </c>
      <c r="Q98" s="13">
        <f>((((VLOOKUP(B98,Database!$A:$AS,MATCH($Q$1,Database!$A$1:$AS$1,),))))-(((VLOOKUP(EDATE(B98,-12),Database!$A:$AS,MATCH($Q$1,Database!$A$1:$AS$1,),)))))/(((VLOOKUP(EDATE(B98,-12),Database!$A:$AS,MATCH($Q$1,Database!$A$1:$AS$1,),))))</f>
        <v/>
      </c>
      <c r="R98" s="13">
        <f>((((VLOOKUP(B98,Database!$A:$AS,MATCH($R$1,Database!$A$1:$AS$1,),))))-(((VLOOKUP(EDATE(B98,-12),Database!$A:$AS,MATCH($R$1,Database!$A$1:$AS$1,),)))))/(((VLOOKUP(EDATE(B98,-12),Database!$A:$AS,MATCH($R$1,Database!$A$1:$AS$1,),))))</f>
        <v/>
      </c>
      <c r="S98" s="13">
        <f>((((VLOOKUP(B98,Database!$A:$AS,MATCH($S$1,Database!$A$1:$AS$1,),))))-(((VLOOKUP(EDATE(B98,-12),Database!$A:$AS,MATCH($S$1,Database!$A$1:$AS$1,),)))))/(((VLOOKUP(EDATE(B98,-12),Database!$A:$AS,MATCH($S$1,Database!$A$1:$AS$1,),))))</f>
        <v/>
      </c>
      <c r="T98" s="13">
        <f>((((VLOOKUP(B98,Database!$A:$AS,MATCH($T$1,Database!$A$1:$AS$1,),))))-(((VLOOKUP(EDATE(B98,-12),Database!$A:$AS,MATCH($T$1,Database!$A$1:$AS$1,),)))))/(((VLOOKUP(EDATE(B98,-12),Database!$A:$AS,MATCH($T$1,Database!$A$1:$AS$1,),))))</f>
        <v/>
      </c>
      <c r="U98" s="13">
        <f>((((VLOOKUP(B98,Database!$A:$AS,MATCH($U$1,Database!$A$1:$AS$1,),))))-(((VLOOKUP(EDATE(B98,-12),Database!$A:$AS,MATCH($U$1,Database!$A$1:$AS$1,),)))))/(((VLOOKUP(EDATE(B98,-12),Database!$A:$AS,MATCH($U$1,Database!$A$1:$AS$1,),))))</f>
        <v/>
      </c>
      <c r="V98" s="13">
        <f>((((VLOOKUP(B98,Database!$A:$AS,MATCH($V$1,Database!$A$1:$AS$1,),))))-(((VLOOKUP(EDATE(B98,-12),Database!$A:$AS,MATCH($V$1,Database!$A$1:$AS$1,),)))))/(((VLOOKUP(EDATE(B98,-12),Database!$A:$AS,MATCH($V$1,Database!$A$1:$AS$1,),))))</f>
        <v/>
      </c>
    </row>
    <row r="99" customFormat="1" s="94">
      <c r="A99" s="44" t="n"/>
      <c r="B99" s="85" t="n">
        <v>35156</v>
      </c>
      <c r="C99" s="13">
        <f>((((VLOOKUP(B99,Database!$A:$AS,MATCH($C$1,Database!$A$1:$AS$1,),))))-(((VLOOKUP(EDATE(B99,-12),Database!$A:$AS,MATCH($C$1,Database!$A$1:$AS$1,),)))))/(((VLOOKUP(EDATE(B99,-12),Database!$A:$AS,MATCH($C$1,Database!$A$1:$AS$1,),))))</f>
        <v/>
      </c>
      <c r="D99" s="13">
        <f>((((VLOOKUP(B99,Database!$A:$AS,MATCH($D$1,Database!$A$1:$AS$1,),))))-(((VLOOKUP(EDATE(B99,-12),Database!$A:$AS,MATCH($D$1,Database!$A$1:$AS$1,),)))))/(((VLOOKUP(EDATE(B99,-12),Database!$A:$AS,MATCH($D$1,Database!$A$1:$AS$1,),))))</f>
        <v/>
      </c>
      <c r="E99" s="13">
        <f>((((VLOOKUP(B99,Database!$A:$AS,MATCH($E$1,Database!$A$1:$AS$1,),))))-(((VLOOKUP(EDATE(B99,-12),Database!$A:$AS,MATCH($E$1,Database!$A$1:$AS$1,),)))))/(((VLOOKUP(EDATE(B99,-12),Database!$A:$AS,MATCH($E$1,Database!$A$1:$AS$1,),))))</f>
        <v/>
      </c>
      <c r="F99" s="13">
        <f>((((VLOOKUP(B99,Database!$A:$AS,MATCH($F$1,Database!$A$1:$AS$1,),))))-(((VLOOKUP(EDATE(B99,-12),Database!$A:$AS,MATCH($F$1,Database!$A$1:$AS$1,),)))))/(((VLOOKUP(EDATE(B99,-12),Database!$A:$AS,MATCH($F$1,Database!$A$1:$AS$1,),))))</f>
        <v/>
      </c>
      <c r="G99" s="13">
        <f>((((VLOOKUP(B99,Database!$A:$AS,MATCH($G$1,Database!$A$1:$AS$1,),))))-(((VLOOKUP(EDATE(B99,-12),Database!$A:$AS,MATCH($G$1,Database!$A$1:$AS$1,),)))))/(((VLOOKUP(EDATE(B99,-12),Database!$A:$AS,MATCH($G$1,Database!$A$1:$AS$1,),))))</f>
        <v/>
      </c>
      <c r="H99" s="13">
        <f>((((VLOOKUP(B99,Database!$A:$AS,MATCH($H$1,Database!$A$1:$AS$1,),))))-(((VLOOKUP(EDATE(B99,-12),Database!$A:$AS,MATCH($H$1,Database!$A$1:$AS$1,),)))))/(((VLOOKUP(EDATE(B99,-12),Database!$A:$AS,MATCH($H$1,Database!$A$1:$AS$1,),))))</f>
        <v/>
      </c>
      <c r="I99" s="13">
        <f>((((VLOOKUP(B99,Database!$A:$AS,MATCH($I$1,Database!$A$1:$AS$1,),))))-(((VLOOKUP(EDATE(B99,-12),Database!$A:$AS,MATCH($I$1,Database!$A$1:$AS$1,),)))))/(((VLOOKUP(EDATE(B99,-12),Database!$A:$AS,MATCH($I$1,Database!$A$1:$AS$1,),))))</f>
        <v/>
      </c>
      <c r="J99" s="13">
        <f>((((VLOOKUP(B99,Database!$A:$AS,MATCH($J$1,Database!$A$1:$AS$1,),))))-(((VLOOKUP(EDATE(B99,-12),Database!$A:$AS,MATCH($J$1,Database!$A$1:$AS$1,),)))))/(((VLOOKUP(EDATE(B99,-12),Database!$A:$AS,MATCH($J$1,Database!$A$1:$AS$1,),))))</f>
        <v/>
      </c>
      <c r="K99" s="13">
        <f>((((VLOOKUP(B99,Database!$A:$AS,MATCH($K$1,Database!$A$1:$AS$1,),))))-(((VLOOKUP(EDATE(B99,-12),Database!$A:$AS,MATCH($K$1,Database!$A$1:$AS$1,),)))))/(((VLOOKUP(EDATE(B99,-12),Database!$A:$AS,MATCH($K$1,Database!$A$1:$AS$1,),))))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((((VLOOKUP(B99,Database!$A:$AS,MATCH($O$1,Database!$A$1:$AS$1,),))))-(((VLOOKUP(EDATE(B99,-12),Database!$A:$AS,MATCH($O$1,Database!$A$1:$AS$1,),)))))/(((VLOOKUP(EDATE(B99,-12),Database!$A:$AS,MATCH($O$1,Database!$A$1:$AS$1,),))))</f>
        <v/>
      </c>
      <c r="P99" s="13">
        <f>((((VLOOKUP(B99,Database!$A:$AS,MATCH($P$1,Database!$A$1:$AS$1,),))))-(((VLOOKUP(EDATE(B99,-12),Database!$A:$AS,MATCH($P$1,Database!$A$1:$AS$1,),)))))/(((VLOOKUP(EDATE(B99,-12),Database!$A:$AS,MATCH($P$1,Database!$A$1:$AS$1,),))))</f>
        <v/>
      </c>
      <c r="Q99" s="13">
        <f>((((VLOOKUP(B99,Database!$A:$AS,MATCH($Q$1,Database!$A$1:$AS$1,),))))-(((VLOOKUP(EDATE(B99,-12),Database!$A:$AS,MATCH($Q$1,Database!$A$1:$AS$1,),)))))/(((VLOOKUP(EDATE(B99,-12),Database!$A:$AS,MATCH($Q$1,Database!$A$1:$AS$1,),))))</f>
        <v/>
      </c>
      <c r="R99" s="13">
        <f>((((VLOOKUP(B99,Database!$A:$AS,MATCH($R$1,Database!$A$1:$AS$1,),))))-(((VLOOKUP(EDATE(B99,-12),Database!$A:$AS,MATCH($R$1,Database!$A$1:$AS$1,),)))))/(((VLOOKUP(EDATE(B99,-12),Database!$A:$AS,MATCH($R$1,Database!$A$1:$AS$1,),))))</f>
        <v/>
      </c>
      <c r="S99" s="13">
        <f>((((VLOOKUP(B99,Database!$A:$AS,MATCH($S$1,Database!$A$1:$AS$1,),))))-(((VLOOKUP(EDATE(B99,-12),Database!$A:$AS,MATCH($S$1,Database!$A$1:$AS$1,),)))))/(((VLOOKUP(EDATE(B99,-12),Database!$A:$AS,MATCH($S$1,Database!$A$1:$AS$1,),))))</f>
        <v/>
      </c>
      <c r="T99" s="13">
        <f>((((VLOOKUP(B99,Database!$A:$AS,MATCH($T$1,Database!$A$1:$AS$1,),))))-(((VLOOKUP(EDATE(B99,-12),Database!$A:$AS,MATCH($T$1,Database!$A$1:$AS$1,),)))))/(((VLOOKUP(EDATE(B99,-12),Database!$A:$AS,MATCH($T$1,Database!$A$1:$AS$1,),))))</f>
        <v/>
      </c>
      <c r="U99" s="13">
        <f>((((VLOOKUP(B99,Database!$A:$AS,MATCH($U$1,Database!$A$1:$AS$1,),))))-(((VLOOKUP(EDATE(B99,-12),Database!$A:$AS,MATCH($U$1,Database!$A$1:$AS$1,),)))))/(((VLOOKUP(EDATE(B99,-12),Database!$A:$AS,MATCH($U$1,Database!$A$1:$AS$1,),))))</f>
        <v/>
      </c>
      <c r="V99" s="13">
        <f>((((VLOOKUP(B99,Database!$A:$AS,MATCH($V$1,Database!$A$1:$AS$1,),))))-(((VLOOKUP(EDATE(B99,-12),Database!$A:$AS,MATCH($V$1,Database!$A$1:$AS$1,),)))))/(((VLOOKUP(EDATE(B99,-12),Database!$A:$AS,MATCH($V$1,Database!$A$1:$AS$1,),))))</f>
        <v/>
      </c>
    </row>
    <row r="100" customFormat="1" s="94">
      <c r="A100" s="44" t="n"/>
      <c r="B100" s="85" t="n">
        <v>35186</v>
      </c>
      <c r="C100" s="13">
        <f>((((VLOOKUP(B100,Database!$A:$AS,MATCH($C$1,Database!$A$1:$AS$1,),))))-(((VLOOKUP(EDATE(B100,-12),Database!$A:$AS,MATCH($C$1,Database!$A$1:$AS$1,),)))))/(((VLOOKUP(EDATE(B100,-12),Database!$A:$AS,MATCH($C$1,Database!$A$1:$AS$1,),))))</f>
        <v/>
      </c>
      <c r="D100" s="13">
        <f>((((VLOOKUP(B100,Database!$A:$AS,MATCH($D$1,Database!$A$1:$AS$1,),))))-(((VLOOKUP(EDATE(B100,-12),Database!$A:$AS,MATCH($D$1,Database!$A$1:$AS$1,),)))))/(((VLOOKUP(EDATE(B100,-12),Database!$A:$AS,MATCH($D$1,Database!$A$1:$AS$1,),))))</f>
        <v/>
      </c>
      <c r="E100" s="13">
        <f>((((VLOOKUP(B100,Database!$A:$AS,MATCH($E$1,Database!$A$1:$AS$1,),))))-(((VLOOKUP(EDATE(B100,-12),Database!$A:$AS,MATCH($E$1,Database!$A$1:$AS$1,),)))))/(((VLOOKUP(EDATE(B100,-12),Database!$A:$AS,MATCH($E$1,Database!$A$1:$AS$1,),))))</f>
        <v/>
      </c>
      <c r="F100" s="13">
        <f>((((VLOOKUP(B100,Database!$A:$AS,MATCH($F$1,Database!$A$1:$AS$1,),))))-(((VLOOKUP(EDATE(B100,-12),Database!$A:$AS,MATCH($F$1,Database!$A$1:$AS$1,),)))))/(((VLOOKUP(EDATE(B100,-12),Database!$A:$AS,MATCH($F$1,Database!$A$1:$AS$1,),))))</f>
        <v/>
      </c>
      <c r="G100" s="13">
        <f>((((VLOOKUP(B100,Database!$A:$AS,MATCH($G$1,Database!$A$1:$AS$1,),))))-(((VLOOKUP(EDATE(B100,-12),Database!$A:$AS,MATCH($G$1,Database!$A$1:$AS$1,),)))))/(((VLOOKUP(EDATE(B100,-12),Database!$A:$AS,MATCH($G$1,Database!$A$1:$AS$1,),))))</f>
        <v/>
      </c>
      <c r="H100" s="13">
        <f>((((VLOOKUP(B100,Database!$A:$AS,MATCH($H$1,Database!$A$1:$AS$1,),))))-(((VLOOKUP(EDATE(B100,-12),Database!$A:$AS,MATCH($H$1,Database!$A$1:$AS$1,),)))))/(((VLOOKUP(EDATE(B100,-12),Database!$A:$AS,MATCH($H$1,Database!$A$1:$AS$1,),))))</f>
        <v/>
      </c>
      <c r="I100" s="13">
        <f>((((VLOOKUP(B100,Database!$A:$AS,MATCH($I$1,Database!$A$1:$AS$1,),))))-(((VLOOKUP(EDATE(B100,-12),Database!$A:$AS,MATCH($I$1,Database!$A$1:$AS$1,),)))))/(((VLOOKUP(EDATE(B100,-12),Database!$A:$AS,MATCH($I$1,Database!$A$1:$AS$1,),))))</f>
        <v/>
      </c>
      <c r="J100" s="13">
        <f>((((VLOOKUP(B100,Database!$A:$AS,MATCH($J$1,Database!$A$1:$AS$1,),))))-(((VLOOKUP(EDATE(B100,-12),Database!$A:$AS,MATCH($J$1,Database!$A$1:$AS$1,),)))))/(((VLOOKUP(EDATE(B100,-12),Database!$A:$AS,MATCH($J$1,Database!$A$1:$AS$1,),))))</f>
        <v/>
      </c>
      <c r="K100" s="13">
        <f>((((VLOOKUP(B100,Database!$A:$AS,MATCH($K$1,Database!$A$1:$AS$1,),))))-(((VLOOKUP(EDATE(B100,-12),Database!$A:$AS,MATCH($K$1,Database!$A$1:$AS$1,),)))))/(((VLOOKUP(EDATE(B100,-12),Database!$A:$AS,MATCH($K$1,Database!$A$1:$AS$1,),))))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((((VLOOKUP(B100,Database!$A:$AS,MATCH($O$1,Database!$A$1:$AS$1,),))))-(((VLOOKUP(EDATE(B100,-12),Database!$A:$AS,MATCH($O$1,Database!$A$1:$AS$1,),)))))/(((VLOOKUP(EDATE(B100,-12),Database!$A:$AS,MATCH($O$1,Database!$A$1:$AS$1,),))))</f>
        <v/>
      </c>
      <c r="P100" s="13">
        <f>((((VLOOKUP(B100,Database!$A:$AS,MATCH($P$1,Database!$A$1:$AS$1,),))))-(((VLOOKUP(EDATE(B100,-12),Database!$A:$AS,MATCH($P$1,Database!$A$1:$AS$1,),)))))/(((VLOOKUP(EDATE(B100,-12),Database!$A:$AS,MATCH($P$1,Database!$A$1:$AS$1,),))))</f>
        <v/>
      </c>
      <c r="Q100" s="13">
        <f>((((VLOOKUP(B100,Database!$A:$AS,MATCH($Q$1,Database!$A$1:$AS$1,),))))-(((VLOOKUP(EDATE(B100,-12),Database!$A:$AS,MATCH($Q$1,Database!$A$1:$AS$1,),)))))/(((VLOOKUP(EDATE(B100,-12),Database!$A:$AS,MATCH($Q$1,Database!$A$1:$AS$1,),))))</f>
        <v/>
      </c>
      <c r="R100" s="13">
        <f>((((VLOOKUP(B100,Database!$A:$AS,MATCH($R$1,Database!$A$1:$AS$1,),))))-(((VLOOKUP(EDATE(B100,-12),Database!$A:$AS,MATCH($R$1,Database!$A$1:$AS$1,),)))))/(((VLOOKUP(EDATE(B100,-12),Database!$A:$AS,MATCH($R$1,Database!$A$1:$AS$1,),))))</f>
        <v/>
      </c>
      <c r="S100" s="13">
        <f>((((VLOOKUP(B100,Database!$A:$AS,MATCH($S$1,Database!$A$1:$AS$1,),))))-(((VLOOKUP(EDATE(B100,-12),Database!$A:$AS,MATCH($S$1,Database!$A$1:$AS$1,),)))))/(((VLOOKUP(EDATE(B100,-12),Database!$A:$AS,MATCH($S$1,Database!$A$1:$AS$1,),))))</f>
        <v/>
      </c>
      <c r="T100" s="13">
        <f>((((VLOOKUP(B100,Database!$A:$AS,MATCH($T$1,Database!$A$1:$AS$1,),))))-(((VLOOKUP(EDATE(B100,-12),Database!$A:$AS,MATCH($T$1,Database!$A$1:$AS$1,),)))))/(((VLOOKUP(EDATE(B100,-12),Database!$A:$AS,MATCH($T$1,Database!$A$1:$AS$1,),))))</f>
        <v/>
      </c>
      <c r="U100" s="13">
        <f>((((VLOOKUP(B100,Database!$A:$AS,MATCH($U$1,Database!$A$1:$AS$1,),))))-(((VLOOKUP(EDATE(B100,-12),Database!$A:$AS,MATCH($U$1,Database!$A$1:$AS$1,),)))))/(((VLOOKUP(EDATE(B100,-12),Database!$A:$AS,MATCH($U$1,Database!$A$1:$AS$1,),))))</f>
        <v/>
      </c>
      <c r="V100" s="13">
        <f>((((VLOOKUP(B100,Database!$A:$AS,MATCH($V$1,Database!$A$1:$AS$1,),))))-(((VLOOKUP(EDATE(B100,-12),Database!$A:$AS,MATCH($V$1,Database!$A$1:$AS$1,),)))))/(((VLOOKUP(EDATE(B100,-12),Database!$A:$AS,MATCH($V$1,Database!$A$1:$AS$1,),))))</f>
        <v/>
      </c>
    </row>
    <row r="101" customFormat="1" s="94">
      <c r="A101" s="44" t="n"/>
      <c r="B101" s="85" t="n">
        <v>35217</v>
      </c>
      <c r="C101" s="13">
        <f>((((VLOOKUP(B101,Database!$A:$AS,MATCH($C$1,Database!$A$1:$AS$1,),))))-(((VLOOKUP(EDATE(B101,-12),Database!$A:$AS,MATCH($C$1,Database!$A$1:$AS$1,),)))))/(((VLOOKUP(EDATE(B101,-12),Database!$A:$AS,MATCH($C$1,Database!$A$1:$AS$1,),))))</f>
        <v/>
      </c>
      <c r="D101" s="13">
        <f>((((VLOOKUP(B101,Database!$A:$AS,MATCH($D$1,Database!$A$1:$AS$1,),))))-(((VLOOKUP(EDATE(B101,-12),Database!$A:$AS,MATCH($D$1,Database!$A$1:$AS$1,),)))))/(((VLOOKUP(EDATE(B101,-12),Database!$A:$AS,MATCH($D$1,Database!$A$1:$AS$1,),))))</f>
        <v/>
      </c>
      <c r="E101" s="13">
        <f>((((VLOOKUP(B101,Database!$A:$AS,MATCH($E$1,Database!$A$1:$AS$1,),))))-(((VLOOKUP(EDATE(B101,-12),Database!$A:$AS,MATCH($E$1,Database!$A$1:$AS$1,),)))))/(((VLOOKUP(EDATE(B101,-12),Database!$A:$AS,MATCH($E$1,Database!$A$1:$AS$1,),))))</f>
        <v/>
      </c>
      <c r="F101" s="13">
        <f>((((VLOOKUP(B101,Database!$A:$AS,MATCH($F$1,Database!$A$1:$AS$1,),))))-(((VLOOKUP(EDATE(B101,-12),Database!$A:$AS,MATCH($F$1,Database!$A$1:$AS$1,),)))))/(((VLOOKUP(EDATE(B101,-12),Database!$A:$AS,MATCH($F$1,Database!$A$1:$AS$1,),))))</f>
        <v/>
      </c>
      <c r="G101" s="13">
        <f>((((VLOOKUP(B101,Database!$A:$AS,MATCH($G$1,Database!$A$1:$AS$1,),))))-(((VLOOKUP(EDATE(B101,-12),Database!$A:$AS,MATCH($G$1,Database!$A$1:$AS$1,),)))))/(((VLOOKUP(EDATE(B101,-12),Database!$A:$AS,MATCH($G$1,Database!$A$1:$AS$1,),))))</f>
        <v/>
      </c>
      <c r="H101" s="13">
        <f>((((VLOOKUP(B101,Database!$A:$AS,MATCH($H$1,Database!$A$1:$AS$1,),))))-(((VLOOKUP(EDATE(B101,-12),Database!$A:$AS,MATCH($H$1,Database!$A$1:$AS$1,),)))))/(((VLOOKUP(EDATE(B101,-12),Database!$A:$AS,MATCH($H$1,Database!$A$1:$AS$1,),))))</f>
        <v/>
      </c>
      <c r="I101" s="13">
        <f>((((VLOOKUP(B101,Database!$A:$AS,MATCH($I$1,Database!$A$1:$AS$1,),))))-(((VLOOKUP(EDATE(B101,-12),Database!$A:$AS,MATCH($I$1,Database!$A$1:$AS$1,),)))))/(((VLOOKUP(EDATE(B101,-12),Database!$A:$AS,MATCH($I$1,Database!$A$1:$AS$1,),))))</f>
        <v/>
      </c>
      <c r="J101" s="13">
        <f>((((VLOOKUP(B101,Database!$A:$AS,MATCH($J$1,Database!$A$1:$AS$1,),))))-(((VLOOKUP(EDATE(B101,-12),Database!$A:$AS,MATCH($J$1,Database!$A$1:$AS$1,),)))))/(((VLOOKUP(EDATE(B101,-12),Database!$A:$AS,MATCH($J$1,Database!$A$1:$AS$1,),))))</f>
        <v/>
      </c>
      <c r="K101" s="13">
        <f>((((VLOOKUP(B101,Database!$A:$AS,MATCH($K$1,Database!$A$1:$AS$1,),))))-(((VLOOKUP(EDATE(B101,-12),Database!$A:$AS,MATCH($K$1,Database!$A$1:$AS$1,),)))))/(((VLOOKUP(EDATE(B101,-12),Database!$A:$AS,MATCH($K$1,Database!$A$1:$AS$1,),))))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((((VLOOKUP(B101,Database!$A:$AS,MATCH($O$1,Database!$A$1:$AS$1,),))))-(((VLOOKUP(EDATE(B101,-12),Database!$A:$AS,MATCH($O$1,Database!$A$1:$AS$1,),)))))/(((VLOOKUP(EDATE(B101,-12),Database!$A:$AS,MATCH($O$1,Database!$A$1:$AS$1,),))))</f>
        <v/>
      </c>
      <c r="P101" s="13">
        <f>((((VLOOKUP(B101,Database!$A:$AS,MATCH($P$1,Database!$A$1:$AS$1,),))))-(((VLOOKUP(EDATE(B101,-12),Database!$A:$AS,MATCH($P$1,Database!$A$1:$AS$1,),)))))/(((VLOOKUP(EDATE(B101,-12),Database!$A:$AS,MATCH($P$1,Database!$A$1:$AS$1,),))))</f>
        <v/>
      </c>
      <c r="Q101" s="13">
        <f>((((VLOOKUP(B101,Database!$A:$AS,MATCH($Q$1,Database!$A$1:$AS$1,),))))-(((VLOOKUP(EDATE(B101,-12),Database!$A:$AS,MATCH($Q$1,Database!$A$1:$AS$1,),)))))/(((VLOOKUP(EDATE(B101,-12),Database!$A:$AS,MATCH($Q$1,Database!$A$1:$AS$1,),))))</f>
        <v/>
      </c>
      <c r="R101" s="13">
        <f>((((VLOOKUP(B101,Database!$A:$AS,MATCH($R$1,Database!$A$1:$AS$1,),))))-(((VLOOKUP(EDATE(B101,-12),Database!$A:$AS,MATCH($R$1,Database!$A$1:$AS$1,),)))))/(((VLOOKUP(EDATE(B101,-12),Database!$A:$AS,MATCH($R$1,Database!$A$1:$AS$1,),))))</f>
        <v/>
      </c>
      <c r="S101" s="13">
        <f>((((VLOOKUP(B101,Database!$A:$AS,MATCH($S$1,Database!$A$1:$AS$1,),))))-(((VLOOKUP(EDATE(B101,-12),Database!$A:$AS,MATCH($S$1,Database!$A$1:$AS$1,),)))))/(((VLOOKUP(EDATE(B101,-12),Database!$A:$AS,MATCH($S$1,Database!$A$1:$AS$1,),))))</f>
        <v/>
      </c>
      <c r="T101" s="13">
        <f>((((VLOOKUP(B101,Database!$A:$AS,MATCH($T$1,Database!$A$1:$AS$1,),))))-(((VLOOKUP(EDATE(B101,-12),Database!$A:$AS,MATCH($T$1,Database!$A$1:$AS$1,),)))))/(((VLOOKUP(EDATE(B101,-12),Database!$A:$AS,MATCH($T$1,Database!$A$1:$AS$1,),))))</f>
        <v/>
      </c>
      <c r="U101" s="13">
        <f>((((VLOOKUP(B101,Database!$A:$AS,MATCH($U$1,Database!$A$1:$AS$1,),))))-(((VLOOKUP(EDATE(B101,-12),Database!$A:$AS,MATCH($U$1,Database!$A$1:$AS$1,),)))))/(((VLOOKUP(EDATE(B101,-12),Database!$A:$AS,MATCH($U$1,Database!$A$1:$AS$1,),))))</f>
        <v/>
      </c>
      <c r="V101" s="13">
        <f>((((VLOOKUP(B101,Database!$A:$AS,MATCH($V$1,Database!$A$1:$AS$1,),))))-(((VLOOKUP(EDATE(B101,-12),Database!$A:$AS,MATCH($V$1,Database!$A$1:$AS$1,),)))))/(((VLOOKUP(EDATE(B101,-12),Database!$A:$AS,MATCH($V$1,Database!$A$1:$AS$1,),))))</f>
        <v/>
      </c>
    </row>
    <row r="102" customFormat="1" s="94">
      <c r="A102" s="44" t="n"/>
      <c r="B102" s="85" t="n">
        <v>35247</v>
      </c>
      <c r="C102" s="13">
        <f>((((VLOOKUP(B102,Database!$A:$AS,MATCH($C$1,Database!$A$1:$AS$1,),))))-(((VLOOKUP(EDATE(B102,-12),Database!$A:$AS,MATCH($C$1,Database!$A$1:$AS$1,),)))))/(((VLOOKUP(EDATE(B102,-12),Database!$A:$AS,MATCH($C$1,Database!$A$1:$AS$1,),))))</f>
        <v/>
      </c>
      <c r="D102" s="13">
        <f>((((VLOOKUP(B102,Database!$A:$AS,MATCH($D$1,Database!$A$1:$AS$1,),))))-(((VLOOKUP(EDATE(B102,-12),Database!$A:$AS,MATCH($D$1,Database!$A$1:$AS$1,),)))))/(((VLOOKUP(EDATE(B102,-12),Database!$A:$AS,MATCH($D$1,Database!$A$1:$AS$1,),))))</f>
        <v/>
      </c>
      <c r="E102" s="13">
        <f>((((VLOOKUP(B102,Database!$A:$AS,MATCH($E$1,Database!$A$1:$AS$1,),))))-(((VLOOKUP(EDATE(B102,-12),Database!$A:$AS,MATCH($E$1,Database!$A$1:$AS$1,),)))))/(((VLOOKUP(EDATE(B102,-12),Database!$A:$AS,MATCH($E$1,Database!$A$1:$AS$1,),))))</f>
        <v/>
      </c>
      <c r="F102" s="13">
        <f>((((VLOOKUP(B102,Database!$A:$AS,MATCH($F$1,Database!$A$1:$AS$1,),))))-(((VLOOKUP(EDATE(B102,-12),Database!$A:$AS,MATCH($F$1,Database!$A$1:$AS$1,),)))))/(((VLOOKUP(EDATE(B102,-12),Database!$A:$AS,MATCH($F$1,Database!$A$1:$AS$1,),))))</f>
        <v/>
      </c>
      <c r="G102" s="13">
        <f>((((VLOOKUP(B102,Database!$A:$AS,MATCH($G$1,Database!$A$1:$AS$1,),))))-(((VLOOKUP(EDATE(B102,-12),Database!$A:$AS,MATCH($G$1,Database!$A$1:$AS$1,),)))))/(((VLOOKUP(EDATE(B102,-12),Database!$A:$AS,MATCH($G$1,Database!$A$1:$AS$1,),))))</f>
        <v/>
      </c>
      <c r="H102" s="13">
        <f>((((VLOOKUP(B102,Database!$A:$AS,MATCH($H$1,Database!$A$1:$AS$1,),))))-(((VLOOKUP(EDATE(B102,-12),Database!$A:$AS,MATCH($H$1,Database!$A$1:$AS$1,),)))))/(((VLOOKUP(EDATE(B102,-12),Database!$A:$AS,MATCH($H$1,Database!$A$1:$AS$1,),))))</f>
        <v/>
      </c>
      <c r="I102" s="13">
        <f>((((VLOOKUP(B102,Database!$A:$AS,MATCH($I$1,Database!$A$1:$AS$1,),))))-(((VLOOKUP(EDATE(B102,-12),Database!$A:$AS,MATCH($I$1,Database!$A$1:$AS$1,),)))))/(((VLOOKUP(EDATE(B102,-12),Database!$A:$AS,MATCH($I$1,Database!$A$1:$AS$1,),))))</f>
        <v/>
      </c>
      <c r="J102" s="13">
        <f>((((VLOOKUP(B102,Database!$A:$AS,MATCH($J$1,Database!$A$1:$AS$1,),))))-(((VLOOKUP(EDATE(B102,-12),Database!$A:$AS,MATCH($J$1,Database!$A$1:$AS$1,),)))))/(((VLOOKUP(EDATE(B102,-12),Database!$A:$AS,MATCH($J$1,Database!$A$1:$AS$1,),))))</f>
        <v/>
      </c>
      <c r="K102" s="13">
        <f>((((VLOOKUP(B102,Database!$A:$AS,MATCH($K$1,Database!$A$1:$AS$1,),))))-(((VLOOKUP(EDATE(B102,-12),Database!$A:$AS,MATCH($K$1,Database!$A$1:$AS$1,),)))))/(((VLOOKUP(EDATE(B102,-12),Database!$A:$AS,MATCH($K$1,Database!$A$1:$AS$1,),))))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((((VLOOKUP(B102,Database!$A:$AS,MATCH($O$1,Database!$A$1:$AS$1,),))))-(((VLOOKUP(EDATE(B102,-12),Database!$A:$AS,MATCH($O$1,Database!$A$1:$AS$1,),)))))/(((VLOOKUP(EDATE(B102,-12),Database!$A:$AS,MATCH($O$1,Database!$A$1:$AS$1,),))))</f>
        <v/>
      </c>
      <c r="P102" s="13">
        <f>((((VLOOKUP(B102,Database!$A:$AS,MATCH($P$1,Database!$A$1:$AS$1,),))))-(((VLOOKUP(EDATE(B102,-12),Database!$A:$AS,MATCH($P$1,Database!$A$1:$AS$1,),)))))/(((VLOOKUP(EDATE(B102,-12),Database!$A:$AS,MATCH($P$1,Database!$A$1:$AS$1,),))))</f>
        <v/>
      </c>
      <c r="Q102" s="13">
        <f>((((VLOOKUP(B102,Database!$A:$AS,MATCH($Q$1,Database!$A$1:$AS$1,),))))-(((VLOOKUP(EDATE(B102,-12),Database!$A:$AS,MATCH($Q$1,Database!$A$1:$AS$1,),)))))/(((VLOOKUP(EDATE(B102,-12),Database!$A:$AS,MATCH($Q$1,Database!$A$1:$AS$1,),))))</f>
        <v/>
      </c>
      <c r="R102" s="13">
        <f>((((VLOOKUP(B102,Database!$A:$AS,MATCH($R$1,Database!$A$1:$AS$1,),))))-(((VLOOKUP(EDATE(B102,-12),Database!$A:$AS,MATCH($R$1,Database!$A$1:$AS$1,),)))))/(((VLOOKUP(EDATE(B102,-12),Database!$A:$AS,MATCH($R$1,Database!$A$1:$AS$1,),))))</f>
        <v/>
      </c>
      <c r="S102" s="13">
        <f>((((VLOOKUP(B102,Database!$A:$AS,MATCH($S$1,Database!$A$1:$AS$1,),))))-(((VLOOKUP(EDATE(B102,-12),Database!$A:$AS,MATCH($S$1,Database!$A$1:$AS$1,),)))))/(((VLOOKUP(EDATE(B102,-12),Database!$A:$AS,MATCH($S$1,Database!$A$1:$AS$1,),))))</f>
        <v/>
      </c>
      <c r="T102" s="13">
        <f>((((VLOOKUP(B102,Database!$A:$AS,MATCH($T$1,Database!$A$1:$AS$1,),))))-(((VLOOKUP(EDATE(B102,-12),Database!$A:$AS,MATCH($T$1,Database!$A$1:$AS$1,),)))))/(((VLOOKUP(EDATE(B102,-12),Database!$A:$AS,MATCH($T$1,Database!$A$1:$AS$1,),))))</f>
        <v/>
      </c>
      <c r="U102" s="13">
        <f>((((VLOOKUP(B102,Database!$A:$AS,MATCH($U$1,Database!$A$1:$AS$1,),))))-(((VLOOKUP(EDATE(B102,-12),Database!$A:$AS,MATCH($U$1,Database!$A$1:$AS$1,),)))))/(((VLOOKUP(EDATE(B102,-12),Database!$A:$AS,MATCH($U$1,Database!$A$1:$AS$1,),))))</f>
        <v/>
      </c>
      <c r="V102" s="13">
        <f>((((VLOOKUP(B102,Database!$A:$AS,MATCH($V$1,Database!$A$1:$AS$1,),))))-(((VLOOKUP(EDATE(B102,-12),Database!$A:$AS,MATCH($V$1,Database!$A$1:$AS$1,),)))))/(((VLOOKUP(EDATE(B102,-12),Database!$A:$AS,MATCH($V$1,Database!$A$1:$AS$1,),))))</f>
        <v/>
      </c>
    </row>
    <row r="103" customFormat="1" s="94">
      <c r="A103" s="44" t="n"/>
      <c r="B103" s="85" t="n">
        <v>35278</v>
      </c>
      <c r="C103" s="13">
        <f>((((VLOOKUP(B103,Database!$A:$AS,MATCH($C$1,Database!$A$1:$AS$1,),))))-(((VLOOKUP(EDATE(B103,-12),Database!$A:$AS,MATCH($C$1,Database!$A$1:$AS$1,),)))))/(((VLOOKUP(EDATE(B103,-12),Database!$A:$AS,MATCH($C$1,Database!$A$1:$AS$1,),))))</f>
        <v/>
      </c>
      <c r="D103" s="13">
        <f>((((VLOOKUP(B103,Database!$A:$AS,MATCH($D$1,Database!$A$1:$AS$1,),))))-(((VLOOKUP(EDATE(B103,-12),Database!$A:$AS,MATCH($D$1,Database!$A$1:$AS$1,),)))))/(((VLOOKUP(EDATE(B103,-12),Database!$A:$AS,MATCH($D$1,Database!$A$1:$AS$1,),))))</f>
        <v/>
      </c>
      <c r="E103" s="13">
        <f>((((VLOOKUP(B103,Database!$A:$AS,MATCH($E$1,Database!$A$1:$AS$1,),))))-(((VLOOKUP(EDATE(B103,-12),Database!$A:$AS,MATCH($E$1,Database!$A$1:$AS$1,),)))))/(((VLOOKUP(EDATE(B103,-12),Database!$A:$AS,MATCH($E$1,Database!$A$1:$AS$1,),))))</f>
        <v/>
      </c>
      <c r="F103" s="13">
        <f>((((VLOOKUP(B103,Database!$A:$AS,MATCH($F$1,Database!$A$1:$AS$1,),))))-(((VLOOKUP(EDATE(B103,-12),Database!$A:$AS,MATCH($F$1,Database!$A$1:$AS$1,),)))))/(((VLOOKUP(EDATE(B103,-12),Database!$A:$AS,MATCH($F$1,Database!$A$1:$AS$1,),))))</f>
        <v/>
      </c>
      <c r="G103" s="13">
        <f>((((VLOOKUP(B103,Database!$A:$AS,MATCH($G$1,Database!$A$1:$AS$1,),))))-(((VLOOKUP(EDATE(B103,-12),Database!$A:$AS,MATCH($G$1,Database!$A$1:$AS$1,),)))))/(((VLOOKUP(EDATE(B103,-12),Database!$A:$AS,MATCH($G$1,Database!$A$1:$AS$1,),))))</f>
        <v/>
      </c>
      <c r="H103" s="13">
        <f>((((VLOOKUP(B103,Database!$A:$AS,MATCH($H$1,Database!$A$1:$AS$1,),))))-(((VLOOKUP(EDATE(B103,-12),Database!$A:$AS,MATCH($H$1,Database!$A$1:$AS$1,),)))))/(((VLOOKUP(EDATE(B103,-12),Database!$A:$AS,MATCH($H$1,Database!$A$1:$AS$1,),))))</f>
        <v/>
      </c>
      <c r="I103" s="13">
        <f>((((VLOOKUP(B103,Database!$A:$AS,MATCH($I$1,Database!$A$1:$AS$1,),))))-(((VLOOKUP(EDATE(B103,-12),Database!$A:$AS,MATCH($I$1,Database!$A$1:$AS$1,),)))))/(((VLOOKUP(EDATE(B103,-12),Database!$A:$AS,MATCH($I$1,Database!$A$1:$AS$1,),))))</f>
        <v/>
      </c>
      <c r="J103" s="13">
        <f>((((VLOOKUP(B103,Database!$A:$AS,MATCH($J$1,Database!$A$1:$AS$1,),))))-(((VLOOKUP(EDATE(B103,-12),Database!$A:$AS,MATCH($J$1,Database!$A$1:$AS$1,),)))))/(((VLOOKUP(EDATE(B103,-12),Database!$A:$AS,MATCH($J$1,Database!$A$1:$AS$1,),))))</f>
        <v/>
      </c>
      <c r="K103" s="13">
        <f>((((VLOOKUP(B103,Database!$A:$AS,MATCH($K$1,Database!$A$1:$AS$1,),))))-(((VLOOKUP(EDATE(B103,-12),Database!$A:$AS,MATCH($K$1,Database!$A$1:$AS$1,),)))))/(((VLOOKUP(EDATE(B103,-12),Database!$A:$AS,MATCH($K$1,Database!$A$1:$AS$1,),))))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((((VLOOKUP(B103,Database!$A:$AS,MATCH($O$1,Database!$A$1:$AS$1,),))))-(((VLOOKUP(EDATE(B103,-12),Database!$A:$AS,MATCH($O$1,Database!$A$1:$AS$1,),)))))/(((VLOOKUP(EDATE(B103,-12),Database!$A:$AS,MATCH($O$1,Database!$A$1:$AS$1,),))))</f>
        <v/>
      </c>
      <c r="P103" s="13">
        <f>((((VLOOKUP(B103,Database!$A:$AS,MATCH($P$1,Database!$A$1:$AS$1,),))))-(((VLOOKUP(EDATE(B103,-12),Database!$A:$AS,MATCH($P$1,Database!$A$1:$AS$1,),)))))/(((VLOOKUP(EDATE(B103,-12),Database!$A:$AS,MATCH($P$1,Database!$A$1:$AS$1,),))))</f>
        <v/>
      </c>
      <c r="Q103" s="13">
        <f>((((VLOOKUP(B103,Database!$A:$AS,MATCH($Q$1,Database!$A$1:$AS$1,),))))-(((VLOOKUP(EDATE(B103,-12),Database!$A:$AS,MATCH($Q$1,Database!$A$1:$AS$1,),)))))/(((VLOOKUP(EDATE(B103,-12),Database!$A:$AS,MATCH($Q$1,Database!$A$1:$AS$1,),))))</f>
        <v/>
      </c>
      <c r="R103" s="13">
        <f>((((VLOOKUP(B103,Database!$A:$AS,MATCH($R$1,Database!$A$1:$AS$1,),))))-(((VLOOKUP(EDATE(B103,-12),Database!$A:$AS,MATCH($R$1,Database!$A$1:$AS$1,),)))))/(((VLOOKUP(EDATE(B103,-12),Database!$A:$AS,MATCH($R$1,Database!$A$1:$AS$1,),))))</f>
        <v/>
      </c>
      <c r="S103" s="13">
        <f>((((VLOOKUP(B103,Database!$A:$AS,MATCH($S$1,Database!$A$1:$AS$1,),))))-(((VLOOKUP(EDATE(B103,-12),Database!$A:$AS,MATCH($S$1,Database!$A$1:$AS$1,),)))))/(((VLOOKUP(EDATE(B103,-12),Database!$A:$AS,MATCH($S$1,Database!$A$1:$AS$1,),))))</f>
        <v/>
      </c>
      <c r="T103" s="13">
        <f>((((VLOOKUP(B103,Database!$A:$AS,MATCH($T$1,Database!$A$1:$AS$1,),))))-(((VLOOKUP(EDATE(B103,-12),Database!$A:$AS,MATCH($T$1,Database!$A$1:$AS$1,),)))))/(((VLOOKUP(EDATE(B103,-12),Database!$A:$AS,MATCH($T$1,Database!$A$1:$AS$1,),))))</f>
        <v/>
      </c>
      <c r="U103" s="13">
        <f>((((VLOOKUP(B103,Database!$A:$AS,MATCH($U$1,Database!$A$1:$AS$1,),))))-(((VLOOKUP(EDATE(B103,-12),Database!$A:$AS,MATCH($U$1,Database!$A$1:$AS$1,),)))))/(((VLOOKUP(EDATE(B103,-12),Database!$A:$AS,MATCH($U$1,Database!$A$1:$AS$1,),))))</f>
        <v/>
      </c>
      <c r="V103" s="13">
        <f>((((VLOOKUP(B103,Database!$A:$AS,MATCH($V$1,Database!$A$1:$AS$1,),))))-(((VLOOKUP(EDATE(B103,-12),Database!$A:$AS,MATCH($V$1,Database!$A$1:$AS$1,),)))))/(((VLOOKUP(EDATE(B103,-12),Database!$A:$AS,MATCH($V$1,Database!$A$1:$AS$1,),))))</f>
        <v/>
      </c>
    </row>
    <row r="104" customFormat="1" s="94">
      <c r="A104" s="44" t="n"/>
      <c r="B104" s="85" t="n">
        <v>35309</v>
      </c>
      <c r="C104" s="13">
        <f>((((VLOOKUP(B104,Database!$A:$AS,MATCH($C$1,Database!$A$1:$AS$1,),))))-(((VLOOKUP(EDATE(B104,-12),Database!$A:$AS,MATCH($C$1,Database!$A$1:$AS$1,),)))))/(((VLOOKUP(EDATE(B104,-12),Database!$A:$AS,MATCH($C$1,Database!$A$1:$AS$1,),))))</f>
        <v/>
      </c>
      <c r="D104" s="13">
        <f>((((VLOOKUP(B104,Database!$A:$AS,MATCH($D$1,Database!$A$1:$AS$1,),))))-(((VLOOKUP(EDATE(B104,-12),Database!$A:$AS,MATCH($D$1,Database!$A$1:$AS$1,),)))))/(((VLOOKUP(EDATE(B104,-12),Database!$A:$AS,MATCH($D$1,Database!$A$1:$AS$1,),))))</f>
        <v/>
      </c>
      <c r="E104" s="13">
        <f>((((VLOOKUP(B104,Database!$A:$AS,MATCH($E$1,Database!$A$1:$AS$1,),))))-(((VLOOKUP(EDATE(B104,-12),Database!$A:$AS,MATCH($E$1,Database!$A$1:$AS$1,),)))))/(((VLOOKUP(EDATE(B104,-12),Database!$A:$AS,MATCH($E$1,Database!$A$1:$AS$1,),))))</f>
        <v/>
      </c>
      <c r="F104" s="13">
        <f>((((VLOOKUP(B104,Database!$A:$AS,MATCH($F$1,Database!$A$1:$AS$1,),))))-(((VLOOKUP(EDATE(B104,-12),Database!$A:$AS,MATCH($F$1,Database!$A$1:$AS$1,),)))))/(((VLOOKUP(EDATE(B104,-12),Database!$A:$AS,MATCH($F$1,Database!$A$1:$AS$1,),))))</f>
        <v/>
      </c>
      <c r="G104" s="13">
        <f>((((VLOOKUP(B104,Database!$A:$AS,MATCH($G$1,Database!$A$1:$AS$1,),))))-(((VLOOKUP(EDATE(B104,-12),Database!$A:$AS,MATCH($G$1,Database!$A$1:$AS$1,),)))))/(((VLOOKUP(EDATE(B104,-12),Database!$A:$AS,MATCH($G$1,Database!$A$1:$AS$1,),))))</f>
        <v/>
      </c>
      <c r="H104" s="13">
        <f>((((VLOOKUP(B104,Database!$A:$AS,MATCH($H$1,Database!$A$1:$AS$1,),))))-(((VLOOKUP(EDATE(B104,-12),Database!$A:$AS,MATCH($H$1,Database!$A$1:$AS$1,),)))))/(((VLOOKUP(EDATE(B104,-12),Database!$A:$AS,MATCH($H$1,Database!$A$1:$AS$1,),))))</f>
        <v/>
      </c>
      <c r="I104" s="13">
        <f>((((VLOOKUP(B104,Database!$A:$AS,MATCH($I$1,Database!$A$1:$AS$1,),))))-(((VLOOKUP(EDATE(B104,-12),Database!$A:$AS,MATCH($I$1,Database!$A$1:$AS$1,),)))))/(((VLOOKUP(EDATE(B104,-12),Database!$A:$AS,MATCH($I$1,Database!$A$1:$AS$1,),))))</f>
        <v/>
      </c>
      <c r="J104" s="13">
        <f>((((VLOOKUP(B104,Database!$A:$AS,MATCH($J$1,Database!$A$1:$AS$1,),))))-(((VLOOKUP(EDATE(B104,-12),Database!$A:$AS,MATCH($J$1,Database!$A$1:$AS$1,),)))))/(((VLOOKUP(EDATE(B104,-12),Database!$A:$AS,MATCH($J$1,Database!$A$1:$AS$1,),))))</f>
        <v/>
      </c>
      <c r="K104" s="13">
        <f>((((VLOOKUP(B104,Database!$A:$AS,MATCH($K$1,Database!$A$1:$AS$1,),))))-(((VLOOKUP(EDATE(B104,-12),Database!$A:$AS,MATCH($K$1,Database!$A$1:$AS$1,),)))))/(((VLOOKUP(EDATE(B104,-12),Database!$A:$AS,MATCH($K$1,Database!$A$1:$AS$1,),))))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((((VLOOKUP(B104,Database!$A:$AS,MATCH($O$1,Database!$A$1:$AS$1,),))))-(((VLOOKUP(EDATE(B104,-12),Database!$A:$AS,MATCH($O$1,Database!$A$1:$AS$1,),)))))/(((VLOOKUP(EDATE(B104,-12),Database!$A:$AS,MATCH($O$1,Database!$A$1:$AS$1,),))))</f>
        <v/>
      </c>
      <c r="P104" s="13">
        <f>((((VLOOKUP(B104,Database!$A:$AS,MATCH($P$1,Database!$A$1:$AS$1,),))))-(((VLOOKUP(EDATE(B104,-12),Database!$A:$AS,MATCH($P$1,Database!$A$1:$AS$1,),)))))/(((VLOOKUP(EDATE(B104,-12),Database!$A:$AS,MATCH($P$1,Database!$A$1:$AS$1,),))))</f>
        <v/>
      </c>
      <c r="Q104" s="13">
        <f>((((VLOOKUP(B104,Database!$A:$AS,MATCH($Q$1,Database!$A$1:$AS$1,),))))-(((VLOOKUP(EDATE(B104,-12),Database!$A:$AS,MATCH($Q$1,Database!$A$1:$AS$1,),)))))/(((VLOOKUP(EDATE(B104,-12),Database!$A:$AS,MATCH($Q$1,Database!$A$1:$AS$1,),))))</f>
        <v/>
      </c>
      <c r="R104" s="13">
        <f>((((VLOOKUP(B104,Database!$A:$AS,MATCH($R$1,Database!$A$1:$AS$1,),))))-(((VLOOKUP(EDATE(B104,-12),Database!$A:$AS,MATCH($R$1,Database!$A$1:$AS$1,),)))))/(((VLOOKUP(EDATE(B104,-12),Database!$A:$AS,MATCH($R$1,Database!$A$1:$AS$1,),))))</f>
        <v/>
      </c>
      <c r="S104" s="13">
        <f>((((VLOOKUP(B104,Database!$A:$AS,MATCH($S$1,Database!$A$1:$AS$1,),))))-(((VLOOKUP(EDATE(B104,-12),Database!$A:$AS,MATCH($S$1,Database!$A$1:$AS$1,),)))))/(((VLOOKUP(EDATE(B104,-12),Database!$A:$AS,MATCH($S$1,Database!$A$1:$AS$1,),))))</f>
        <v/>
      </c>
      <c r="T104" s="13">
        <f>((((VLOOKUP(B104,Database!$A:$AS,MATCH($T$1,Database!$A$1:$AS$1,),))))-(((VLOOKUP(EDATE(B104,-12),Database!$A:$AS,MATCH($T$1,Database!$A$1:$AS$1,),)))))/(((VLOOKUP(EDATE(B104,-12),Database!$A:$AS,MATCH($T$1,Database!$A$1:$AS$1,),))))</f>
        <v/>
      </c>
      <c r="U104" s="13">
        <f>((((VLOOKUP(B104,Database!$A:$AS,MATCH($U$1,Database!$A$1:$AS$1,),))))-(((VLOOKUP(EDATE(B104,-12),Database!$A:$AS,MATCH($U$1,Database!$A$1:$AS$1,),)))))/(((VLOOKUP(EDATE(B104,-12),Database!$A:$AS,MATCH($U$1,Database!$A$1:$AS$1,),))))</f>
        <v/>
      </c>
      <c r="V104" s="13">
        <f>((((VLOOKUP(B104,Database!$A:$AS,MATCH($V$1,Database!$A$1:$AS$1,),))))-(((VLOOKUP(EDATE(B104,-12),Database!$A:$AS,MATCH($V$1,Database!$A$1:$AS$1,),)))))/(((VLOOKUP(EDATE(B104,-12),Database!$A:$AS,MATCH($V$1,Database!$A$1:$AS$1,),))))</f>
        <v/>
      </c>
    </row>
    <row r="105" customFormat="1" s="94">
      <c r="A105" s="44" t="n"/>
      <c r="B105" s="85" t="n">
        <v>35339</v>
      </c>
      <c r="C105" s="13">
        <f>((((VLOOKUP(B105,Database!$A:$AS,MATCH($C$1,Database!$A$1:$AS$1,),))))-(((VLOOKUP(EDATE(B105,-12),Database!$A:$AS,MATCH($C$1,Database!$A$1:$AS$1,),)))))/(((VLOOKUP(EDATE(B105,-12),Database!$A:$AS,MATCH($C$1,Database!$A$1:$AS$1,),))))</f>
        <v/>
      </c>
      <c r="D105" s="13">
        <f>((((VLOOKUP(B105,Database!$A:$AS,MATCH($D$1,Database!$A$1:$AS$1,),))))-(((VLOOKUP(EDATE(B105,-12),Database!$A:$AS,MATCH($D$1,Database!$A$1:$AS$1,),)))))/(((VLOOKUP(EDATE(B105,-12),Database!$A:$AS,MATCH($D$1,Database!$A$1:$AS$1,),))))</f>
        <v/>
      </c>
      <c r="E105" s="13">
        <f>((((VLOOKUP(B105,Database!$A:$AS,MATCH($E$1,Database!$A$1:$AS$1,),))))-(((VLOOKUP(EDATE(B105,-12),Database!$A:$AS,MATCH($E$1,Database!$A$1:$AS$1,),)))))/(((VLOOKUP(EDATE(B105,-12),Database!$A:$AS,MATCH($E$1,Database!$A$1:$AS$1,),))))</f>
        <v/>
      </c>
      <c r="F105" s="13">
        <f>((((VLOOKUP(B105,Database!$A:$AS,MATCH($F$1,Database!$A$1:$AS$1,),))))-(((VLOOKUP(EDATE(B105,-12),Database!$A:$AS,MATCH($F$1,Database!$A$1:$AS$1,),)))))/(((VLOOKUP(EDATE(B105,-12),Database!$A:$AS,MATCH($F$1,Database!$A$1:$AS$1,),))))</f>
        <v/>
      </c>
      <c r="G105" s="13">
        <f>((((VLOOKUP(B105,Database!$A:$AS,MATCH($G$1,Database!$A$1:$AS$1,),))))-(((VLOOKUP(EDATE(B105,-12),Database!$A:$AS,MATCH($G$1,Database!$A$1:$AS$1,),)))))/(((VLOOKUP(EDATE(B105,-12),Database!$A:$AS,MATCH($G$1,Database!$A$1:$AS$1,),))))</f>
        <v/>
      </c>
      <c r="H105" s="13">
        <f>((((VLOOKUP(B105,Database!$A:$AS,MATCH($H$1,Database!$A$1:$AS$1,),))))-(((VLOOKUP(EDATE(B105,-12),Database!$A:$AS,MATCH($H$1,Database!$A$1:$AS$1,),)))))/(((VLOOKUP(EDATE(B105,-12),Database!$A:$AS,MATCH($H$1,Database!$A$1:$AS$1,),))))</f>
        <v/>
      </c>
      <c r="I105" s="13">
        <f>((((VLOOKUP(B105,Database!$A:$AS,MATCH($I$1,Database!$A$1:$AS$1,),))))-(((VLOOKUP(EDATE(B105,-12),Database!$A:$AS,MATCH($I$1,Database!$A$1:$AS$1,),)))))/(((VLOOKUP(EDATE(B105,-12),Database!$A:$AS,MATCH($I$1,Database!$A$1:$AS$1,),))))</f>
        <v/>
      </c>
      <c r="J105" s="13">
        <f>((((VLOOKUP(B105,Database!$A:$AS,MATCH($J$1,Database!$A$1:$AS$1,),))))-(((VLOOKUP(EDATE(B105,-12),Database!$A:$AS,MATCH($J$1,Database!$A$1:$AS$1,),)))))/(((VLOOKUP(EDATE(B105,-12),Database!$A:$AS,MATCH($J$1,Database!$A$1:$AS$1,),))))</f>
        <v/>
      </c>
      <c r="K105" s="13">
        <f>((((VLOOKUP(B105,Database!$A:$AS,MATCH($K$1,Database!$A$1:$AS$1,),))))-(((VLOOKUP(EDATE(B105,-12),Database!$A:$AS,MATCH($K$1,Database!$A$1:$AS$1,),)))))/(((VLOOKUP(EDATE(B105,-12),Database!$A:$AS,MATCH($K$1,Database!$A$1:$AS$1,),))))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((((VLOOKUP(B105,Database!$A:$AS,MATCH($O$1,Database!$A$1:$AS$1,),))))-(((VLOOKUP(EDATE(B105,-12),Database!$A:$AS,MATCH($O$1,Database!$A$1:$AS$1,),)))))/(((VLOOKUP(EDATE(B105,-12),Database!$A:$AS,MATCH($O$1,Database!$A$1:$AS$1,),))))</f>
        <v/>
      </c>
      <c r="P105" s="13">
        <f>((((VLOOKUP(B105,Database!$A:$AS,MATCH($P$1,Database!$A$1:$AS$1,),))))-(((VLOOKUP(EDATE(B105,-12),Database!$A:$AS,MATCH($P$1,Database!$A$1:$AS$1,),)))))/(((VLOOKUP(EDATE(B105,-12),Database!$A:$AS,MATCH($P$1,Database!$A$1:$AS$1,),))))</f>
        <v/>
      </c>
      <c r="Q105" s="13">
        <f>((((VLOOKUP(B105,Database!$A:$AS,MATCH($Q$1,Database!$A$1:$AS$1,),))))-(((VLOOKUP(EDATE(B105,-12),Database!$A:$AS,MATCH($Q$1,Database!$A$1:$AS$1,),)))))/(((VLOOKUP(EDATE(B105,-12),Database!$A:$AS,MATCH($Q$1,Database!$A$1:$AS$1,),))))</f>
        <v/>
      </c>
      <c r="R105" s="13">
        <f>((((VLOOKUP(B105,Database!$A:$AS,MATCH($R$1,Database!$A$1:$AS$1,),))))-(((VLOOKUP(EDATE(B105,-12),Database!$A:$AS,MATCH($R$1,Database!$A$1:$AS$1,),)))))/(((VLOOKUP(EDATE(B105,-12),Database!$A:$AS,MATCH($R$1,Database!$A$1:$AS$1,),))))</f>
        <v/>
      </c>
      <c r="S105" s="13">
        <f>((((VLOOKUP(B105,Database!$A:$AS,MATCH($S$1,Database!$A$1:$AS$1,),))))-(((VLOOKUP(EDATE(B105,-12),Database!$A:$AS,MATCH($S$1,Database!$A$1:$AS$1,),)))))/(((VLOOKUP(EDATE(B105,-12),Database!$A:$AS,MATCH($S$1,Database!$A$1:$AS$1,),))))</f>
        <v/>
      </c>
      <c r="T105" s="13">
        <f>((((VLOOKUP(B105,Database!$A:$AS,MATCH($T$1,Database!$A$1:$AS$1,),))))-(((VLOOKUP(EDATE(B105,-12),Database!$A:$AS,MATCH($T$1,Database!$A$1:$AS$1,),)))))/(((VLOOKUP(EDATE(B105,-12),Database!$A:$AS,MATCH($T$1,Database!$A$1:$AS$1,),))))</f>
        <v/>
      </c>
      <c r="U105" s="13">
        <f>((((VLOOKUP(B105,Database!$A:$AS,MATCH($U$1,Database!$A$1:$AS$1,),))))-(((VLOOKUP(EDATE(B105,-12),Database!$A:$AS,MATCH($U$1,Database!$A$1:$AS$1,),)))))/(((VLOOKUP(EDATE(B105,-12),Database!$A:$AS,MATCH($U$1,Database!$A$1:$AS$1,),))))</f>
        <v/>
      </c>
      <c r="V105" s="13">
        <f>((((VLOOKUP(B105,Database!$A:$AS,MATCH($V$1,Database!$A$1:$AS$1,),))))-(((VLOOKUP(EDATE(B105,-12),Database!$A:$AS,MATCH($V$1,Database!$A$1:$AS$1,),)))))/(((VLOOKUP(EDATE(B105,-12),Database!$A:$AS,MATCH($V$1,Database!$A$1:$AS$1,),))))</f>
        <v/>
      </c>
    </row>
    <row r="106" customFormat="1" s="94">
      <c r="A106" s="44" t="n"/>
      <c r="B106" s="85" t="n">
        <v>35370</v>
      </c>
      <c r="C106" s="13">
        <f>((((VLOOKUP(B106,Database!$A:$AS,MATCH($C$1,Database!$A$1:$AS$1,),))))-(((VLOOKUP(EDATE(B106,-12),Database!$A:$AS,MATCH($C$1,Database!$A$1:$AS$1,),)))))/(((VLOOKUP(EDATE(B106,-12),Database!$A:$AS,MATCH($C$1,Database!$A$1:$AS$1,),))))</f>
        <v/>
      </c>
      <c r="D106" s="13">
        <f>((((VLOOKUP(B106,Database!$A:$AS,MATCH($D$1,Database!$A$1:$AS$1,),))))-(((VLOOKUP(EDATE(B106,-12),Database!$A:$AS,MATCH($D$1,Database!$A$1:$AS$1,),)))))/(((VLOOKUP(EDATE(B106,-12),Database!$A:$AS,MATCH($D$1,Database!$A$1:$AS$1,),))))</f>
        <v/>
      </c>
      <c r="E106" s="13">
        <f>((((VLOOKUP(B106,Database!$A:$AS,MATCH($E$1,Database!$A$1:$AS$1,),))))-(((VLOOKUP(EDATE(B106,-12),Database!$A:$AS,MATCH($E$1,Database!$A$1:$AS$1,),)))))/(((VLOOKUP(EDATE(B106,-12),Database!$A:$AS,MATCH($E$1,Database!$A$1:$AS$1,),))))</f>
        <v/>
      </c>
      <c r="F106" s="13">
        <f>((((VLOOKUP(B106,Database!$A:$AS,MATCH($F$1,Database!$A$1:$AS$1,),))))-(((VLOOKUP(EDATE(B106,-12),Database!$A:$AS,MATCH($F$1,Database!$A$1:$AS$1,),)))))/(((VLOOKUP(EDATE(B106,-12),Database!$A:$AS,MATCH($F$1,Database!$A$1:$AS$1,),))))</f>
        <v/>
      </c>
      <c r="G106" s="13">
        <f>((((VLOOKUP(B106,Database!$A:$AS,MATCH($G$1,Database!$A$1:$AS$1,),))))-(((VLOOKUP(EDATE(B106,-12),Database!$A:$AS,MATCH($G$1,Database!$A$1:$AS$1,),)))))/(((VLOOKUP(EDATE(B106,-12),Database!$A:$AS,MATCH($G$1,Database!$A$1:$AS$1,),))))</f>
        <v/>
      </c>
      <c r="H106" s="13">
        <f>((((VLOOKUP(B106,Database!$A:$AS,MATCH($H$1,Database!$A$1:$AS$1,),))))-(((VLOOKUP(EDATE(B106,-12),Database!$A:$AS,MATCH($H$1,Database!$A$1:$AS$1,),)))))/(((VLOOKUP(EDATE(B106,-12),Database!$A:$AS,MATCH($H$1,Database!$A$1:$AS$1,),))))</f>
        <v/>
      </c>
      <c r="I106" s="13">
        <f>((((VLOOKUP(B106,Database!$A:$AS,MATCH($I$1,Database!$A$1:$AS$1,),))))-(((VLOOKUP(EDATE(B106,-12),Database!$A:$AS,MATCH($I$1,Database!$A$1:$AS$1,),)))))/(((VLOOKUP(EDATE(B106,-12),Database!$A:$AS,MATCH($I$1,Database!$A$1:$AS$1,),))))</f>
        <v/>
      </c>
      <c r="J106" s="13">
        <f>((((VLOOKUP(B106,Database!$A:$AS,MATCH($J$1,Database!$A$1:$AS$1,),))))-(((VLOOKUP(EDATE(B106,-12),Database!$A:$AS,MATCH($J$1,Database!$A$1:$AS$1,),)))))/(((VLOOKUP(EDATE(B106,-12),Database!$A:$AS,MATCH($J$1,Database!$A$1:$AS$1,),))))</f>
        <v/>
      </c>
      <c r="K106" s="13">
        <f>((((VLOOKUP(B106,Database!$A:$AS,MATCH($K$1,Database!$A$1:$AS$1,),))))-(((VLOOKUP(EDATE(B106,-12),Database!$A:$AS,MATCH($K$1,Database!$A$1:$AS$1,),)))))/(((VLOOKUP(EDATE(B106,-12),Database!$A:$AS,MATCH($K$1,Database!$A$1:$AS$1,),))))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((((VLOOKUP(B106,Database!$A:$AS,MATCH($O$1,Database!$A$1:$AS$1,),))))-(((VLOOKUP(EDATE(B106,-12),Database!$A:$AS,MATCH($O$1,Database!$A$1:$AS$1,),)))))/(((VLOOKUP(EDATE(B106,-12),Database!$A:$AS,MATCH($O$1,Database!$A$1:$AS$1,),))))</f>
        <v/>
      </c>
      <c r="P106" s="13">
        <f>((((VLOOKUP(B106,Database!$A:$AS,MATCH($P$1,Database!$A$1:$AS$1,),))))-(((VLOOKUP(EDATE(B106,-12),Database!$A:$AS,MATCH($P$1,Database!$A$1:$AS$1,),)))))/(((VLOOKUP(EDATE(B106,-12),Database!$A:$AS,MATCH($P$1,Database!$A$1:$AS$1,),))))</f>
        <v/>
      </c>
      <c r="Q106" s="13">
        <f>((((VLOOKUP(B106,Database!$A:$AS,MATCH($Q$1,Database!$A$1:$AS$1,),))))-(((VLOOKUP(EDATE(B106,-12),Database!$A:$AS,MATCH($Q$1,Database!$A$1:$AS$1,),)))))/(((VLOOKUP(EDATE(B106,-12),Database!$A:$AS,MATCH($Q$1,Database!$A$1:$AS$1,),))))</f>
        <v/>
      </c>
      <c r="R106" s="13">
        <f>((((VLOOKUP(B106,Database!$A:$AS,MATCH($R$1,Database!$A$1:$AS$1,),))))-(((VLOOKUP(EDATE(B106,-12),Database!$A:$AS,MATCH($R$1,Database!$A$1:$AS$1,),)))))/(((VLOOKUP(EDATE(B106,-12),Database!$A:$AS,MATCH($R$1,Database!$A$1:$AS$1,),))))</f>
        <v/>
      </c>
      <c r="S106" s="13">
        <f>((((VLOOKUP(B106,Database!$A:$AS,MATCH($S$1,Database!$A$1:$AS$1,),))))-(((VLOOKUP(EDATE(B106,-12),Database!$A:$AS,MATCH($S$1,Database!$A$1:$AS$1,),)))))/(((VLOOKUP(EDATE(B106,-12),Database!$A:$AS,MATCH($S$1,Database!$A$1:$AS$1,),))))</f>
        <v/>
      </c>
      <c r="T106" s="13">
        <f>((((VLOOKUP(B106,Database!$A:$AS,MATCH($T$1,Database!$A$1:$AS$1,),))))-(((VLOOKUP(EDATE(B106,-12),Database!$A:$AS,MATCH($T$1,Database!$A$1:$AS$1,),)))))/(((VLOOKUP(EDATE(B106,-12),Database!$A:$AS,MATCH($T$1,Database!$A$1:$AS$1,),))))</f>
        <v/>
      </c>
      <c r="U106" s="13">
        <f>((((VLOOKUP(B106,Database!$A:$AS,MATCH($U$1,Database!$A$1:$AS$1,),))))-(((VLOOKUP(EDATE(B106,-12),Database!$A:$AS,MATCH($U$1,Database!$A$1:$AS$1,),)))))/(((VLOOKUP(EDATE(B106,-12),Database!$A:$AS,MATCH($U$1,Database!$A$1:$AS$1,),))))</f>
        <v/>
      </c>
      <c r="V106" s="13">
        <f>((((VLOOKUP(B106,Database!$A:$AS,MATCH($V$1,Database!$A$1:$AS$1,),))))-(((VLOOKUP(EDATE(B106,-12),Database!$A:$AS,MATCH($V$1,Database!$A$1:$AS$1,),)))))/(((VLOOKUP(EDATE(B106,-12),Database!$A:$AS,MATCH($V$1,Database!$A$1:$AS$1,),))))</f>
        <v/>
      </c>
    </row>
    <row r="107" customFormat="1" s="94">
      <c r="A107" s="44" t="n"/>
      <c r="B107" s="85" t="n">
        <v>35400</v>
      </c>
      <c r="C107" s="13">
        <f>((((VLOOKUP(B107,Database!$A:$AS,MATCH($C$1,Database!$A$1:$AS$1,),))))-(((VLOOKUP(EDATE(B107,-12),Database!$A:$AS,MATCH($C$1,Database!$A$1:$AS$1,),)))))/(((VLOOKUP(EDATE(B107,-12),Database!$A:$AS,MATCH($C$1,Database!$A$1:$AS$1,),))))</f>
        <v/>
      </c>
      <c r="D107" s="13">
        <f>((((VLOOKUP(B107,Database!$A:$AS,MATCH($D$1,Database!$A$1:$AS$1,),))))-(((VLOOKUP(EDATE(B107,-12),Database!$A:$AS,MATCH($D$1,Database!$A$1:$AS$1,),)))))/(((VLOOKUP(EDATE(B107,-12),Database!$A:$AS,MATCH($D$1,Database!$A$1:$AS$1,),))))</f>
        <v/>
      </c>
      <c r="E107" s="13">
        <f>((((VLOOKUP(B107,Database!$A:$AS,MATCH($E$1,Database!$A$1:$AS$1,),))))-(((VLOOKUP(EDATE(B107,-12),Database!$A:$AS,MATCH($E$1,Database!$A$1:$AS$1,),)))))/(((VLOOKUP(EDATE(B107,-12),Database!$A:$AS,MATCH($E$1,Database!$A$1:$AS$1,),))))</f>
        <v/>
      </c>
      <c r="F107" s="13">
        <f>((((VLOOKUP(B107,Database!$A:$AS,MATCH($F$1,Database!$A$1:$AS$1,),))))-(((VLOOKUP(EDATE(B107,-12),Database!$A:$AS,MATCH($F$1,Database!$A$1:$AS$1,),)))))/(((VLOOKUP(EDATE(B107,-12),Database!$A:$AS,MATCH($F$1,Database!$A$1:$AS$1,),))))</f>
        <v/>
      </c>
      <c r="G107" s="13">
        <f>((((VLOOKUP(B107,Database!$A:$AS,MATCH($G$1,Database!$A$1:$AS$1,),))))-(((VLOOKUP(EDATE(B107,-12),Database!$A:$AS,MATCH($G$1,Database!$A$1:$AS$1,),)))))/(((VLOOKUP(EDATE(B107,-12),Database!$A:$AS,MATCH($G$1,Database!$A$1:$AS$1,),))))</f>
        <v/>
      </c>
      <c r="H107" s="13">
        <f>((((VLOOKUP(B107,Database!$A:$AS,MATCH($H$1,Database!$A$1:$AS$1,),))))-(((VLOOKUP(EDATE(B107,-12),Database!$A:$AS,MATCH($H$1,Database!$A$1:$AS$1,),)))))/(((VLOOKUP(EDATE(B107,-12),Database!$A:$AS,MATCH($H$1,Database!$A$1:$AS$1,),))))</f>
        <v/>
      </c>
      <c r="I107" s="13">
        <f>((((VLOOKUP(B107,Database!$A:$AS,MATCH($I$1,Database!$A$1:$AS$1,),))))-(((VLOOKUP(EDATE(B107,-12),Database!$A:$AS,MATCH($I$1,Database!$A$1:$AS$1,),)))))/(((VLOOKUP(EDATE(B107,-12),Database!$A:$AS,MATCH($I$1,Database!$A$1:$AS$1,),))))</f>
        <v/>
      </c>
      <c r="J107" s="13">
        <f>((((VLOOKUP(B107,Database!$A:$AS,MATCH($J$1,Database!$A$1:$AS$1,),))))-(((VLOOKUP(EDATE(B107,-12),Database!$A:$AS,MATCH($J$1,Database!$A$1:$AS$1,),)))))/(((VLOOKUP(EDATE(B107,-12),Database!$A:$AS,MATCH($J$1,Database!$A$1:$AS$1,),))))</f>
        <v/>
      </c>
      <c r="K107" s="13">
        <f>((((VLOOKUP(B107,Database!$A:$AS,MATCH($K$1,Database!$A$1:$AS$1,),))))-(((VLOOKUP(EDATE(B107,-12),Database!$A:$AS,MATCH($K$1,Database!$A$1:$AS$1,),)))))/(((VLOOKUP(EDATE(B107,-12),Database!$A:$AS,MATCH($K$1,Database!$A$1:$AS$1,),))))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((((VLOOKUP(B107,Database!$A:$AS,MATCH($O$1,Database!$A$1:$AS$1,),))))-(((VLOOKUP(EDATE(B107,-12),Database!$A:$AS,MATCH($O$1,Database!$A$1:$AS$1,),)))))/(((VLOOKUP(EDATE(B107,-12),Database!$A:$AS,MATCH($O$1,Database!$A$1:$AS$1,),))))</f>
        <v/>
      </c>
      <c r="P107" s="13">
        <f>((((VLOOKUP(B107,Database!$A:$AS,MATCH($P$1,Database!$A$1:$AS$1,),))))-(((VLOOKUP(EDATE(B107,-12),Database!$A:$AS,MATCH($P$1,Database!$A$1:$AS$1,),)))))/(((VLOOKUP(EDATE(B107,-12),Database!$A:$AS,MATCH($P$1,Database!$A$1:$AS$1,),))))</f>
        <v/>
      </c>
      <c r="Q107" s="13">
        <f>((((VLOOKUP(B107,Database!$A:$AS,MATCH($Q$1,Database!$A$1:$AS$1,),))))-(((VLOOKUP(EDATE(B107,-12),Database!$A:$AS,MATCH($Q$1,Database!$A$1:$AS$1,),)))))/(((VLOOKUP(EDATE(B107,-12),Database!$A:$AS,MATCH($Q$1,Database!$A$1:$AS$1,),))))</f>
        <v/>
      </c>
      <c r="R107" s="13">
        <f>((((VLOOKUP(B107,Database!$A:$AS,MATCH($R$1,Database!$A$1:$AS$1,),))))-(((VLOOKUP(EDATE(B107,-12),Database!$A:$AS,MATCH($R$1,Database!$A$1:$AS$1,),)))))/(((VLOOKUP(EDATE(B107,-12),Database!$A:$AS,MATCH($R$1,Database!$A$1:$AS$1,),))))</f>
        <v/>
      </c>
      <c r="S107" s="13">
        <f>((((VLOOKUP(B107,Database!$A:$AS,MATCH($S$1,Database!$A$1:$AS$1,),))))-(((VLOOKUP(EDATE(B107,-12),Database!$A:$AS,MATCH($S$1,Database!$A$1:$AS$1,),)))))/(((VLOOKUP(EDATE(B107,-12),Database!$A:$AS,MATCH($S$1,Database!$A$1:$AS$1,),))))</f>
        <v/>
      </c>
      <c r="T107" s="13">
        <f>((((VLOOKUP(B107,Database!$A:$AS,MATCH($T$1,Database!$A$1:$AS$1,),))))-(((VLOOKUP(EDATE(B107,-12),Database!$A:$AS,MATCH($T$1,Database!$A$1:$AS$1,),)))))/(((VLOOKUP(EDATE(B107,-12),Database!$A:$AS,MATCH($T$1,Database!$A$1:$AS$1,),))))</f>
        <v/>
      </c>
      <c r="U107" s="13">
        <f>((((VLOOKUP(B107,Database!$A:$AS,MATCH($U$1,Database!$A$1:$AS$1,),))))-(((VLOOKUP(EDATE(B107,-12),Database!$A:$AS,MATCH($U$1,Database!$A$1:$AS$1,),)))))/(((VLOOKUP(EDATE(B107,-12),Database!$A:$AS,MATCH($U$1,Database!$A$1:$AS$1,),))))</f>
        <v/>
      </c>
      <c r="V107" s="13">
        <f>((((VLOOKUP(B107,Database!$A:$AS,MATCH($V$1,Database!$A$1:$AS$1,),))))-(((VLOOKUP(EDATE(B107,-12),Database!$A:$AS,MATCH($V$1,Database!$A$1:$AS$1,),)))))/(((VLOOKUP(EDATE(B107,-12),Database!$A:$AS,MATCH($V$1,Database!$A$1:$AS$1,),))))</f>
        <v/>
      </c>
    </row>
    <row r="108" customFormat="1" s="94">
      <c r="A108" s="44" t="n"/>
      <c r="B108" s="85" t="n">
        <v>35431</v>
      </c>
      <c r="C108" s="13">
        <f>((((VLOOKUP(B108,Database!$A:$AS,MATCH($C$1,Database!$A$1:$AS$1,),))))-(((VLOOKUP(EDATE(B108,-12),Database!$A:$AS,MATCH($C$1,Database!$A$1:$AS$1,),)))))/(((VLOOKUP(EDATE(B108,-12),Database!$A:$AS,MATCH($C$1,Database!$A$1:$AS$1,),))))</f>
        <v/>
      </c>
      <c r="D108" s="13">
        <f>((((VLOOKUP(B108,Database!$A:$AS,MATCH($D$1,Database!$A$1:$AS$1,),))))-(((VLOOKUP(EDATE(B108,-12),Database!$A:$AS,MATCH($D$1,Database!$A$1:$AS$1,),)))))/(((VLOOKUP(EDATE(B108,-12),Database!$A:$AS,MATCH($D$1,Database!$A$1:$AS$1,),))))</f>
        <v/>
      </c>
      <c r="E108" s="13">
        <f>((((VLOOKUP(B108,Database!$A:$AS,MATCH($E$1,Database!$A$1:$AS$1,),))))-(((VLOOKUP(EDATE(B108,-12),Database!$A:$AS,MATCH($E$1,Database!$A$1:$AS$1,),)))))/(((VLOOKUP(EDATE(B108,-12),Database!$A:$AS,MATCH($E$1,Database!$A$1:$AS$1,),))))</f>
        <v/>
      </c>
      <c r="F108" s="13">
        <f>((((VLOOKUP(B108,Database!$A:$AS,MATCH($F$1,Database!$A$1:$AS$1,),))))-(((VLOOKUP(EDATE(B108,-12),Database!$A:$AS,MATCH($F$1,Database!$A$1:$AS$1,),)))))/(((VLOOKUP(EDATE(B108,-12),Database!$A:$AS,MATCH($F$1,Database!$A$1:$AS$1,),))))</f>
        <v/>
      </c>
      <c r="G108" s="13">
        <f>((((VLOOKUP(B108,Database!$A:$AS,MATCH($G$1,Database!$A$1:$AS$1,),))))-(((VLOOKUP(EDATE(B108,-12),Database!$A:$AS,MATCH($G$1,Database!$A$1:$AS$1,),)))))/(((VLOOKUP(EDATE(B108,-12),Database!$A:$AS,MATCH($G$1,Database!$A$1:$AS$1,),))))</f>
        <v/>
      </c>
      <c r="H108" s="13">
        <f>((((VLOOKUP(B108,Database!$A:$AS,MATCH($H$1,Database!$A$1:$AS$1,),))))-(((VLOOKUP(EDATE(B108,-12),Database!$A:$AS,MATCH($H$1,Database!$A$1:$AS$1,),)))))/(((VLOOKUP(EDATE(B108,-12),Database!$A:$AS,MATCH($H$1,Database!$A$1:$AS$1,),))))</f>
        <v/>
      </c>
      <c r="I108" s="13">
        <f>((((VLOOKUP(B108,Database!$A:$AS,MATCH($I$1,Database!$A$1:$AS$1,),))))-(((VLOOKUP(EDATE(B108,-12),Database!$A:$AS,MATCH($I$1,Database!$A$1:$AS$1,),)))))/(((VLOOKUP(EDATE(B108,-12),Database!$A:$AS,MATCH($I$1,Database!$A$1:$AS$1,),))))</f>
        <v/>
      </c>
      <c r="J108" s="13">
        <f>((((VLOOKUP(B108,Database!$A:$AS,MATCH($J$1,Database!$A$1:$AS$1,),))))-(((VLOOKUP(EDATE(B108,-12),Database!$A:$AS,MATCH($J$1,Database!$A$1:$AS$1,),)))))/(((VLOOKUP(EDATE(B108,-12),Database!$A:$AS,MATCH($J$1,Database!$A$1:$AS$1,),))))</f>
        <v/>
      </c>
      <c r="K108" s="13">
        <f>((((VLOOKUP(B108,Database!$A:$AS,MATCH($K$1,Database!$A$1:$AS$1,),))))-(((VLOOKUP(EDATE(B108,-12),Database!$A:$AS,MATCH($K$1,Database!$A$1:$AS$1,),)))))/(((VLOOKUP(EDATE(B108,-12),Database!$A:$AS,MATCH($K$1,Database!$A$1:$AS$1,),))))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((((VLOOKUP(B108,Database!$A:$AS,MATCH($O$1,Database!$A$1:$AS$1,),))))-(((VLOOKUP(EDATE(B108,-12),Database!$A:$AS,MATCH($O$1,Database!$A$1:$AS$1,),)))))/(((VLOOKUP(EDATE(B108,-12),Database!$A:$AS,MATCH($O$1,Database!$A$1:$AS$1,),))))</f>
        <v/>
      </c>
      <c r="P108" s="13">
        <f>((((VLOOKUP(B108,Database!$A:$AS,MATCH($P$1,Database!$A$1:$AS$1,),))))-(((VLOOKUP(EDATE(B108,-12),Database!$A:$AS,MATCH($P$1,Database!$A$1:$AS$1,),)))))/(((VLOOKUP(EDATE(B108,-12),Database!$A:$AS,MATCH($P$1,Database!$A$1:$AS$1,),))))</f>
        <v/>
      </c>
      <c r="Q108" s="13">
        <f>((((VLOOKUP(B108,Database!$A:$AS,MATCH($Q$1,Database!$A$1:$AS$1,),))))-(((VLOOKUP(EDATE(B108,-12),Database!$A:$AS,MATCH($Q$1,Database!$A$1:$AS$1,),)))))/(((VLOOKUP(EDATE(B108,-12),Database!$A:$AS,MATCH($Q$1,Database!$A$1:$AS$1,),))))</f>
        <v/>
      </c>
      <c r="R108" s="13">
        <f>((((VLOOKUP(B108,Database!$A:$AS,MATCH($R$1,Database!$A$1:$AS$1,),))))-(((VLOOKUP(EDATE(B108,-12),Database!$A:$AS,MATCH($R$1,Database!$A$1:$AS$1,),)))))/(((VLOOKUP(EDATE(B108,-12),Database!$A:$AS,MATCH($R$1,Database!$A$1:$AS$1,),))))</f>
        <v/>
      </c>
      <c r="S108" s="13">
        <f>((((VLOOKUP(B108,Database!$A:$AS,MATCH($S$1,Database!$A$1:$AS$1,),))))-(((VLOOKUP(EDATE(B108,-12),Database!$A:$AS,MATCH($S$1,Database!$A$1:$AS$1,),)))))/(((VLOOKUP(EDATE(B108,-12),Database!$A:$AS,MATCH($S$1,Database!$A$1:$AS$1,),))))</f>
        <v/>
      </c>
      <c r="T108" s="13">
        <f>((((VLOOKUP(B108,Database!$A:$AS,MATCH($T$1,Database!$A$1:$AS$1,),))))-(((VLOOKUP(EDATE(B108,-12),Database!$A:$AS,MATCH($T$1,Database!$A$1:$AS$1,),)))))/(((VLOOKUP(EDATE(B108,-12),Database!$A:$AS,MATCH($T$1,Database!$A$1:$AS$1,),))))</f>
        <v/>
      </c>
      <c r="U108" s="13">
        <f>((((VLOOKUP(B108,Database!$A:$AS,MATCH($U$1,Database!$A$1:$AS$1,),))))-(((VLOOKUP(EDATE(B108,-12),Database!$A:$AS,MATCH($U$1,Database!$A$1:$AS$1,),)))))/(((VLOOKUP(EDATE(B108,-12),Database!$A:$AS,MATCH($U$1,Database!$A$1:$AS$1,),))))</f>
        <v/>
      </c>
      <c r="V108" s="13">
        <f>((((VLOOKUP(B108,Database!$A:$AS,MATCH($V$1,Database!$A$1:$AS$1,),))))-(((VLOOKUP(EDATE(B108,-12),Database!$A:$AS,MATCH($V$1,Database!$A$1:$AS$1,),)))))/(((VLOOKUP(EDATE(B108,-12),Database!$A:$AS,MATCH($V$1,Database!$A$1:$AS$1,),))))</f>
        <v/>
      </c>
    </row>
    <row r="109" customFormat="1" s="94">
      <c r="A109" s="44" t="n"/>
      <c r="B109" s="85" t="n">
        <v>35462</v>
      </c>
      <c r="C109" s="13">
        <f>((((VLOOKUP(B109,Database!$A:$AS,MATCH($C$1,Database!$A$1:$AS$1,),))))-(((VLOOKUP(EDATE(B109,-12),Database!$A:$AS,MATCH($C$1,Database!$A$1:$AS$1,),)))))/(((VLOOKUP(EDATE(B109,-12),Database!$A:$AS,MATCH($C$1,Database!$A$1:$AS$1,),))))</f>
        <v/>
      </c>
      <c r="D109" s="13">
        <f>((((VLOOKUP(B109,Database!$A:$AS,MATCH($D$1,Database!$A$1:$AS$1,),))))-(((VLOOKUP(EDATE(B109,-12),Database!$A:$AS,MATCH($D$1,Database!$A$1:$AS$1,),)))))/(((VLOOKUP(EDATE(B109,-12),Database!$A:$AS,MATCH($D$1,Database!$A$1:$AS$1,),))))</f>
        <v/>
      </c>
      <c r="E109" s="13">
        <f>((((VLOOKUP(B109,Database!$A:$AS,MATCH($E$1,Database!$A$1:$AS$1,),))))-(((VLOOKUP(EDATE(B109,-12),Database!$A:$AS,MATCH($E$1,Database!$A$1:$AS$1,),)))))/(((VLOOKUP(EDATE(B109,-12),Database!$A:$AS,MATCH($E$1,Database!$A$1:$AS$1,),))))</f>
        <v/>
      </c>
      <c r="F109" s="13">
        <f>((((VLOOKUP(B109,Database!$A:$AS,MATCH($F$1,Database!$A$1:$AS$1,),))))-(((VLOOKUP(EDATE(B109,-12),Database!$A:$AS,MATCH($F$1,Database!$A$1:$AS$1,),)))))/(((VLOOKUP(EDATE(B109,-12),Database!$A:$AS,MATCH($F$1,Database!$A$1:$AS$1,),))))</f>
        <v/>
      </c>
      <c r="G109" s="13">
        <f>((((VLOOKUP(B109,Database!$A:$AS,MATCH($G$1,Database!$A$1:$AS$1,),))))-(((VLOOKUP(EDATE(B109,-12),Database!$A:$AS,MATCH($G$1,Database!$A$1:$AS$1,),)))))/(((VLOOKUP(EDATE(B109,-12),Database!$A:$AS,MATCH($G$1,Database!$A$1:$AS$1,),))))</f>
        <v/>
      </c>
      <c r="H109" s="13">
        <f>((((VLOOKUP(B109,Database!$A:$AS,MATCH($H$1,Database!$A$1:$AS$1,),))))-(((VLOOKUP(EDATE(B109,-12),Database!$A:$AS,MATCH($H$1,Database!$A$1:$AS$1,),)))))/(((VLOOKUP(EDATE(B109,-12),Database!$A:$AS,MATCH($H$1,Database!$A$1:$AS$1,),))))</f>
        <v/>
      </c>
      <c r="I109" s="13">
        <f>((((VLOOKUP(B109,Database!$A:$AS,MATCH($I$1,Database!$A$1:$AS$1,),))))-(((VLOOKUP(EDATE(B109,-12),Database!$A:$AS,MATCH($I$1,Database!$A$1:$AS$1,),)))))/(((VLOOKUP(EDATE(B109,-12),Database!$A:$AS,MATCH($I$1,Database!$A$1:$AS$1,),))))</f>
        <v/>
      </c>
      <c r="J109" s="13">
        <f>((((VLOOKUP(B109,Database!$A:$AS,MATCH($J$1,Database!$A$1:$AS$1,),))))-(((VLOOKUP(EDATE(B109,-12),Database!$A:$AS,MATCH($J$1,Database!$A$1:$AS$1,),)))))/(((VLOOKUP(EDATE(B109,-12),Database!$A:$AS,MATCH($J$1,Database!$A$1:$AS$1,),))))</f>
        <v/>
      </c>
      <c r="K109" s="13">
        <f>((((VLOOKUP(B109,Database!$A:$AS,MATCH($K$1,Database!$A$1:$AS$1,),))))-(((VLOOKUP(EDATE(B109,-12),Database!$A:$AS,MATCH($K$1,Database!$A$1:$AS$1,),)))))/(((VLOOKUP(EDATE(B109,-12),Database!$A:$AS,MATCH($K$1,Database!$A$1:$AS$1,),))))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((((VLOOKUP(B109,Database!$A:$AS,MATCH($O$1,Database!$A$1:$AS$1,),))))-(((VLOOKUP(EDATE(B109,-12),Database!$A:$AS,MATCH($O$1,Database!$A$1:$AS$1,),)))))/(((VLOOKUP(EDATE(B109,-12),Database!$A:$AS,MATCH($O$1,Database!$A$1:$AS$1,),))))</f>
        <v/>
      </c>
      <c r="P109" s="13">
        <f>((((VLOOKUP(B109,Database!$A:$AS,MATCH($P$1,Database!$A$1:$AS$1,),))))-(((VLOOKUP(EDATE(B109,-12),Database!$A:$AS,MATCH($P$1,Database!$A$1:$AS$1,),)))))/(((VLOOKUP(EDATE(B109,-12),Database!$A:$AS,MATCH($P$1,Database!$A$1:$AS$1,),))))</f>
        <v/>
      </c>
      <c r="Q109" s="13">
        <f>((((VLOOKUP(B109,Database!$A:$AS,MATCH($Q$1,Database!$A$1:$AS$1,),))))-(((VLOOKUP(EDATE(B109,-12),Database!$A:$AS,MATCH($Q$1,Database!$A$1:$AS$1,),)))))/(((VLOOKUP(EDATE(B109,-12),Database!$A:$AS,MATCH($Q$1,Database!$A$1:$AS$1,),))))</f>
        <v/>
      </c>
      <c r="R109" s="13">
        <f>((((VLOOKUP(B109,Database!$A:$AS,MATCH($R$1,Database!$A$1:$AS$1,),))))-(((VLOOKUP(EDATE(B109,-12),Database!$A:$AS,MATCH($R$1,Database!$A$1:$AS$1,),)))))/(((VLOOKUP(EDATE(B109,-12),Database!$A:$AS,MATCH($R$1,Database!$A$1:$AS$1,),))))</f>
        <v/>
      </c>
      <c r="S109" s="13">
        <f>((((VLOOKUP(B109,Database!$A:$AS,MATCH($S$1,Database!$A$1:$AS$1,),))))-(((VLOOKUP(EDATE(B109,-12),Database!$A:$AS,MATCH($S$1,Database!$A$1:$AS$1,),)))))/(((VLOOKUP(EDATE(B109,-12),Database!$A:$AS,MATCH($S$1,Database!$A$1:$AS$1,),))))</f>
        <v/>
      </c>
      <c r="T109" s="13">
        <f>((((VLOOKUP(B109,Database!$A:$AS,MATCH($T$1,Database!$A$1:$AS$1,),))))-(((VLOOKUP(EDATE(B109,-12),Database!$A:$AS,MATCH($T$1,Database!$A$1:$AS$1,),)))))/(((VLOOKUP(EDATE(B109,-12),Database!$A:$AS,MATCH($T$1,Database!$A$1:$AS$1,),))))</f>
        <v/>
      </c>
      <c r="U109" s="13">
        <f>((((VLOOKUP(B109,Database!$A:$AS,MATCH($U$1,Database!$A$1:$AS$1,),))))-(((VLOOKUP(EDATE(B109,-12),Database!$A:$AS,MATCH($U$1,Database!$A$1:$AS$1,),)))))/(((VLOOKUP(EDATE(B109,-12),Database!$A:$AS,MATCH($U$1,Database!$A$1:$AS$1,),))))</f>
        <v/>
      </c>
      <c r="V109" s="13">
        <f>((((VLOOKUP(B109,Database!$A:$AS,MATCH($V$1,Database!$A$1:$AS$1,),))))-(((VLOOKUP(EDATE(B109,-12),Database!$A:$AS,MATCH($V$1,Database!$A$1:$AS$1,),)))))/(((VLOOKUP(EDATE(B109,-12),Database!$A:$AS,MATCH($V$1,Database!$A$1:$AS$1,),))))</f>
        <v/>
      </c>
    </row>
    <row r="110" customFormat="1" s="94">
      <c r="A110" s="44" t="n"/>
      <c r="B110" s="85" t="n">
        <v>35490</v>
      </c>
      <c r="C110" s="13">
        <f>((((VLOOKUP(B110,Database!$A:$AS,MATCH($C$1,Database!$A$1:$AS$1,),))))-(((VLOOKUP(EDATE(B110,-12),Database!$A:$AS,MATCH($C$1,Database!$A$1:$AS$1,),)))))/(((VLOOKUP(EDATE(B110,-12),Database!$A:$AS,MATCH($C$1,Database!$A$1:$AS$1,),))))</f>
        <v/>
      </c>
      <c r="D110" s="13">
        <f>((((VLOOKUP(B110,Database!$A:$AS,MATCH($D$1,Database!$A$1:$AS$1,),))))-(((VLOOKUP(EDATE(B110,-12),Database!$A:$AS,MATCH($D$1,Database!$A$1:$AS$1,),)))))/(((VLOOKUP(EDATE(B110,-12),Database!$A:$AS,MATCH($D$1,Database!$A$1:$AS$1,),))))</f>
        <v/>
      </c>
      <c r="E110" s="13">
        <f>((((VLOOKUP(B110,Database!$A:$AS,MATCH($E$1,Database!$A$1:$AS$1,),))))-(((VLOOKUP(EDATE(B110,-12),Database!$A:$AS,MATCH($E$1,Database!$A$1:$AS$1,),)))))/(((VLOOKUP(EDATE(B110,-12),Database!$A:$AS,MATCH($E$1,Database!$A$1:$AS$1,),))))</f>
        <v/>
      </c>
      <c r="F110" s="13">
        <f>((((VLOOKUP(B110,Database!$A:$AS,MATCH($F$1,Database!$A$1:$AS$1,),))))-(((VLOOKUP(EDATE(B110,-12),Database!$A:$AS,MATCH($F$1,Database!$A$1:$AS$1,),)))))/(((VLOOKUP(EDATE(B110,-12),Database!$A:$AS,MATCH($F$1,Database!$A$1:$AS$1,),))))</f>
        <v/>
      </c>
      <c r="G110" s="13">
        <f>((((VLOOKUP(B110,Database!$A:$AS,MATCH($G$1,Database!$A$1:$AS$1,),))))-(((VLOOKUP(EDATE(B110,-12),Database!$A:$AS,MATCH($G$1,Database!$A$1:$AS$1,),)))))/(((VLOOKUP(EDATE(B110,-12),Database!$A:$AS,MATCH($G$1,Database!$A$1:$AS$1,),))))</f>
        <v/>
      </c>
      <c r="H110" s="13">
        <f>((((VLOOKUP(B110,Database!$A:$AS,MATCH($H$1,Database!$A$1:$AS$1,),))))-(((VLOOKUP(EDATE(B110,-12),Database!$A:$AS,MATCH($H$1,Database!$A$1:$AS$1,),)))))/(((VLOOKUP(EDATE(B110,-12),Database!$A:$AS,MATCH($H$1,Database!$A$1:$AS$1,),))))</f>
        <v/>
      </c>
      <c r="I110" s="13">
        <f>((((VLOOKUP(B110,Database!$A:$AS,MATCH($I$1,Database!$A$1:$AS$1,),))))-(((VLOOKUP(EDATE(B110,-12),Database!$A:$AS,MATCH($I$1,Database!$A$1:$AS$1,),)))))/(((VLOOKUP(EDATE(B110,-12),Database!$A:$AS,MATCH($I$1,Database!$A$1:$AS$1,),))))</f>
        <v/>
      </c>
      <c r="J110" s="13">
        <f>((((VLOOKUP(B110,Database!$A:$AS,MATCH($J$1,Database!$A$1:$AS$1,),))))-(((VLOOKUP(EDATE(B110,-12),Database!$A:$AS,MATCH($J$1,Database!$A$1:$AS$1,),)))))/(((VLOOKUP(EDATE(B110,-12),Database!$A:$AS,MATCH($J$1,Database!$A$1:$AS$1,),))))</f>
        <v/>
      </c>
      <c r="K110" s="13">
        <f>((((VLOOKUP(B110,Database!$A:$AS,MATCH($K$1,Database!$A$1:$AS$1,),))))-(((VLOOKUP(EDATE(B110,-12),Database!$A:$AS,MATCH($K$1,Database!$A$1:$AS$1,),)))))/(((VLOOKUP(EDATE(B110,-12),Database!$A:$AS,MATCH($K$1,Database!$A$1:$AS$1,),))))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((((VLOOKUP(B110,Database!$A:$AS,MATCH($O$1,Database!$A$1:$AS$1,),))))-(((VLOOKUP(EDATE(B110,-12),Database!$A:$AS,MATCH($O$1,Database!$A$1:$AS$1,),)))))/(((VLOOKUP(EDATE(B110,-12),Database!$A:$AS,MATCH($O$1,Database!$A$1:$AS$1,),))))</f>
        <v/>
      </c>
      <c r="P110" s="13">
        <f>((((VLOOKUP(B110,Database!$A:$AS,MATCH($P$1,Database!$A$1:$AS$1,),))))-(((VLOOKUP(EDATE(B110,-12),Database!$A:$AS,MATCH($P$1,Database!$A$1:$AS$1,),)))))/(((VLOOKUP(EDATE(B110,-12),Database!$A:$AS,MATCH($P$1,Database!$A$1:$AS$1,),))))</f>
        <v/>
      </c>
      <c r="Q110" s="13">
        <f>((((VLOOKUP(B110,Database!$A:$AS,MATCH($Q$1,Database!$A$1:$AS$1,),))))-(((VLOOKUP(EDATE(B110,-12),Database!$A:$AS,MATCH($Q$1,Database!$A$1:$AS$1,),)))))/(((VLOOKUP(EDATE(B110,-12),Database!$A:$AS,MATCH($Q$1,Database!$A$1:$AS$1,),))))</f>
        <v/>
      </c>
      <c r="R110" s="13">
        <f>((((VLOOKUP(B110,Database!$A:$AS,MATCH($R$1,Database!$A$1:$AS$1,),))))-(((VLOOKUP(EDATE(B110,-12),Database!$A:$AS,MATCH($R$1,Database!$A$1:$AS$1,),)))))/(((VLOOKUP(EDATE(B110,-12),Database!$A:$AS,MATCH($R$1,Database!$A$1:$AS$1,),))))</f>
        <v/>
      </c>
      <c r="S110" s="13">
        <f>((((VLOOKUP(B110,Database!$A:$AS,MATCH($S$1,Database!$A$1:$AS$1,),))))-(((VLOOKUP(EDATE(B110,-12),Database!$A:$AS,MATCH($S$1,Database!$A$1:$AS$1,),)))))/(((VLOOKUP(EDATE(B110,-12),Database!$A:$AS,MATCH($S$1,Database!$A$1:$AS$1,),))))</f>
        <v/>
      </c>
      <c r="T110" s="13">
        <f>((((VLOOKUP(B110,Database!$A:$AS,MATCH($T$1,Database!$A$1:$AS$1,),))))-(((VLOOKUP(EDATE(B110,-12),Database!$A:$AS,MATCH($T$1,Database!$A$1:$AS$1,),)))))/(((VLOOKUP(EDATE(B110,-12),Database!$A:$AS,MATCH($T$1,Database!$A$1:$AS$1,),))))</f>
        <v/>
      </c>
      <c r="U110" s="13">
        <f>((((VLOOKUP(B110,Database!$A:$AS,MATCH($U$1,Database!$A$1:$AS$1,),))))-(((VLOOKUP(EDATE(B110,-12),Database!$A:$AS,MATCH($U$1,Database!$A$1:$AS$1,),)))))/(((VLOOKUP(EDATE(B110,-12),Database!$A:$AS,MATCH($U$1,Database!$A$1:$AS$1,),))))</f>
        <v/>
      </c>
      <c r="V110" s="13">
        <f>((((VLOOKUP(B110,Database!$A:$AS,MATCH($V$1,Database!$A$1:$AS$1,),))))-(((VLOOKUP(EDATE(B110,-12),Database!$A:$AS,MATCH($V$1,Database!$A$1:$AS$1,),)))))/(((VLOOKUP(EDATE(B110,-12),Database!$A:$AS,MATCH($V$1,Database!$A$1:$AS$1,),))))</f>
        <v/>
      </c>
    </row>
    <row r="111" customFormat="1" s="94">
      <c r="A111" s="44" t="n"/>
      <c r="B111" s="85" t="n">
        <v>35521</v>
      </c>
      <c r="C111" s="13">
        <f>((((VLOOKUP(B111,Database!$A:$AS,MATCH($C$1,Database!$A$1:$AS$1,),))))-(((VLOOKUP(EDATE(B111,-12),Database!$A:$AS,MATCH($C$1,Database!$A$1:$AS$1,),)))))/(((VLOOKUP(EDATE(B111,-12),Database!$A:$AS,MATCH($C$1,Database!$A$1:$AS$1,),))))</f>
        <v/>
      </c>
      <c r="D111" s="13">
        <f>((((VLOOKUP(B111,Database!$A:$AS,MATCH($D$1,Database!$A$1:$AS$1,),))))-(((VLOOKUP(EDATE(B111,-12),Database!$A:$AS,MATCH($D$1,Database!$A$1:$AS$1,),)))))/(((VLOOKUP(EDATE(B111,-12),Database!$A:$AS,MATCH($D$1,Database!$A$1:$AS$1,),))))</f>
        <v/>
      </c>
      <c r="E111" s="13">
        <f>((((VLOOKUP(B111,Database!$A:$AS,MATCH($E$1,Database!$A$1:$AS$1,),))))-(((VLOOKUP(EDATE(B111,-12),Database!$A:$AS,MATCH($E$1,Database!$A$1:$AS$1,),)))))/(((VLOOKUP(EDATE(B111,-12),Database!$A:$AS,MATCH($E$1,Database!$A$1:$AS$1,),))))</f>
        <v/>
      </c>
      <c r="F111" s="13">
        <f>((((VLOOKUP(B111,Database!$A:$AS,MATCH($F$1,Database!$A$1:$AS$1,),))))-(((VLOOKUP(EDATE(B111,-12),Database!$A:$AS,MATCH($F$1,Database!$A$1:$AS$1,),)))))/(((VLOOKUP(EDATE(B111,-12),Database!$A:$AS,MATCH($F$1,Database!$A$1:$AS$1,),))))</f>
        <v/>
      </c>
      <c r="G111" s="13">
        <f>((((VLOOKUP(B111,Database!$A:$AS,MATCH($G$1,Database!$A$1:$AS$1,),))))-(((VLOOKUP(EDATE(B111,-12),Database!$A:$AS,MATCH($G$1,Database!$A$1:$AS$1,),)))))/(((VLOOKUP(EDATE(B111,-12),Database!$A:$AS,MATCH($G$1,Database!$A$1:$AS$1,),))))</f>
        <v/>
      </c>
      <c r="H111" s="13">
        <f>((((VLOOKUP(B111,Database!$A:$AS,MATCH($H$1,Database!$A$1:$AS$1,),))))-(((VLOOKUP(EDATE(B111,-12),Database!$A:$AS,MATCH($H$1,Database!$A$1:$AS$1,),)))))/(((VLOOKUP(EDATE(B111,-12),Database!$A:$AS,MATCH($H$1,Database!$A$1:$AS$1,),))))</f>
        <v/>
      </c>
      <c r="I111" s="13">
        <f>((((VLOOKUP(B111,Database!$A:$AS,MATCH($I$1,Database!$A$1:$AS$1,),))))-(((VLOOKUP(EDATE(B111,-12),Database!$A:$AS,MATCH($I$1,Database!$A$1:$AS$1,),)))))/(((VLOOKUP(EDATE(B111,-12),Database!$A:$AS,MATCH($I$1,Database!$A$1:$AS$1,),))))</f>
        <v/>
      </c>
      <c r="J111" s="13">
        <f>((((VLOOKUP(B111,Database!$A:$AS,MATCH($J$1,Database!$A$1:$AS$1,),))))-(((VLOOKUP(EDATE(B111,-12),Database!$A:$AS,MATCH($J$1,Database!$A$1:$AS$1,),)))))/(((VLOOKUP(EDATE(B111,-12),Database!$A:$AS,MATCH($J$1,Database!$A$1:$AS$1,),))))</f>
        <v/>
      </c>
      <c r="K111" s="13">
        <f>((((VLOOKUP(B111,Database!$A:$AS,MATCH($K$1,Database!$A$1:$AS$1,),))))-(((VLOOKUP(EDATE(B111,-12),Database!$A:$AS,MATCH($K$1,Database!$A$1:$AS$1,),)))))/(((VLOOKUP(EDATE(B111,-12),Database!$A:$AS,MATCH($K$1,Database!$A$1:$AS$1,),))))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((((VLOOKUP(B111,Database!$A:$AS,MATCH($O$1,Database!$A$1:$AS$1,),))))-(((VLOOKUP(EDATE(B111,-12),Database!$A:$AS,MATCH($O$1,Database!$A$1:$AS$1,),)))))/(((VLOOKUP(EDATE(B111,-12),Database!$A:$AS,MATCH($O$1,Database!$A$1:$AS$1,),))))</f>
        <v/>
      </c>
      <c r="P111" s="13">
        <f>((((VLOOKUP(B111,Database!$A:$AS,MATCH($P$1,Database!$A$1:$AS$1,),))))-(((VLOOKUP(EDATE(B111,-12),Database!$A:$AS,MATCH($P$1,Database!$A$1:$AS$1,),)))))/(((VLOOKUP(EDATE(B111,-12),Database!$A:$AS,MATCH($P$1,Database!$A$1:$AS$1,),))))</f>
        <v/>
      </c>
      <c r="Q111" s="13">
        <f>((((VLOOKUP(B111,Database!$A:$AS,MATCH($Q$1,Database!$A$1:$AS$1,),))))-(((VLOOKUP(EDATE(B111,-12),Database!$A:$AS,MATCH($Q$1,Database!$A$1:$AS$1,),)))))/(((VLOOKUP(EDATE(B111,-12),Database!$A:$AS,MATCH($Q$1,Database!$A$1:$AS$1,),))))</f>
        <v/>
      </c>
      <c r="R111" s="13">
        <f>((((VLOOKUP(B111,Database!$A:$AS,MATCH($R$1,Database!$A$1:$AS$1,),))))-(((VLOOKUP(EDATE(B111,-12),Database!$A:$AS,MATCH($R$1,Database!$A$1:$AS$1,),)))))/(((VLOOKUP(EDATE(B111,-12),Database!$A:$AS,MATCH($R$1,Database!$A$1:$AS$1,),))))</f>
        <v/>
      </c>
      <c r="S111" s="13">
        <f>((((VLOOKUP(B111,Database!$A:$AS,MATCH($S$1,Database!$A$1:$AS$1,),))))-(((VLOOKUP(EDATE(B111,-12),Database!$A:$AS,MATCH($S$1,Database!$A$1:$AS$1,),)))))/(((VLOOKUP(EDATE(B111,-12),Database!$A:$AS,MATCH($S$1,Database!$A$1:$AS$1,),))))</f>
        <v/>
      </c>
      <c r="T111" s="13">
        <f>((((VLOOKUP(B111,Database!$A:$AS,MATCH($T$1,Database!$A$1:$AS$1,),))))-(((VLOOKUP(EDATE(B111,-12),Database!$A:$AS,MATCH($T$1,Database!$A$1:$AS$1,),)))))/(((VLOOKUP(EDATE(B111,-12),Database!$A:$AS,MATCH($T$1,Database!$A$1:$AS$1,),))))</f>
        <v/>
      </c>
      <c r="U111" s="13">
        <f>((((VLOOKUP(B111,Database!$A:$AS,MATCH($U$1,Database!$A$1:$AS$1,),))))-(((VLOOKUP(EDATE(B111,-12),Database!$A:$AS,MATCH($U$1,Database!$A$1:$AS$1,),)))))/(((VLOOKUP(EDATE(B111,-12),Database!$A:$AS,MATCH($U$1,Database!$A$1:$AS$1,),))))</f>
        <v/>
      </c>
      <c r="V111" s="13">
        <f>((((VLOOKUP(B111,Database!$A:$AS,MATCH($V$1,Database!$A$1:$AS$1,),))))-(((VLOOKUP(EDATE(B111,-12),Database!$A:$AS,MATCH($V$1,Database!$A$1:$AS$1,),)))))/(((VLOOKUP(EDATE(B111,-12),Database!$A:$AS,MATCH($V$1,Database!$A$1:$AS$1,),))))</f>
        <v/>
      </c>
    </row>
    <row r="112" customFormat="1" s="94">
      <c r="A112" s="44" t="n"/>
      <c r="B112" s="85" t="n">
        <v>35551</v>
      </c>
      <c r="C112" s="13">
        <f>((((VLOOKUP(B112,Database!$A:$AS,MATCH($C$1,Database!$A$1:$AS$1,),))))-(((VLOOKUP(EDATE(B112,-12),Database!$A:$AS,MATCH($C$1,Database!$A$1:$AS$1,),)))))/(((VLOOKUP(EDATE(B112,-12),Database!$A:$AS,MATCH($C$1,Database!$A$1:$AS$1,),))))</f>
        <v/>
      </c>
      <c r="D112" s="13">
        <f>((((VLOOKUP(B112,Database!$A:$AS,MATCH($D$1,Database!$A$1:$AS$1,),))))-(((VLOOKUP(EDATE(B112,-12),Database!$A:$AS,MATCH($D$1,Database!$A$1:$AS$1,),)))))/(((VLOOKUP(EDATE(B112,-12),Database!$A:$AS,MATCH($D$1,Database!$A$1:$AS$1,),))))</f>
        <v/>
      </c>
      <c r="E112" s="13">
        <f>((((VLOOKUP(B112,Database!$A:$AS,MATCH($E$1,Database!$A$1:$AS$1,),))))-(((VLOOKUP(EDATE(B112,-12),Database!$A:$AS,MATCH($E$1,Database!$A$1:$AS$1,),)))))/(((VLOOKUP(EDATE(B112,-12),Database!$A:$AS,MATCH($E$1,Database!$A$1:$AS$1,),))))</f>
        <v/>
      </c>
      <c r="F112" s="13">
        <f>((((VLOOKUP(B112,Database!$A:$AS,MATCH($F$1,Database!$A$1:$AS$1,),))))-(((VLOOKUP(EDATE(B112,-12),Database!$A:$AS,MATCH($F$1,Database!$A$1:$AS$1,),)))))/(((VLOOKUP(EDATE(B112,-12),Database!$A:$AS,MATCH($F$1,Database!$A$1:$AS$1,),))))</f>
        <v/>
      </c>
      <c r="G112" s="13">
        <f>((((VLOOKUP(B112,Database!$A:$AS,MATCH($G$1,Database!$A$1:$AS$1,),))))-(((VLOOKUP(EDATE(B112,-12),Database!$A:$AS,MATCH($G$1,Database!$A$1:$AS$1,),)))))/(((VLOOKUP(EDATE(B112,-12),Database!$A:$AS,MATCH($G$1,Database!$A$1:$AS$1,),))))</f>
        <v/>
      </c>
      <c r="H112" s="13">
        <f>((((VLOOKUP(B112,Database!$A:$AS,MATCH($H$1,Database!$A$1:$AS$1,),))))-(((VLOOKUP(EDATE(B112,-12),Database!$A:$AS,MATCH($H$1,Database!$A$1:$AS$1,),)))))/(((VLOOKUP(EDATE(B112,-12),Database!$A:$AS,MATCH($H$1,Database!$A$1:$AS$1,),))))</f>
        <v/>
      </c>
      <c r="I112" s="13">
        <f>((((VLOOKUP(B112,Database!$A:$AS,MATCH($I$1,Database!$A$1:$AS$1,),))))-(((VLOOKUP(EDATE(B112,-12),Database!$A:$AS,MATCH($I$1,Database!$A$1:$AS$1,),)))))/(((VLOOKUP(EDATE(B112,-12),Database!$A:$AS,MATCH($I$1,Database!$A$1:$AS$1,),))))</f>
        <v/>
      </c>
      <c r="J112" s="13">
        <f>((((VLOOKUP(B112,Database!$A:$AS,MATCH($J$1,Database!$A$1:$AS$1,),))))-(((VLOOKUP(EDATE(B112,-12),Database!$A:$AS,MATCH($J$1,Database!$A$1:$AS$1,),)))))/(((VLOOKUP(EDATE(B112,-12),Database!$A:$AS,MATCH($J$1,Database!$A$1:$AS$1,),))))</f>
        <v/>
      </c>
      <c r="K112" s="13">
        <f>((((VLOOKUP(B112,Database!$A:$AS,MATCH($K$1,Database!$A$1:$AS$1,),))))-(((VLOOKUP(EDATE(B112,-12),Database!$A:$AS,MATCH($K$1,Database!$A$1:$AS$1,),)))))/(((VLOOKUP(EDATE(B112,-12),Database!$A:$AS,MATCH($K$1,Database!$A$1:$AS$1,),))))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((((VLOOKUP(B112,Database!$A:$AS,MATCH($O$1,Database!$A$1:$AS$1,),))))-(((VLOOKUP(EDATE(B112,-12),Database!$A:$AS,MATCH($O$1,Database!$A$1:$AS$1,),)))))/(((VLOOKUP(EDATE(B112,-12),Database!$A:$AS,MATCH($O$1,Database!$A$1:$AS$1,),))))</f>
        <v/>
      </c>
      <c r="P112" s="13">
        <f>((((VLOOKUP(B112,Database!$A:$AS,MATCH($P$1,Database!$A$1:$AS$1,),))))-(((VLOOKUP(EDATE(B112,-12),Database!$A:$AS,MATCH($P$1,Database!$A$1:$AS$1,),)))))/(((VLOOKUP(EDATE(B112,-12),Database!$A:$AS,MATCH($P$1,Database!$A$1:$AS$1,),))))</f>
        <v/>
      </c>
      <c r="Q112" s="13">
        <f>((((VLOOKUP(B112,Database!$A:$AS,MATCH($Q$1,Database!$A$1:$AS$1,),))))-(((VLOOKUP(EDATE(B112,-12),Database!$A:$AS,MATCH($Q$1,Database!$A$1:$AS$1,),)))))/(((VLOOKUP(EDATE(B112,-12),Database!$A:$AS,MATCH($Q$1,Database!$A$1:$AS$1,),))))</f>
        <v/>
      </c>
      <c r="R112" s="13">
        <f>((((VLOOKUP(B112,Database!$A:$AS,MATCH($R$1,Database!$A$1:$AS$1,),))))-(((VLOOKUP(EDATE(B112,-12),Database!$A:$AS,MATCH($R$1,Database!$A$1:$AS$1,),)))))/(((VLOOKUP(EDATE(B112,-12),Database!$A:$AS,MATCH($R$1,Database!$A$1:$AS$1,),))))</f>
        <v/>
      </c>
      <c r="S112" s="13">
        <f>((((VLOOKUP(B112,Database!$A:$AS,MATCH($S$1,Database!$A$1:$AS$1,),))))-(((VLOOKUP(EDATE(B112,-12),Database!$A:$AS,MATCH($S$1,Database!$A$1:$AS$1,),)))))/(((VLOOKUP(EDATE(B112,-12),Database!$A:$AS,MATCH($S$1,Database!$A$1:$AS$1,),))))</f>
        <v/>
      </c>
      <c r="T112" s="13">
        <f>((((VLOOKUP(B112,Database!$A:$AS,MATCH($T$1,Database!$A$1:$AS$1,),))))-(((VLOOKUP(EDATE(B112,-12),Database!$A:$AS,MATCH($T$1,Database!$A$1:$AS$1,),)))))/(((VLOOKUP(EDATE(B112,-12),Database!$A:$AS,MATCH($T$1,Database!$A$1:$AS$1,),))))</f>
        <v/>
      </c>
      <c r="U112" s="13">
        <f>((((VLOOKUP(B112,Database!$A:$AS,MATCH($U$1,Database!$A$1:$AS$1,),))))-(((VLOOKUP(EDATE(B112,-12),Database!$A:$AS,MATCH($U$1,Database!$A$1:$AS$1,),)))))/(((VLOOKUP(EDATE(B112,-12),Database!$A:$AS,MATCH($U$1,Database!$A$1:$AS$1,),))))</f>
        <v/>
      </c>
      <c r="V112" s="13">
        <f>((((VLOOKUP(B112,Database!$A:$AS,MATCH($V$1,Database!$A$1:$AS$1,),))))-(((VLOOKUP(EDATE(B112,-12),Database!$A:$AS,MATCH($V$1,Database!$A$1:$AS$1,),)))))/(((VLOOKUP(EDATE(B112,-12),Database!$A:$AS,MATCH($V$1,Database!$A$1:$AS$1,),))))</f>
        <v/>
      </c>
    </row>
    <row r="113" customFormat="1" s="94">
      <c r="A113" s="44" t="n"/>
      <c r="B113" s="85" t="n">
        <v>35582</v>
      </c>
      <c r="C113" s="13">
        <f>((((VLOOKUP(B113,Database!$A:$AS,MATCH($C$1,Database!$A$1:$AS$1,),))))-(((VLOOKUP(EDATE(B113,-12),Database!$A:$AS,MATCH($C$1,Database!$A$1:$AS$1,),)))))/(((VLOOKUP(EDATE(B113,-12),Database!$A:$AS,MATCH($C$1,Database!$A$1:$AS$1,),))))</f>
        <v/>
      </c>
      <c r="D113" s="13">
        <f>((((VLOOKUP(B113,Database!$A:$AS,MATCH($D$1,Database!$A$1:$AS$1,),))))-(((VLOOKUP(EDATE(B113,-12),Database!$A:$AS,MATCH($D$1,Database!$A$1:$AS$1,),)))))/(((VLOOKUP(EDATE(B113,-12),Database!$A:$AS,MATCH($D$1,Database!$A$1:$AS$1,),))))</f>
        <v/>
      </c>
      <c r="E113" s="13">
        <f>((((VLOOKUP(B113,Database!$A:$AS,MATCH($E$1,Database!$A$1:$AS$1,),))))-(((VLOOKUP(EDATE(B113,-12),Database!$A:$AS,MATCH($E$1,Database!$A$1:$AS$1,),)))))/(((VLOOKUP(EDATE(B113,-12),Database!$A:$AS,MATCH($E$1,Database!$A$1:$AS$1,),))))</f>
        <v/>
      </c>
      <c r="F113" s="13">
        <f>((((VLOOKUP(B113,Database!$A:$AS,MATCH($F$1,Database!$A$1:$AS$1,),))))-(((VLOOKUP(EDATE(B113,-12),Database!$A:$AS,MATCH($F$1,Database!$A$1:$AS$1,),)))))/(((VLOOKUP(EDATE(B113,-12),Database!$A:$AS,MATCH($F$1,Database!$A$1:$AS$1,),))))</f>
        <v/>
      </c>
      <c r="G113" s="13">
        <f>((((VLOOKUP(B113,Database!$A:$AS,MATCH($G$1,Database!$A$1:$AS$1,),))))-(((VLOOKUP(EDATE(B113,-12),Database!$A:$AS,MATCH($G$1,Database!$A$1:$AS$1,),)))))/(((VLOOKUP(EDATE(B113,-12),Database!$A:$AS,MATCH($G$1,Database!$A$1:$AS$1,),))))</f>
        <v/>
      </c>
      <c r="H113" s="13">
        <f>((((VLOOKUP(B113,Database!$A:$AS,MATCH($H$1,Database!$A$1:$AS$1,),))))-(((VLOOKUP(EDATE(B113,-12),Database!$A:$AS,MATCH($H$1,Database!$A$1:$AS$1,),)))))/(((VLOOKUP(EDATE(B113,-12),Database!$A:$AS,MATCH($H$1,Database!$A$1:$AS$1,),))))</f>
        <v/>
      </c>
      <c r="I113" s="13">
        <f>((((VLOOKUP(B113,Database!$A:$AS,MATCH($I$1,Database!$A$1:$AS$1,),))))-(((VLOOKUP(EDATE(B113,-12),Database!$A:$AS,MATCH($I$1,Database!$A$1:$AS$1,),)))))/(((VLOOKUP(EDATE(B113,-12),Database!$A:$AS,MATCH($I$1,Database!$A$1:$AS$1,),))))</f>
        <v/>
      </c>
      <c r="J113" s="13">
        <f>((((VLOOKUP(B113,Database!$A:$AS,MATCH($J$1,Database!$A$1:$AS$1,),))))-(((VLOOKUP(EDATE(B113,-12),Database!$A:$AS,MATCH($J$1,Database!$A$1:$AS$1,),)))))/(((VLOOKUP(EDATE(B113,-12),Database!$A:$AS,MATCH($J$1,Database!$A$1:$AS$1,),))))</f>
        <v/>
      </c>
      <c r="K113" s="13">
        <f>((((VLOOKUP(B113,Database!$A:$AS,MATCH($K$1,Database!$A$1:$AS$1,),))))-(((VLOOKUP(EDATE(B113,-12),Database!$A:$AS,MATCH($K$1,Database!$A$1:$AS$1,),)))))/(((VLOOKUP(EDATE(B113,-12),Database!$A:$AS,MATCH($K$1,Database!$A$1:$AS$1,),))))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((((VLOOKUP(B113,Database!$A:$AS,MATCH($O$1,Database!$A$1:$AS$1,),))))-(((VLOOKUP(EDATE(B113,-12),Database!$A:$AS,MATCH($O$1,Database!$A$1:$AS$1,),)))))/(((VLOOKUP(EDATE(B113,-12),Database!$A:$AS,MATCH($O$1,Database!$A$1:$AS$1,),))))</f>
        <v/>
      </c>
      <c r="P113" s="13">
        <f>((((VLOOKUP(B113,Database!$A:$AS,MATCH($P$1,Database!$A$1:$AS$1,),))))-(((VLOOKUP(EDATE(B113,-12),Database!$A:$AS,MATCH($P$1,Database!$A$1:$AS$1,),)))))/(((VLOOKUP(EDATE(B113,-12),Database!$A:$AS,MATCH($P$1,Database!$A$1:$AS$1,),))))</f>
        <v/>
      </c>
      <c r="Q113" s="13">
        <f>((((VLOOKUP(B113,Database!$A:$AS,MATCH($Q$1,Database!$A$1:$AS$1,),))))-(((VLOOKUP(EDATE(B113,-12),Database!$A:$AS,MATCH($Q$1,Database!$A$1:$AS$1,),)))))/(((VLOOKUP(EDATE(B113,-12),Database!$A:$AS,MATCH($Q$1,Database!$A$1:$AS$1,),))))</f>
        <v/>
      </c>
      <c r="R113" s="13">
        <f>((((VLOOKUP(B113,Database!$A:$AS,MATCH($R$1,Database!$A$1:$AS$1,),))))-(((VLOOKUP(EDATE(B113,-12),Database!$A:$AS,MATCH($R$1,Database!$A$1:$AS$1,),)))))/(((VLOOKUP(EDATE(B113,-12),Database!$A:$AS,MATCH($R$1,Database!$A$1:$AS$1,),))))</f>
        <v/>
      </c>
      <c r="S113" s="13">
        <f>((((VLOOKUP(B113,Database!$A:$AS,MATCH($S$1,Database!$A$1:$AS$1,),))))-(((VLOOKUP(EDATE(B113,-12),Database!$A:$AS,MATCH($S$1,Database!$A$1:$AS$1,),)))))/(((VLOOKUP(EDATE(B113,-12),Database!$A:$AS,MATCH($S$1,Database!$A$1:$AS$1,),))))</f>
        <v/>
      </c>
      <c r="T113" s="13">
        <f>((((VLOOKUP(B113,Database!$A:$AS,MATCH($T$1,Database!$A$1:$AS$1,),))))-(((VLOOKUP(EDATE(B113,-12),Database!$A:$AS,MATCH($T$1,Database!$A$1:$AS$1,),)))))/(((VLOOKUP(EDATE(B113,-12),Database!$A:$AS,MATCH($T$1,Database!$A$1:$AS$1,),))))</f>
        <v/>
      </c>
      <c r="U113" s="13">
        <f>((((VLOOKUP(B113,Database!$A:$AS,MATCH($U$1,Database!$A$1:$AS$1,),))))-(((VLOOKUP(EDATE(B113,-12),Database!$A:$AS,MATCH($U$1,Database!$A$1:$AS$1,),)))))/(((VLOOKUP(EDATE(B113,-12),Database!$A:$AS,MATCH($U$1,Database!$A$1:$AS$1,),))))</f>
        <v/>
      </c>
      <c r="V113" s="13">
        <f>((((VLOOKUP(B113,Database!$A:$AS,MATCH($V$1,Database!$A$1:$AS$1,),))))-(((VLOOKUP(EDATE(B113,-12),Database!$A:$AS,MATCH($V$1,Database!$A$1:$AS$1,),)))))/(((VLOOKUP(EDATE(B113,-12),Database!$A:$AS,MATCH($V$1,Database!$A$1:$AS$1,),))))</f>
        <v/>
      </c>
    </row>
    <row r="114" customFormat="1" s="94">
      <c r="A114" s="44" t="n"/>
      <c r="B114" s="85" t="n">
        <v>35612</v>
      </c>
      <c r="C114" s="13">
        <f>((((VLOOKUP(B114,Database!$A:$AS,MATCH($C$1,Database!$A$1:$AS$1,),))))-(((VLOOKUP(EDATE(B114,-12),Database!$A:$AS,MATCH($C$1,Database!$A$1:$AS$1,),)))))/(((VLOOKUP(EDATE(B114,-12),Database!$A:$AS,MATCH($C$1,Database!$A$1:$AS$1,),))))</f>
        <v/>
      </c>
      <c r="D114" s="13">
        <f>((((VLOOKUP(B114,Database!$A:$AS,MATCH($D$1,Database!$A$1:$AS$1,),))))-(((VLOOKUP(EDATE(B114,-12),Database!$A:$AS,MATCH($D$1,Database!$A$1:$AS$1,),)))))/(((VLOOKUP(EDATE(B114,-12),Database!$A:$AS,MATCH($D$1,Database!$A$1:$AS$1,),))))</f>
        <v/>
      </c>
      <c r="E114" s="13">
        <f>((((VLOOKUP(B114,Database!$A:$AS,MATCH($E$1,Database!$A$1:$AS$1,),))))-(((VLOOKUP(EDATE(B114,-12),Database!$A:$AS,MATCH($E$1,Database!$A$1:$AS$1,),)))))/(((VLOOKUP(EDATE(B114,-12),Database!$A:$AS,MATCH($E$1,Database!$A$1:$AS$1,),))))</f>
        <v/>
      </c>
      <c r="F114" s="13">
        <f>((((VLOOKUP(B114,Database!$A:$AS,MATCH($F$1,Database!$A$1:$AS$1,),))))-(((VLOOKUP(EDATE(B114,-12),Database!$A:$AS,MATCH($F$1,Database!$A$1:$AS$1,),)))))/(((VLOOKUP(EDATE(B114,-12),Database!$A:$AS,MATCH($F$1,Database!$A$1:$AS$1,),))))</f>
        <v/>
      </c>
      <c r="G114" s="13">
        <f>((((VLOOKUP(B114,Database!$A:$AS,MATCH($G$1,Database!$A$1:$AS$1,),))))-(((VLOOKUP(EDATE(B114,-12),Database!$A:$AS,MATCH($G$1,Database!$A$1:$AS$1,),)))))/(((VLOOKUP(EDATE(B114,-12),Database!$A:$AS,MATCH($G$1,Database!$A$1:$AS$1,),))))</f>
        <v/>
      </c>
      <c r="H114" s="13">
        <f>((((VLOOKUP(B114,Database!$A:$AS,MATCH($H$1,Database!$A$1:$AS$1,),))))-(((VLOOKUP(EDATE(B114,-12),Database!$A:$AS,MATCH($H$1,Database!$A$1:$AS$1,),)))))/(((VLOOKUP(EDATE(B114,-12),Database!$A:$AS,MATCH($H$1,Database!$A$1:$AS$1,),))))</f>
        <v/>
      </c>
      <c r="I114" s="13">
        <f>((((VLOOKUP(B114,Database!$A:$AS,MATCH($I$1,Database!$A$1:$AS$1,),))))-(((VLOOKUP(EDATE(B114,-12),Database!$A:$AS,MATCH($I$1,Database!$A$1:$AS$1,),)))))/(((VLOOKUP(EDATE(B114,-12),Database!$A:$AS,MATCH($I$1,Database!$A$1:$AS$1,),))))</f>
        <v/>
      </c>
      <c r="J114" s="13">
        <f>((((VLOOKUP(B114,Database!$A:$AS,MATCH($J$1,Database!$A$1:$AS$1,),))))-(((VLOOKUP(EDATE(B114,-12),Database!$A:$AS,MATCH($J$1,Database!$A$1:$AS$1,),)))))/(((VLOOKUP(EDATE(B114,-12),Database!$A:$AS,MATCH($J$1,Database!$A$1:$AS$1,),))))</f>
        <v/>
      </c>
      <c r="K114" s="13">
        <f>((((VLOOKUP(B114,Database!$A:$AS,MATCH($K$1,Database!$A$1:$AS$1,),))))-(((VLOOKUP(EDATE(B114,-12),Database!$A:$AS,MATCH($K$1,Database!$A$1:$AS$1,),)))))/(((VLOOKUP(EDATE(B114,-12),Database!$A:$AS,MATCH($K$1,Database!$A$1:$AS$1,),))))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((((VLOOKUP(B114,Database!$A:$AS,MATCH($O$1,Database!$A$1:$AS$1,),))))-(((VLOOKUP(EDATE(B114,-12),Database!$A:$AS,MATCH($O$1,Database!$A$1:$AS$1,),)))))/(((VLOOKUP(EDATE(B114,-12),Database!$A:$AS,MATCH($O$1,Database!$A$1:$AS$1,),))))</f>
        <v/>
      </c>
      <c r="P114" s="13">
        <f>((((VLOOKUP(B114,Database!$A:$AS,MATCH($P$1,Database!$A$1:$AS$1,),))))-(((VLOOKUP(EDATE(B114,-12),Database!$A:$AS,MATCH($P$1,Database!$A$1:$AS$1,),)))))/(((VLOOKUP(EDATE(B114,-12),Database!$A:$AS,MATCH($P$1,Database!$A$1:$AS$1,),))))</f>
        <v/>
      </c>
      <c r="Q114" s="13">
        <f>((((VLOOKUP(B114,Database!$A:$AS,MATCH($Q$1,Database!$A$1:$AS$1,),))))-(((VLOOKUP(EDATE(B114,-12),Database!$A:$AS,MATCH($Q$1,Database!$A$1:$AS$1,),)))))/(((VLOOKUP(EDATE(B114,-12),Database!$A:$AS,MATCH($Q$1,Database!$A$1:$AS$1,),))))</f>
        <v/>
      </c>
      <c r="R114" s="13">
        <f>((((VLOOKUP(B114,Database!$A:$AS,MATCH($R$1,Database!$A$1:$AS$1,),))))-(((VLOOKUP(EDATE(B114,-12),Database!$A:$AS,MATCH($R$1,Database!$A$1:$AS$1,),)))))/(((VLOOKUP(EDATE(B114,-12),Database!$A:$AS,MATCH($R$1,Database!$A$1:$AS$1,),))))</f>
        <v/>
      </c>
      <c r="S114" s="13">
        <f>((((VLOOKUP(B114,Database!$A:$AS,MATCH($S$1,Database!$A$1:$AS$1,),))))-(((VLOOKUP(EDATE(B114,-12),Database!$A:$AS,MATCH($S$1,Database!$A$1:$AS$1,),)))))/(((VLOOKUP(EDATE(B114,-12),Database!$A:$AS,MATCH($S$1,Database!$A$1:$AS$1,),))))</f>
        <v/>
      </c>
      <c r="T114" s="13">
        <f>((((VLOOKUP(B114,Database!$A:$AS,MATCH($T$1,Database!$A$1:$AS$1,),))))-(((VLOOKUP(EDATE(B114,-12),Database!$A:$AS,MATCH($T$1,Database!$A$1:$AS$1,),)))))/(((VLOOKUP(EDATE(B114,-12),Database!$A:$AS,MATCH($T$1,Database!$A$1:$AS$1,),))))</f>
        <v/>
      </c>
      <c r="U114" s="13">
        <f>((((VLOOKUP(B114,Database!$A:$AS,MATCH($U$1,Database!$A$1:$AS$1,),))))-(((VLOOKUP(EDATE(B114,-12),Database!$A:$AS,MATCH($U$1,Database!$A$1:$AS$1,),)))))/(((VLOOKUP(EDATE(B114,-12),Database!$A:$AS,MATCH($U$1,Database!$A$1:$AS$1,),))))</f>
        <v/>
      </c>
      <c r="V114" s="13">
        <f>((((VLOOKUP(B114,Database!$A:$AS,MATCH($V$1,Database!$A$1:$AS$1,),))))-(((VLOOKUP(EDATE(B114,-12),Database!$A:$AS,MATCH($V$1,Database!$A$1:$AS$1,),)))))/(((VLOOKUP(EDATE(B114,-12),Database!$A:$AS,MATCH($V$1,Database!$A$1:$AS$1,),))))</f>
        <v/>
      </c>
    </row>
    <row r="115" customFormat="1" s="94">
      <c r="A115" s="44" t="n"/>
      <c r="B115" s="85" t="n">
        <v>35643</v>
      </c>
      <c r="C115" s="13">
        <f>((((VLOOKUP(B115,Database!$A:$AS,MATCH($C$1,Database!$A$1:$AS$1,),))))-(((VLOOKUP(EDATE(B115,-12),Database!$A:$AS,MATCH($C$1,Database!$A$1:$AS$1,),)))))/(((VLOOKUP(EDATE(B115,-12),Database!$A:$AS,MATCH($C$1,Database!$A$1:$AS$1,),))))</f>
        <v/>
      </c>
      <c r="D115" s="13">
        <f>((((VLOOKUP(B115,Database!$A:$AS,MATCH($D$1,Database!$A$1:$AS$1,),))))-(((VLOOKUP(EDATE(B115,-12),Database!$A:$AS,MATCH($D$1,Database!$A$1:$AS$1,),)))))/(((VLOOKUP(EDATE(B115,-12),Database!$A:$AS,MATCH($D$1,Database!$A$1:$AS$1,),))))</f>
        <v/>
      </c>
      <c r="E115" s="13">
        <f>((((VLOOKUP(B115,Database!$A:$AS,MATCH($E$1,Database!$A$1:$AS$1,),))))-(((VLOOKUP(EDATE(B115,-12),Database!$A:$AS,MATCH($E$1,Database!$A$1:$AS$1,),)))))/(((VLOOKUP(EDATE(B115,-12),Database!$A:$AS,MATCH($E$1,Database!$A$1:$AS$1,),))))</f>
        <v/>
      </c>
      <c r="F115" s="13">
        <f>((((VLOOKUP(B115,Database!$A:$AS,MATCH($F$1,Database!$A$1:$AS$1,),))))-(((VLOOKUP(EDATE(B115,-12),Database!$A:$AS,MATCH($F$1,Database!$A$1:$AS$1,),)))))/(((VLOOKUP(EDATE(B115,-12),Database!$A:$AS,MATCH($F$1,Database!$A$1:$AS$1,),))))</f>
        <v/>
      </c>
      <c r="G115" s="13">
        <f>((((VLOOKUP(B115,Database!$A:$AS,MATCH($G$1,Database!$A$1:$AS$1,),))))-(((VLOOKUP(EDATE(B115,-12),Database!$A:$AS,MATCH($G$1,Database!$A$1:$AS$1,),)))))/(((VLOOKUP(EDATE(B115,-12),Database!$A:$AS,MATCH($G$1,Database!$A$1:$AS$1,),))))</f>
        <v/>
      </c>
      <c r="H115" s="13">
        <f>((((VLOOKUP(B115,Database!$A:$AS,MATCH($H$1,Database!$A$1:$AS$1,),))))-(((VLOOKUP(EDATE(B115,-12),Database!$A:$AS,MATCH($H$1,Database!$A$1:$AS$1,),)))))/(((VLOOKUP(EDATE(B115,-12),Database!$A:$AS,MATCH($H$1,Database!$A$1:$AS$1,),))))</f>
        <v/>
      </c>
      <c r="I115" s="13">
        <f>((((VLOOKUP(B115,Database!$A:$AS,MATCH($I$1,Database!$A$1:$AS$1,),))))-(((VLOOKUP(EDATE(B115,-12),Database!$A:$AS,MATCH($I$1,Database!$A$1:$AS$1,),)))))/(((VLOOKUP(EDATE(B115,-12),Database!$A:$AS,MATCH($I$1,Database!$A$1:$AS$1,),))))</f>
        <v/>
      </c>
      <c r="J115" s="13">
        <f>((((VLOOKUP(B115,Database!$A:$AS,MATCH($J$1,Database!$A$1:$AS$1,),))))-(((VLOOKUP(EDATE(B115,-12),Database!$A:$AS,MATCH($J$1,Database!$A$1:$AS$1,),)))))/(((VLOOKUP(EDATE(B115,-12),Database!$A:$AS,MATCH($J$1,Database!$A$1:$AS$1,),))))</f>
        <v/>
      </c>
      <c r="K115" s="13">
        <f>((((VLOOKUP(B115,Database!$A:$AS,MATCH($K$1,Database!$A$1:$AS$1,),))))-(((VLOOKUP(EDATE(B115,-12),Database!$A:$AS,MATCH($K$1,Database!$A$1:$AS$1,),)))))/(((VLOOKUP(EDATE(B115,-12),Database!$A:$AS,MATCH($K$1,Database!$A$1:$AS$1,),))))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((((VLOOKUP(B115,Database!$A:$AS,MATCH($O$1,Database!$A$1:$AS$1,),))))-(((VLOOKUP(EDATE(B115,-12),Database!$A:$AS,MATCH($O$1,Database!$A$1:$AS$1,),)))))/(((VLOOKUP(EDATE(B115,-12),Database!$A:$AS,MATCH($O$1,Database!$A$1:$AS$1,),))))</f>
        <v/>
      </c>
      <c r="P115" s="13">
        <f>((((VLOOKUP(B115,Database!$A:$AS,MATCH($P$1,Database!$A$1:$AS$1,),))))-(((VLOOKUP(EDATE(B115,-12),Database!$A:$AS,MATCH($P$1,Database!$A$1:$AS$1,),)))))/(((VLOOKUP(EDATE(B115,-12),Database!$A:$AS,MATCH($P$1,Database!$A$1:$AS$1,),))))</f>
        <v/>
      </c>
      <c r="Q115" s="13">
        <f>((((VLOOKUP(B115,Database!$A:$AS,MATCH($Q$1,Database!$A$1:$AS$1,),))))-(((VLOOKUP(EDATE(B115,-12),Database!$A:$AS,MATCH($Q$1,Database!$A$1:$AS$1,),)))))/(((VLOOKUP(EDATE(B115,-12),Database!$A:$AS,MATCH($Q$1,Database!$A$1:$AS$1,),))))</f>
        <v/>
      </c>
      <c r="R115" s="13">
        <f>((((VLOOKUP(B115,Database!$A:$AS,MATCH($R$1,Database!$A$1:$AS$1,),))))-(((VLOOKUP(EDATE(B115,-12),Database!$A:$AS,MATCH($R$1,Database!$A$1:$AS$1,),)))))/(((VLOOKUP(EDATE(B115,-12),Database!$A:$AS,MATCH($R$1,Database!$A$1:$AS$1,),))))</f>
        <v/>
      </c>
      <c r="S115" s="13">
        <f>((((VLOOKUP(B115,Database!$A:$AS,MATCH($S$1,Database!$A$1:$AS$1,),))))-(((VLOOKUP(EDATE(B115,-12),Database!$A:$AS,MATCH($S$1,Database!$A$1:$AS$1,),)))))/(((VLOOKUP(EDATE(B115,-12),Database!$A:$AS,MATCH($S$1,Database!$A$1:$AS$1,),))))</f>
        <v/>
      </c>
      <c r="T115" s="13">
        <f>((((VLOOKUP(B115,Database!$A:$AS,MATCH($T$1,Database!$A$1:$AS$1,),))))-(((VLOOKUP(EDATE(B115,-12),Database!$A:$AS,MATCH($T$1,Database!$A$1:$AS$1,),)))))/(((VLOOKUP(EDATE(B115,-12),Database!$A:$AS,MATCH($T$1,Database!$A$1:$AS$1,),))))</f>
        <v/>
      </c>
      <c r="U115" s="13">
        <f>((((VLOOKUP(B115,Database!$A:$AS,MATCH($U$1,Database!$A$1:$AS$1,),))))-(((VLOOKUP(EDATE(B115,-12),Database!$A:$AS,MATCH($U$1,Database!$A$1:$AS$1,),)))))/(((VLOOKUP(EDATE(B115,-12),Database!$A:$AS,MATCH($U$1,Database!$A$1:$AS$1,),))))</f>
        <v/>
      </c>
      <c r="V115" s="13">
        <f>((((VLOOKUP(B115,Database!$A:$AS,MATCH($V$1,Database!$A$1:$AS$1,),))))-(((VLOOKUP(EDATE(B115,-12),Database!$A:$AS,MATCH($V$1,Database!$A$1:$AS$1,),)))))/(((VLOOKUP(EDATE(B115,-12),Database!$A:$AS,MATCH($V$1,Database!$A$1:$AS$1,),))))</f>
        <v/>
      </c>
    </row>
    <row r="116" customFormat="1" s="94">
      <c r="A116" s="44" t="n"/>
      <c r="B116" s="85" t="n">
        <v>35674</v>
      </c>
      <c r="C116" s="13">
        <f>((((VLOOKUP(B116,Database!$A:$AS,MATCH($C$1,Database!$A$1:$AS$1,),))))-(((VLOOKUP(EDATE(B116,-12),Database!$A:$AS,MATCH($C$1,Database!$A$1:$AS$1,),)))))/(((VLOOKUP(EDATE(B116,-12),Database!$A:$AS,MATCH($C$1,Database!$A$1:$AS$1,),))))</f>
        <v/>
      </c>
      <c r="D116" s="13">
        <f>((((VLOOKUP(B116,Database!$A:$AS,MATCH($D$1,Database!$A$1:$AS$1,),))))-(((VLOOKUP(EDATE(B116,-12),Database!$A:$AS,MATCH($D$1,Database!$A$1:$AS$1,),)))))/(((VLOOKUP(EDATE(B116,-12),Database!$A:$AS,MATCH($D$1,Database!$A$1:$AS$1,),))))</f>
        <v/>
      </c>
      <c r="E116" s="13">
        <f>((((VLOOKUP(B116,Database!$A:$AS,MATCH($E$1,Database!$A$1:$AS$1,),))))-(((VLOOKUP(EDATE(B116,-12),Database!$A:$AS,MATCH($E$1,Database!$A$1:$AS$1,),)))))/(((VLOOKUP(EDATE(B116,-12),Database!$A:$AS,MATCH($E$1,Database!$A$1:$AS$1,),))))</f>
        <v/>
      </c>
      <c r="F116" s="13">
        <f>((((VLOOKUP(B116,Database!$A:$AS,MATCH($F$1,Database!$A$1:$AS$1,),))))-(((VLOOKUP(EDATE(B116,-12),Database!$A:$AS,MATCH($F$1,Database!$A$1:$AS$1,),)))))/(((VLOOKUP(EDATE(B116,-12),Database!$A:$AS,MATCH($F$1,Database!$A$1:$AS$1,),))))</f>
        <v/>
      </c>
      <c r="G116" s="13">
        <f>((((VLOOKUP(B116,Database!$A:$AS,MATCH($G$1,Database!$A$1:$AS$1,),))))-(((VLOOKUP(EDATE(B116,-12),Database!$A:$AS,MATCH($G$1,Database!$A$1:$AS$1,),)))))/(((VLOOKUP(EDATE(B116,-12),Database!$A:$AS,MATCH($G$1,Database!$A$1:$AS$1,),))))</f>
        <v/>
      </c>
      <c r="H116" s="13">
        <f>((((VLOOKUP(B116,Database!$A:$AS,MATCH($H$1,Database!$A$1:$AS$1,),))))-(((VLOOKUP(EDATE(B116,-12),Database!$A:$AS,MATCH($H$1,Database!$A$1:$AS$1,),)))))/(((VLOOKUP(EDATE(B116,-12),Database!$A:$AS,MATCH($H$1,Database!$A$1:$AS$1,),))))</f>
        <v/>
      </c>
      <c r="I116" s="13">
        <f>((((VLOOKUP(B116,Database!$A:$AS,MATCH($I$1,Database!$A$1:$AS$1,),))))-(((VLOOKUP(EDATE(B116,-12),Database!$A:$AS,MATCH($I$1,Database!$A$1:$AS$1,),)))))/(((VLOOKUP(EDATE(B116,-12),Database!$A:$AS,MATCH($I$1,Database!$A$1:$AS$1,),))))</f>
        <v/>
      </c>
      <c r="J116" s="13">
        <f>((((VLOOKUP(B116,Database!$A:$AS,MATCH($J$1,Database!$A$1:$AS$1,),))))-(((VLOOKUP(EDATE(B116,-12),Database!$A:$AS,MATCH($J$1,Database!$A$1:$AS$1,),)))))/(((VLOOKUP(EDATE(B116,-12),Database!$A:$AS,MATCH($J$1,Database!$A$1:$AS$1,),))))</f>
        <v/>
      </c>
      <c r="K116" s="13">
        <f>((((VLOOKUP(B116,Database!$A:$AS,MATCH($K$1,Database!$A$1:$AS$1,),))))-(((VLOOKUP(EDATE(B116,-12),Database!$A:$AS,MATCH($K$1,Database!$A$1:$AS$1,),)))))/(((VLOOKUP(EDATE(B116,-12),Database!$A:$AS,MATCH($K$1,Database!$A$1:$AS$1,),))))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((((VLOOKUP(B116,Database!$A:$AS,MATCH($O$1,Database!$A$1:$AS$1,),))))-(((VLOOKUP(EDATE(B116,-12),Database!$A:$AS,MATCH($O$1,Database!$A$1:$AS$1,),)))))/(((VLOOKUP(EDATE(B116,-12),Database!$A:$AS,MATCH($O$1,Database!$A$1:$AS$1,),))))</f>
        <v/>
      </c>
      <c r="P116" s="13">
        <f>((((VLOOKUP(B116,Database!$A:$AS,MATCH($P$1,Database!$A$1:$AS$1,),))))-(((VLOOKUP(EDATE(B116,-12),Database!$A:$AS,MATCH($P$1,Database!$A$1:$AS$1,),)))))/(((VLOOKUP(EDATE(B116,-12),Database!$A:$AS,MATCH($P$1,Database!$A$1:$AS$1,),))))</f>
        <v/>
      </c>
      <c r="Q116" s="13">
        <f>((((VLOOKUP(B116,Database!$A:$AS,MATCH($Q$1,Database!$A$1:$AS$1,),))))-(((VLOOKUP(EDATE(B116,-12),Database!$A:$AS,MATCH($Q$1,Database!$A$1:$AS$1,),)))))/(((VLOOKUP(EDATE(B116,-12),Database!$A:$AS,MATCH($Q$1,Database!$A$1:$AS$1,),))))</f>
        <v/>
      </c>
      <c r="R116" s="13">
        <f>((((VLOOKUP(B116,Database!$A:$AS,MATCH($R$1,Database!$A$1:$AS$1,),))))-(((VLOOKUP(EDATE(B116,-12),Database!$A:$AS,MATCH($R$1,Database!$A$1:$AS$1,),)))))/(((VLOOKUP(EDATE(B116,-12),Database!$A:$AS,MATCH($R$1,Database!$A$1:$AS$1,),))))</f>
        <v/>
      </c>
      <c r="S116" s="13">
        <f>((((VLOOKUP(B116,Database!$A:$AS,MATCH($S$1,Database!$A$1:$AS$1,),))))-(((VLOOKUP(EDATE(B116,-12),Database!$A:$AS,MATCH($S$1,Database!$A$1:$AS$1,),)))))/(((VLOOKUP(EDATE(B116,-12),Database!$A:$AS,MATCH($S$1,Database!$A$1:$AS$1,),))))</f>
        <v/>
      </c>
      <c r="T116" s="13">
        <f>((((VLOOKUP(B116,Database!$A:$AS,MATCH($T$1,Database!$A$1:$AS$1,),))))-(((VLOOKUP(EDATE(B116,-12),Database!$A:$AS,MATCH($T$1,Database!$A$1:$AS$1,),)))))/(((VLOOKUP(EDATE(B116,-12),Database!$A:$AS,MATCH($T$1,Database!$A$1:$AS$1,),))))</f>
        <v/>
      </c>
      <c r="U116" s="13">
        <f>((((VLOOKUP(B116,Database!$A:$AS,MATCH($U$1,Database!$A$1:$AS$1,),))))-(((VLOOKUP(EDATE(B116,-12),Database!$A:$AS,MATCH($U$1,Database!$A$1:$AS$1,),)))))/(((VLOOKUP(EDATE(B116,-12),Database!$A:$AS,MATCH($U$1,Database!$A$1:$AS$1,),))))</f>
        <v/>
      </c>
      <c r="V116" s="13">
        <f>((((VLOOKUP(B116,Database!$A:$AS,MATCH($V$1,Database!$A$1:$AS$1,),))))-(((VLOOKUP(EDATE(B116,-12),Database!$A:$AS,MATCH($V$1,Database!$A$1:$AS$1,),)))))/(((VLOOKUP(EDATE(B116,-12),Database!$A:$AS,MATCH($V$1,Database!$A$1:$AS$1,),))))</f>
        <v/>
      </c>
    </row>
    <row r="117" customFormat="1" s="94">
      <c r="A117" s="44" t="n"/>
      <c r="B117" s="85" t="n">
        <v>35704</v>
      </c>
      <c r="C117" s="13">
        <f>((((VLOOKUP(B117,Database!$A:$AS,MATCH($C$1,Database!$A$1:$AS$1,),))))-(((VLOOKUP(EDATE(B117,-12),Database!$A:$AS,MATCH($C$1,Database!$A$1:$AS$1,),)))))/(((VLOOKUP(EDATE(B117,-12),Database!$A:$AS,MATCH($C$1,Database!$A$1:$AS$1,),))))</f>
        <v/>
      </c>
      <c r="D117" s="13">
        <f>((((VLOOKUP(B117,Database!$A:$AS,MATCH($D$1,Database!$A$1:$AS$1,),))))-(((VLOOKUP(EDATE(B117,-12),Database!$A:$AS,MATCH($D$1,Database!$A$1:$AS$1,),)))))/(((VLOOKUP(EDATE(B117,-12),Database!$A:$AS,MATCH($D$1,Database!$A$1:$AS$1,),))))</f>
        <v/>
      </c>
      <c r="E117" s="13">
        <f>((((VLOOKUP(B117,Database!$A:$AS,MATCH($E$1,Database!$A$1:$AS$1,),))))-(((VLOOKUP(EDATE(B117,-12),Database!$A:$AS,MATCH($E$1,Database!$A$1:$AS$1,),)))))/(((VLOOKUP(EDATE(B117,-12),Database!$A:$AS,MATCH($E$1,Database!$A$1:$AS$1,),))))</f>
        <v/>
      </c>
      <c r="F117" s="13">
        <f>((((VLOOKUP(B117,Database!$A:$AS,MATCH($F$1,Database!$A$1:$AS$1,),))))-(((VLOOKUP(EDATE(B117,-12),Database!$A:$AS,MATCH($F$1,Database!$A$1:$AS$1,),)))))/(((VLOOKUP(EDATE(B117,-12),Database!$A:$AS,MATCH($F$1,Database!$A$1:$AS$1,),))))</f>
        <v/>
      </c>
      <c r="G117" s="13">
        <f>((((VLOOKUP(B117,Database!$A:$AS,MATCH($G$1,Database!$A$1:$AS$1,),))))-(((VLOOKUP(EDATE(B117,-12),Database!$A:$AS,MATCH($G$1,Database!$A$1:$AS$1,),)))))/(((VLOOKUP(EDATE(B117,-12),Database!$A:$AS,MATCH($G$1,Database!$A$1:$AS$1,),))))</f>
        <v/>
      </c>
      <c r="H117" s="13">
        <f>((((VLOOKUP(B117,Database!$A:$AS,MATCH($H$1,Database!$A$1:$AS$1,),))))-(((VLOOKUP(EDATE(B117,-12),Database!$A:$AS,MATCH($H$1,Database!$A$1:$AS$1,),)))))/(((VLOOKUP(EDATE(B117,-12),Database!$A:$AS,MATCH($H$1,Database!$A$1:$AS$1,),))))</f>
        <v/>
      </c>
      <c r="I117" s="13">
        <f>((((VLOOKUP(B117,Database!$A:$AS,MATCH($I$1,Database!$A$1:$AS$1,),))))-(((VLOOKUP(EDATE(B117,-12),Database!$A:$AS,MATCH($I$1,Database!$A$1:$AS$1,),)))))/(((VLOOKUP(EDATE(B117,-12),Database!$A:$AS,MATCH($I$1,Database!$A$1:$AS$1,),))))</f>
        <v/>
      </c>
      <c r="J117" s="13">
        <f>((((VLOOKUP(B117,Database!$A:$AS,MATCH($J$1,Database!$A$1:$AS$1,),))))-(((VLOOKUP(EDATE(B117,-12),Database!$A:$AS,MATCH($J$1,Database!$A$1:$AS$1,),)))))/(((VLOOKUP(EDATE(B117,-12),Database!$A:$AS,MATCH($J$1,Database!$A$1:$AS$1,),))))</f>
        <v/>
      </c>
      <c r="K117" s="13">
        <f>((((VLOOKUP(B117,Database!$A:$AS,MATCH($K$1,Database!$A$1:$AS$1,),))))-(((VLOOKUP(EDATE(B117,-12),Database!$A:$AS,MATCH($K$1,Database!$A$1:$AS$1,),)))))/(((VLOOKUP(EDATE(B117,-12),Database!$A:$AS,MATCH($K$1,Database!$A$1:$AS$1,),))))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((((VLOOKUP(B117,Database!$A:$AS,MATCH($O$1,Database!$A$1:$AS$1,),))))-(((VLOOKUP(EDATE(B117,-12),Database!$A:$AS,MATCH($O$1,Database!$A$1:$AS$1,),)))))/(((VLOOKUP(EDATE(B117,-12),Database!$A:$AS,MATCH($O$1,Database!$A$1:$AS$1,),))))</f>
        <v/>
      </c>
      <c r="P117" s="13">
        <f>((((VLOOKUP(B117,Database!$A:$AS,MATCH($P$1,Database!$A$1:$AS$1,),))))-(((VLOOKUP(EDATE(B117,-12),Database!$A:$AS,MATCH($P$1,Database!$A$1:$AS$1,),)))))/(((VLOOKUP(EDATE(B117,-12),Database!$A:$AS,MATCH($P$1,Database!$A$1:$AS$1,),))))</f>
        <v/>
      </c>
      <c r="Q117" s="13">
        <f>((((VLOOKUP(B117,Database!$A:$AS,MATCH($Q$1,Database!$A$1:$AS$1,),))))-(((VLOOKUP(EDATE(B117,-12),Database!$A:$AS,MATCH($Q$1,Database!$A$1:$AS$1,),)))))/(((VLOOKUP(EDATE(B117,-12),Database!$A:$AS,MATCH($Q$1,Database!$A$1:$AS$1,),))))</f>
        <v/>
      </c>
      <c r="R117" s="13">
        <f>((((VLOOKUP(B117,Database!$A:$AS,MATCH($R$1,Database!$A$1:$AS$1,),))))-(((VLOOKUP(EDATE(B117,-12),Database!$A:$AS,MATCH($R$1,Database!$A$1:$AS$1,),)))))/(((VLOOKUP(EDATE(B117,-12),Database!$A:$AS,MATCH($R$1,Database!$A$1:$AS$1,),))))</f>
        <v/>
      </c>
      <c r="S117" s="13">
        <f>((((VLOOKUP(B117,Database!$A:$AS,MATCH($S$1,Database!$A$1:$AS$1,),))))-(((VLOOKUP(EDATE(B117,-12),Database!$A:$AS,MATCH($S$1,Database!$A$1:$AS$1,),)))))/(((VLOOKUP(EDATE(B117,-12),Database!$A:$AS,MATCH($S$1,Database!$A$1:$AS$1,),))))</f>
        <v/>
      </c>
      <c r="T117" s="13">
        <f>((((VLOOKUP(B117,Database!$A:$AS,MATCH($T$1,Database!$A$1:$AS$1,),))))-(((VLOOKUP(EDATE(B117,-12),Database!$A:$AS,MATCH($T$1,Database!$A$1:$AS$1,),)))))/(((VLOOKUP(EDATE(B117,-12),Database!$A:$AS,MATCH($T$1,Database!$A$1:$AS$1,),))))</f>
        <v/>
      </c>
      <c r="U117" s="13">
        <f>((((VLOOKUP(B117,Database!$A:$AS,MATCH($U$1,Database!$A$1:$AS$1,),))))-(((VLOOKUP(EDATE(B117,-12),Database!$A:$AS,MATCH($U$1,Database!$A$1:$AS$1,),)))))/(((VLOOKUP(EDATE(B117,-12),Database!$A:$AS,MATCH($U$1,Database!$A$1:$AS$1,),))))</f>
        <v/>
      </c>
      <c r="V117" s="13">
        <f>((((VLOOKUP(B117,Database!$A:$AS,MATCH($V$1,Database!$A$1:$AS$1,),))))-(((VLOOKUP(EDATE(B117,-12),Database!$A:$AS,MATCH($V$1,Database!$A$1:$AS$1,),)))))/(((VLOOKUP(EDATE(B117,-12),Database!$A:$AS,MATCH($V$1,Database!$A$1:$AS$1,),))))</f>
        <v/>
      </c>
    </row>
    <row r="118" customFormat="1" s="94">
      <c r="A118" s="44" t="n"/>
      <c r="B118" s="85" t="n">
        <v>35735</v>
      </c>
      <c r="C118" s="13">
        <f>((((VLOOKUP(B118,Database!$A:$AS,MATCH($C$1,Database!$A$1:$AS$1,),))))-(((VLOOKUP(EDATE(B118,-12),Database!$A:$AS,MATCH($C$1,Database!$A$1:$AS$1,),)))))/(((VLOOKUP(EDATE(B118,-12),Database!$A:$AS,MATCH($C$1,Database!$A$1:$AS$1,),))))</f>
        <v/>
      </c>
      <c r="D118" s="13">
        <f>((((VLOOKUP(B118,Database!$A:$AS,MATCH($D$1,Database!$A$1:$AS$1,),))))-(((VLOOKUP(EDATE(B118,-12),Database!$A:$AS,MATCH($D$1,Database!$A$1:$AS$1,),)))))/(((VLOOKUP(EDATE(B118,-12),Database!$A:$AS,MATCH($D$1,Database!$A$1:$AS$1,),))))</f>
        <v/>
      </c>
      <c r="E118" s="13">
        <f>((((VLOOKUP(B118,Database!$A:$AS,MATCH($E$1,Database!$A$1:$AS$1,),))))-(((VLOOKUP(EDATE(B118,-12),Database!$A:$AS,MATCH($E$1,Database!$A$1:$AS$1,),)))))/(((VLOOKUP(EDATE(B118,-12),Database!$A:$AS,MATCH($E$1,Database!$A$1:$AS$1,),))))</f>
        <v/>
      </c>
      <c r="F118" s="13">
        <f>((((VLOOKUP(B118,Database!$A:$AS,MATCH($F$1,Database!$A$1:$AS$1,),))))-(((VLOOKUP(EDATE(B118,-12),Database!$A:$AS,MATCH($F$1,Database!$A$1:$AS$1,),)))))/(((VLOOKUP(EDATE(B118,-12),Database!$A:$AS,MATCH($F$1,Database!$A$1:$AS$1,),))))</f>
        <v/>
      </c>
      <c r="G118" s="13">
        <f>((((VLOOKUP(B118,Database!$A:$AS,MATCH($G$1,Database!$A$1:$AS$1,),))))-(((VLOOKUP(EDATE(B118,-12),Database!$A:$AS,MATCH($G$1,Database!$A$1:$AS$1,),)))))/(((VLOOKUP(EDATE(B118,-12),Database!$A:$AS,MATCH($G$1,Database!$A$1:$AS$1,),))))</f>
        <v/>
      </c>
      <c r="H118" s="13">
        <f>((((VLOOKUP(B118,Database!$A:$AS,MATCH($H$1,Database!$A$1:$AS$1,),))))-(((VLOOKUP(EDATE(B118,-12),Database!$A:$AS,MATCH($H$1,Database!$A$1:$AS$1,),)))))/(((VLOOKUP(EDATE(B118,-12),Database!$A:$AS,MATCH($H$1,Database!$A$1:$AS$1,),))))</f>
        <v/>
      </c>
      <c r="I118" s="13">
        <f>((((VLOOKUP(B118,Database!$A:$AS,MATCH($I$1,Database!$A$1:$AS$1,),))))-(((VLOOKUP(EDATE(B118,-12),Database!$A:$AS,MATCH($I$1,Database!$A$1:$AS$1,),)))))/(((VLOOKUP(EDATE(B118,-12),Database!$A:$AS,MATCH($I$1,Database!$A$1:$AS$1,),))))</f>
        <v/>
      </c>
      <c r="J118" s="13">
        <f>((((VLOOKUP(B118,Database!$A:$AS,MATCH($J$1,Database!$A$1:$AS$1,),))))-(((VLOOKUP(EDATE(B118,-12),Database!$A:$AS,MATCH($J$1,Database!$A$1:$AS$1,),)))))/(((VLOOKUP(EDATE(B118,-12),Database!$A:$AS,MATCH($J$1,Database!$A$1:$AS$1,),))))</f>
        <v/>
      </c>
      <c r="K118" s="13">
        <f>((((VLOOKUP(B118,Database!$A:$AS,MATCH($K$1,Database!$A$1:$AS$1,),))))-(((VLOOKUP(EDATE(B118,-12),Database!$A:$AS,MATCH($K$1,Database!$A$1:$AS$1,),)))))/(((VLOOKUP(EDATE(B118,-12),Database!$A:$AS,MATCH($K$1,Database!$A$1:$AS$1,),))))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((((VLOOKUP(B118,Database!$A:$AS,MATCH($O$1,Database!$A$1:$AS$1,),))))-(((VLOOKUP(EDATE(B118,-12),Database!$A:$AS,MATCH($O$1,Database!$A$1:$AS$1,),)))))/(((VLOOKUP(EDATE(B118,-12),Database!$A:$AS,MATCH($O$1,Database!$A$1:$AS$1,),))))</f>
        <v/>
      </c>
      <c r="P118" s="13">
        <f>((((VLOOKUP(B118,Database!$A:$AS,MATCH($P$1,Database!$A$1:$AS$1,),))))-(((VLOOKUP(EDATE(B118,-12),Database!$A:$AS,MATCH($P$1,Database!$A$1:$AS$1,),)))))/(((VLOOKUP(EDATE(B118,-12),Database!$A:$AS,MATCH($P$1,Database!$A$1:$AS$1,),))))</f>
        <v/>
      </c>
      <c r="Q118" s="13">
        <f>((((VLOOKUP(B118,Database!$A:$AS,MATCH($Q$1,Database!$A$1:$AS$1,),))))-(((VLOOKUP(EDATE(B118,-12),Database!$A:$AS,MATCH($Q$1,Database!$A$1:$AS$1,),)))))/(((VLOOKUP(EDATE(B118,-12),Database!$A:$AS,MATCH($Q$1,Database!$A$1:$AS$1,),))))</f>
        <v/>
      </c>
      <c r="R118" s="13">
        <f>((((VLOOKUP(B118,Database!$A:$AS,MATCH($R$1,Database!$A$1:$AS$1,),))))-(((VLOOKUP(EDATE(B118,-12),Database!$A:$AS,MATCH($R$1,Database!$A$1:$AS$1,),)))))/(((VLOOKUP(EDATE(B118,-12),Database!$A:$AS,MATCH($R$1,Database!$A$1:$AS$1,),))))</f>
        <v/>
      </c>
      <c r="S118" s="13">
        <f>((((VLOOKUP(B118,Database!$A:$AS,MATCH($S$1,Database!$A$1:$AS$1,),))))-(((VLOOKUP(EDATE(B118,-12),Database!$A:$AS,MATCH($S$1,Database!$A$1:$AS$1,),)))))/(((VLOOKUP(EDATE(B118,-12),Database!$A:$AS,MATCH($S$1,Database!$A$1:$AS$1,),))))</f>
        <v/>
      </c>
      <c r="T118" s="13">
        <f>((((VLOOKUP(B118,Database!$A:$AS,MATCH($T$1,Database!$A$1:$AS$1,),))))-(((VLOOKUP(EDATE(B118,-12),Database!$A:$AS,MATCH($T$1,Database!$A$1:$AS$1,),)))))/(((VLOOKUP(EDATE(B118,-12),Database!$A:$AS,MATCH($T$1,Database!$A$1:$AS$1,),))))</f>
        <v/>
      </c>
      <c r="U118" s="13">
        <f>((((VLOOKUP(B118,Database!$A:$AS,MATCH($U$1,Database!$A$1:$AS$1,),))))-(((VLOOKUP(EDATE(B118,-12),Database!$A:$AS,MATCH($U$1,Database!$A$1:$AS$1,),)))))/(((VLOOKUP(EDATE(B118,-12),Database!$A:$AS,MATCH($U$1,Database!$A$1:$AS$1,),))))</f>
        <v/>
      </c>
      <c r="V118" s="13">
        <f>((((VLOOKUP(B118,Database!$A:$AS,MATCH($V$1,Database!$A$1:$AS$1,),))))-(((VLOOKUP(EDATE(B118,-12),Database!$A:$AS,MATCH($V$1,Database!$A$1:$AS$1,),)))))/(((VLOOKUP(EDATE(B118,-12),Database!$A:$AS,MATCH($V$1,Database!$A$1:$AS$1,),))))</f>
        <v/>
      </c>
    </row>
    <row r="119" customFormat="1" s="94">
      <c r="A119" s="44" t="n"/>
      <c r="B119" s="85" t="n">
        <v>35765</v>
      </c>
      <c r="C119" s="13">
        <f>((((VLOOKUP(B119,Database!$A:$AS,MATCH($C$1,Database!$A$1:$AS$1,),))))-(((VLOOKUP(EDATE(B119,-12),Database!$A:$AS,MATCH($C$1,Database!$A$1:$AS$1,),)))))/(((VLOOKUP(EDATE(B119,-12),Database!$A:$AS,MATCH($C$1,Database!$A$1:$AS$1,),))))</f>
        <v/>
      </c>
      <c r="D119" s="13">
        <f>((((VLOOKUP(B119,Database!$A:$AS,MATCH($D$1,Database!$A$1:$AS$1,),))))-(((VLOOKUP(EDATE(B119,-12),Database!$A:$AS,MATCH($D$1,Database!$A$1:$AS$1,),)))))/(((VLOOKUP(EDATE(B119,-12),Database!$A:$AS,MATCH($D$1,Database!$A$1:$AS$1,),))))</f>
        <v/>
      </c>
      <c r="E119" s="13">
        <f>((((VLOOKUP(B119,Database!$A:$AS,MATCH($E$1,Database!$A$1:$AS$1,),))))-(((VLOOKUP(EDATE(B119,-12),Database!$A:$AS,MATCH($E$1,Database!$A$1:$AS$1,),)))))/(((VLOOKUP(EDATE(B119,-12),Database!$A:$AS,MATCH($E$1,Database!$A$1:$AS$1,),))))</f>
        <v/>
      </c>
      <c r="F119" s="13">
        <f>((((VLOOKUP(B119,Database!$A:$AS,MATCH($F$1,Database!$A$1:$AS$1,),))))-(((VLOOKUP(EDATE(B119,-12),Database!$A:$AS,MATCH($F$1,Database!$A$1:$AS$1,),)))))/(((VLOOKUP(EDATE(B119,-12),Database!$A:$AS,MATCH($F$1,Database!$A$1:$AS$1,),))))</f>
        <v/>
      </c>
      <c r="G119" s="13">
        <f>((((VLOOKUP(B119,Database!$A:$AS,MATCH($G$1,Database!$A$1:$AS$1,),))))-(((VLOOKUP(EDATE(B119,-12),Database!$A:$AS,MATCH($G$1,Database!$A$1:$AS$1,),)))))/(((VLOOKUP(EDATE(B119,-12),Database!$A:$AS,MATCH($G$1,Database!$A$1:$AS$1,),))))</f>
        <v/>
      </c>
      <c r="H119" s="13">
        <f>((((VLOOKUP(B119,Database!$A:$AS,MATCH($H$1,Database!$A$1:$AS$1,),))))-(((VLOOKUP(EDATE(B119,-12),Database!$A:$AS,MATCH($H$1,Database!$A$1:$AS$1,),)))))/(((VLOOKUP(EDATE(B119,-12),Database!$A:$AS,MATCH($H$1,Database!$A$1:$AS$1,),))))</f>
        <v/>
      </c>
      <c r="I119" s="13">
        <f>((((VLOOKUP(B119,Database!$A:$AS,MATCH($I$1,Database!$A$1:$AS$1,),))))-(((VLOOKUP(EDATE(B119,-12),Database!$A:$AS,MATCH($I$1,Database!$A$1:$AS$1,),)))))/(((VLOOKUP(EDATE(B119,-12),Database!$A:$AS,MATCH($I$1,Database!$A$1:$AS$1,),))))</f>
        <v/>
      </c>
      <c r="J119" s="13">
        <f>((((VLOOKUP(B119,Database!$A:$AS,MATCH($J$1,Database!$A$1:$AS$1,),))))-(((VLOOKUP(EDATE(B119,-12),Database!$A:$AS,MATCH($J$1,Database!$A$1:$AS$1,),)))))/(((VLOOKUP(EDATE(B119,-12),Database!$A:$AS,MATCH($J$1,Database!$A$1:$AS$1,),))))</f>
        <v/>
      </c>
      <c r="K119" s="13">
        <f>((((VLOOKUP(B119,Database!$A:$AS,MATCH($K$1,Database!$A$1:$AS$1,),))))-(((VLOOKUP(EDATE(B119,-12),Database!$A:$AS,MATCH($K$1,Database!$A$1:$AS$1,),)))))/(((VLOOKUP(EDATE(B119,-12),Database!$A:$AS,MATCH($K$1,Database!$A$1:$AS$1,),))))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((((VLOOKUP(B119,Database!$A:$AS,MATCH($O$1,Database!$A$1:$AS$1,),))))-(((VLOOKUP(EDATE(B119,-12),Database!$A:$AS,MATCH($O$1,Database!$A$1:$AS$1,),)))))/(((VLOOKUP(EDATE(B119,-12),Database!$A:$AS,MATCH($O$1,Database!$A$1:$AS$1,),))))</f>
        <v/>
      </c>
      <c r="P119" s="13">
        <f>((((VLOOKUP(B119,Database!$A:$AS,MATCH($P$1,Database!$A$1:$AS$1,),))))-(((VLOOKUP(EDATE(B119,-12),Database!$A:$AS,MATCH($P$1,Database!$A$1:$AS$1,),)))))/(((VLOOKUP(EDATE(B119,-12),Database!$A:$AS,MATCH($P$1,Database!$A$1:$AS$1,),))))</f>
        <v/>
      </c>
      <c r="Q119" s="13">
        <f>((((VLOOKUP(B119,Database!$A:$AS,MATCH($Q$1,Database!$A$1:$AS$1,),))))-(((VLOOKUP(EDATE(B119,-12),Database!$A:$AS,MATCH($Q$1,Database!$A$1:$AS$1,),)))))/(((VLOOKUP(EDATE(B119,-12),Database!$A:$AS,MATCH($Q$1,Database!$A$1:$AS$1,),))))</f>
        <v/>
      </c>
      <c r="R119" s="13">
        <f>((((VLOOKUP(B119,Database!$A:$AS,MATCH($R$1,Database!$A$1:$AS$1,),))))-(((VLOOKUP(EDATE(B119,-12),Database!$A:$AS,MATCH($R$1,Database!$A$1:$AS$1,),)))))/(((VLOOKUP(EDATE(B119,-12),Database!$A:$AS,MATCH($R$1,Database!$A$1:$AS$1,),))))</f>
        <v/>
      </c>
      <c r="S119" s="13">
        <f>((((VLOOKUP(B119,Database!$A:$AS,MATCH($S$1,Database!$A$1:$AS$1,),))))-(((VLOOKUP(EDATE(B119,-12),Database!$A:$AS,MATCH($S$1,Database!$A$1:$AS$1,),)))))/(((VLOOKUP(EDATE(B119,-12),Database!$A:$AS,MATCH($S$1,Database!$A$1:$AS$1,),))))</f>
        <v/>
      </c>
      <c r="T119" s="13">
        <f>((((VLOOKUP(B119,Database!$A:$AS,MATCH($T$1,Database!$A$1:$AS$1,),))))-(((VLOOKUP(EDATE(B119,-12),Database!$A:$AS,MATCH($T$1,Database!$A$1:$AS$1,),)))))/(((VLOOKUP(EDATE(B119,-12),Database!$A:$AS,MATCH($T$1,Database!$A$1:$AS$1,),))))</f>
        <v/>
      </c>
      <c r="U119" s="13">
        <f>((((VLOOKUP(B119,Database!$A:$AS,MATCH($U$1,Database!$A$1:$AS$1,),))))-(((VLOOKUP(EDATE(B119,-12),Database!$A:$AS,MATCH($U$1,Database!$A$1:$AS$1,),)))))/(((VLOOKUP(EDATE(B119,-12),Database!$A:$AS,MATCH($U$1,Database!$A$1:$AS$1,),))))</f>
        <v/>
      </c>
      <c r="V119" s="13">
        <f>((((VLOOKUP(B119,Database!$A:$AS,MATCH($V$1,Database!$A$1:$AS$1,),))))-(((VLOOKUP(EDATE(B119,-12),Database!$A:$AS,MATCH($V$1,Database!$A$1:$AS$1,),)))))/(((VLOOKUP(EDATE(B119,-12),Database!$A:$AS,MATCH($V$1,Database!$A$1:$AS$1,),))))</f>
        <v/>
      </c>
    </row>
    <row r="120" customFormat="1" s="94">
      <c r="A120" s="44" t="n"/>
      <c r="B120" s="85" t="n">
        <v>35796</v>
      </c>
      <c r="C120" s="13">
        <f>((((VLOOKUP(B120,Database!$A:$AS,MATCH($C$1,Database!$A$1:$AS$1,),))))-(((VLOOKUP(EDATE(B120,-12),Database!$A:$AS,MATCH($C$1,Database!$A$1:$AS$1,),)))))/(((VLOOKUP(EDATE(B120,-12),Database!$A:$AS,MATCH($C$1,Database!$A$1:$AS$1,),))))</f>
        <v/>
      </c>
      <c r="D120" s="13">
        <f>((((VLOOKUP(B120,Database!$A:$AS,MATCH($D$1,Database!$A$1:$AS$1,),))))-(((VLOOKUP(EDATE(B120,-12),Database!$A:$AS,MATCH($D$1,Database!$A$1:$AS$1,),)))))/(((VLOOKUP(EDATE(B120,-12),Database!$A:$AS,MATCH($D$1,Database!$A$1:$AS$1,),))))</f>
        <v/>
      </c>
      <c r="E120" s="13">
        <f>((((VLOOKUP(B120,Database!$A:$AS,MATCH($E$1,Database!$A$1:$AS$1,),))))-(((VLOOKUP(EDATE(B120,-12),Database!$A:$AS,MATCH($E$1,Database!$A$1:$AS$1,),)))))/(((VLOOKUP(EDATE(B120,-12),Database!$A:$AS,MATCH($E$1,Database!$A$1:$AS$1,),))))</f>
        <v/>
      </c>
      <c r="F120" s="13">
        <f>((((VLOOKUP(B120,Database!$A:$AS,MATCH($F$1,Database!$A$1:$AS$1,),))))-(((VLOOKUP(EDATE(B120,-12),Database!$A:$AS,MATCH($F$1,Database!$A$1:$AS$1,),)))))/(((VLOOKUP(EDATE(B120,-12),Database!$A:$AS,MATCH($F$1,Database!$A$1:$AS$1,),))))</f>
        <v/>
      </c>
      <c r="G120" s="13">
        <f>((((VLOOKUP(B120,Database!$A:$AS,MATCH($G$1,Database!$A$1:$AS$1,),))))-(((VLOOKUP(EDATE(B120,-12),Database!$A:$AS,MATCH($G$1,Database!$A$1:$AS$1,),)))))/(((VLOOKUP(EDATE(B120,-12),Database!$A:$AS,MATCH($G$1,Database!$A$1:$AS$1,),))))</f>
        <v/>
      </c>
      <c r="H120" s="13">
        <f>((((VLOOKUP(B120,Database!$A:$AS,MATCH($H$1,Database!$A$1:$AS$1,),))))-(((VLOOKUP(EDATE(B120,-12),Database!$A:$AS,MATCH($H$1,Database!$A$1:$AS$1,),)))))/(((VLOOKUP(EDATE(B120,-12),Database!$A:$AS,MATCH($H$1,Database!$A$1:$AS$1,),))))</f>
        <v/>
      </c>
      <c r="I120" s="13">
        <f>((((VLOOKUP(B120,Database!$A:$AS,MATCH($I$1,Database!$A$1:$AS$1,),))))-(((VLOOKUP(EDATE(B120,-12),Database!$A:$AS,MATCH($I$1,Database!$A$1:$AS$1,),)))))/(((VLOOKUP(EDATE(B120,-12),Database!$A:$AS,MATCH($I$1,Database!$A$1:$AS$1,),))))</f>
        <v/>
      </c>
      <c r="J120" s="13">
        <f>((((VLOOKUP(B120,Database!$A:$AS,MATCH($J$1,Database!$A$1:$AS$1,),))))-(((VLOOKUP(EDATE(B120,-12),Database!$A:$AS,MATCH($J$1,Database!$A$1:$AS$1,),)))))/(((VLOOKUP(EDATE(B120,-12),Database!$A:$AS,MATCH($J$1,Database!$A$1:$AS$1,),))))</f>
        <v/>
      </c>
      <c r="K120" s="13">
        <f>((((VLOOKUP(B120,Database!$A:$AS,MATCH($K$1,Database!$A$1:$AS$1,),))))-(((VLOOKUP(EDATE(B120,-12),Database!$A:$AS,MATCH($K$1,Database!$A$1:$AS$1,),)))))/(((VLOOKUP(EDATE(B120,-12),Database!$A:$AS,MATCH($K$1,Database!$A$1:$AS$1,),))))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((((VLOOKUP(B120,Database!$A:$AS,MATCH($O$1,Database!$A$1:$AS$1,),))))-(((VLOOKUP(EDATE(B120,-12),Database!$A:$AS,MATCH($O$1,Database!$A$1:$AS$1,),)))))/(((VLOOKUP(EDATE(B120,-12),Database!$A:$AS,MATCH($O$1,Database!$A$1:$AS$1,),))))</f>
        <v/>
      </c>
      <c r="P120" s="13">
        <f>((((VLOOKUP(B120,Database!$A:$AS,MATCH($P$1,Database!$A$1:$AS$1,),))))-(((VLOOKUP(EDATE(B120,-12),Database!$A:$AS,MATCH($P$1,Database!$A$1:$AS$1,),)))))/(((VLOOKUP(EDATE(B120,-12),Database!$A:$AS,MATCH($P$1,Database!$A$1:$AS$1,),))))</f>
        <v/>
      </c>
      <c r="Q120" s="13">
        <f>((((VLOOKUP(B120,Database!$A:$AS,MATCH($Q$1,Database!$A$1:$AS$1,),))))-(((VLOOKUP(EDATE(B120,-12),Database!$A:$AS,MATCH($Q$1,Database!$A$1:$AS$1,),)))))/(((VLOOKUP(EDATE(B120,-12),Database!$A:$AS,MATCH($Q$1,Database!$A$1:$AS$1,),))))</f>
        <v/>
      </c>
      <c r="R120" s="13">
        <f>((((VLOOKUP(B120,Database!$A:$AS,MATCH($R$1,Database!$A$1:$AS$1,),))))-(((VLOOKUP(EDATE(B120,-12),Database!$A:$AS,MATCH($R$1,Database!$A$1:$AS$1,),)))))/(((VLOOKUP(EDATE(B120,-12),Database!$A:$AS,MATCH($R$1,Database!$A$1:$AS$1,),))))</f>
        <v/>
      </c>
      <c r="S120" s="13">
        <f>((((VLOOKUP(B120,Database!$A:$AS,MATCH($S$1,Database!$A$1:$AS$1,),))))-(((VLOOKUP(EDATE(B120,-12),Database!$A:$AS,MATCH($S$1,Database!$A$1:$AS$1,),)))))/(((VLOOKUP(EDATE(B120,-12),Database!$A:$AS,MATCH($S$1,Database!$A$1:$AS$1,),))))</f>
        <v/>
      </c>
      <c r="T120" s="13">
        <f>((((VLOOKUP(B120,Database!$A:$AS,MATCH($T$1,Database!$A$1:$AS$1,),))))-(((VLOOKUP(EDATE(B120,-12),Database!$A:$AS,MATCH($T$1,Database!$A$1:$AS$1,),)))))/(((VLOOKUP(EDATE(B120,-12),Database!$A:$AS,MATCH($T$1,Database!$A$1:$AS$1,),))))</f>
        <v/>
      </c>
      <c r="U120" s="13">
        <f>((((VLOOKUP(B120,Database!$A:$AS,MATCH($U$1,Database!$A$1:$AS$1,),))))-(((VLOOKUP(EDATE(B120,-12),Database!$A:$AS,MATCH($U$1,Database!$A$1:$AS$1,),)))))/(((VLOOKUP(EDATE(B120,-12),Database!$A:$AS,MATCH($U$1,Database!$A$1:$AS$1,),))))</f>
        <v/>
      </c>
      <c r="V120" s="13">
        <f>((((VLOOKUP(B120,Database!$A:$AS,MATCH($V$1,Database!$A$1:$AS$1,),))))-(((VLOOKUP(EDATE(B120,-12),Database!$A:$AS,MATCH($V$1,Database!$A$1:$AS$1,),)))))/(((VLOOKUP(EDATE(B120,-12),Database!$A:$AS,MATCH($V$1,Database!$A$1:$AS$1,),))))</f>
        <v/>
      </c>
    </row>
    <row r="121" customFormat="1" s="94">
      <c r="A121" s="44" t="n"/>
      <c r="B121" s="85" t="n">
        <v>35827</v>
      </c>
      <c r="C121" s="13">
        <f>((((VLOOKUP(B121,Database!$A:$AS,MATCH($C$1,Database!$A$1:$AS$1,),))))-(((VLOOKUP(EDATE(B121,-12),Database!$A:$AS,MATCH($C$1,Database!$A$1:$AS$1,),)))))/(((VLOOKUP(EDATE(B121,-12),Database!$A:$AS,MATCH($C$1,Database!$A$1:$AS$1,),))))</f>
        <v/>
      </c>
      <c r="D121" s="13">
        <f>((((VLOOKUP(B121,Database!$A:$AS,MATCH($D$1,Database!$A$1:$AS$1,),))))-(((VLOOKUP(EDATE(B121,-12),Database!$A:$AS,MATCH($D$1,Database!$A$1:$AS$1,),)))))/(((VLOOKUP(EDATE(B121,-12),Database!$A:$AS,MATCH($D$1,Database!$A$1:$AS$1,),))))</f>
        <v/>
      </c>
      <c r="E121" s="13">
        <f>((((VLOOKUP(B121,Database!$A:$AS,MATCH($E$1,Database!$A$1:$AS$1,),))))-(((VLOOKUP(EDATE(B121,-12),Database!$A:$AS,MATCH($E$1,Database!$A$1:$AS$1,),)))))/(((VLOOKUP(EDATE(B121,-12),Database!$A:$AS,MATCH($E$1,Database!$A$1:$AS$1,),))))</f>
        <v/>
      </c>
      <c r="F121" s="13">
        <f>((((VLOOKUP(B121,Database!$A:$AS,MATCH($F$1,Database!$A$1:$AS$1,),))))-(((VLOOKUP(EDATE(B121,-12),Database!$A:$AS,MATCH($F$1,Database!$A$1:$AS$1,),)))))/(((VLOOKUP(EDATE(B121,-12),Database!$A:$AS,MATCH($F$1,Database!$A$1:$AS$1,),))))</f>
        <v/>
      </c>
      <c r="G121" s="13">
        <f>((((VLOOKUP(B121,Database!$A:$AS,MATCH($G$1,Database!$A$1:$AS$1,),))))-(((VLOOKUP(EDATE(B121,-12),Database!$A:$AS,MATCH($G$1,Database!$A$1:$AS$1,),)))))/(((VLOOKUP(EDATE(B121,-12),Database!$A:$AS,MATCH($G$1,Database!$A$1:$AS$1,),))))</f>
        <v/>
      </c>
      <c r="H121" s="13">
        <f>((((VLOOKUP(B121,Database!$A:$AS,MATCH($H$1,Database!$A$1:$AS$1,),))))-(((VLOOKUP(EDATE(B121,-12),Database!$A:$AS,MATCH($H$1,Database!$A$1:$AS$1,),)))))/(((VLOOKUP(EDATE(B121,-12),Database!$A:$AS,MATCH($H$1,Database!$A$1:$AS$1,),))))</f>
        <v/>
      </c>
      <c r="I121" s="13">
        <f>((((VLOOKUP(B121,Database!$A:$AS,MATCH($I$1,Database!$A$1:$AS$1,),))))-(((VLOOKUP(EDATE(B121,-12),Database!$A:$AS,MATCH($I$1,Database!$A$1:$AS$1,),)))))/(((VLOOKUP(EDATE(B121,-12),Database!$A:$AS,MATCH($I$1,Database!$A$1:$AS$1,),))))</f>
        <v/>
      </c>
      <c r="J121" s="13">
        <f>((((VLOOKUP(B121,Database!$A:$AS,MATCH($J$1,Database!$A$1:$AS$1,),))))-(((VLOOKUP(EDATE(B121,-12),Database!$A:$AS,MATCH($J$1,Database!$A$1:$AS$1,),)))))/(((VLOOKUP(EDATE(B121,-12),Database!$A:$AS,MATCH($J$1,Database!$A$1:$AS$1,),))))</f>
        <v/>
      </c>
      <c r="K121" s="13">
        <f>((((VLOOKUP(B121,Database!$A:$AS,MATCH($K$1,Database!$A$1:$AS$1,),))))-(((VLOOKUP(EDATE(B121,-12),Database!$A:$AS,MATCH($K$1,Database!$A$1:$AS$1,),)))))/(((VLOOKUP(EDATE(B121,-12),Database!$A:$AS,MATCH($K$1,Database!$A$1:$AS$1,),))))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((((VLOOKUP(B121,Database!$A:$AS,MATCH($O$1,Database!$A$1:$AS$1,),))))-(((VLOOKUP(EDATE(B121,-12),Database!$A:$AS,MATCH($O$1,Database!$A$1:$AS$1,),)))))/(((VLOOKUP(EDATE(B121,-12),Database!$A:$AS,MATCH($O$1,Database!$A$1:$AS$1,),))))</f>
        <v/>
      </c>
      <c r="P121" s="13">
        <f>((((VLOOKUP(B121,Database!$A:$AS,MATCH($P$1,Database!$A$1:$AS$1,),))))-(((VLOOKUP(EDATE(B121,-12),Database!$A:$AS,MATCH($P$1,Database!$A$1:$AS$1,),)))))/(((VLOOKUP(EDATE(B121,-12),Database!$A:$AS,MATCH($P$1,Database!$A$1:$AS$1,),))))</f>
        <v/>
      </c>
      <c r="Q121" s="13">
        <f>((((VLOOKUP(B121,Database!$A:$AS,MATCH($Q$1,Database!$A$1:$AS$1,),))))-(((VLOOKUP(EDATE(B121,-12),Database!$A:$AS,MATCH($Q$1,Database!$A$1:$AS$1,),)))))/(((VLOOKUP(EDATE(B121,-12),Database!$A:$AS,MATCH($Q$1,Database!$A$1:$AS$1,),))))</f>
        <v/>
      </c>
      <c r="R121" s="13">
        <f>((((VLOOKUP(B121,Database!$A:$AS,MATCH($R$1,Database!$A$1:$AS$1,),))))-(((VLOOKUP(EDATE(B121,-12),Database!$A:$AS,MATCH($R$1,Database!$A$1:$AS$1,),)))))/(((VLOOKUP(EDATE(B121,-12),Database!$A:$AS,MATCH($R$1,Database!$A$1:$AS$1,),))))</f>
        <v/>
      </c>
      <c r="S121" s="13">
        <f>((((VLOOKUP(B121,Database!$A:$AS,MATCH($S$1,Database!$A$1:$AS$1,),))))-(((VLOOKUP(EDATE(B121,-12),Database!$A:$AS,MATCH($S$1,Database!$A$1:$AS$1,),)))))/(((VLOOKUP(EDATE(B121,-12),Database!$A:$AS,MATCH($S$1,Database!$A$1:$AS$1,),))))</f>
        <v/>
      </c>
      <c r="T121" s="13">
        <f>((((VLOOKUP(B121,Database!$A:$AS,MATCH($T$1,Database!$A$1:$AS$1,),))))-(((VLOOKUP(EDATE(B121,-12),Database!$A:$AS,MATCH($T$1,Database!$A$1:$AS$1,),)))))/(((VLOOKUP(EDATE(B121,-12),Database!$A:$AS,MATCH($T$1,Database!$A$1:$AS$1,),))))</f>
        <v/>
      </c>
      <c r="U121" s="13">
        <f>((((VLOOKUP(B121,Database!$A:$AS,MATCH($U$1,Database!$A$1:$AS$1,),))))-(((VLOOKUP(EDATE(B121,-12),Database!$A:$AS,MATCH($U$1,Database!$A$1:$AS$1,),)))))/(((VLOOKUP(EDATE(B121,-12),Database!$A:$AS,MATCH($U$1,Database!$A$1:$AS$1,),))))</f>
        <v/>
      </c>
      <c r="V121" s="13">
        <f>((((VLOOKUP(B121,Database!$A:$AS,MATCH($V$1,Database!$A$1:$AS$1,),))))-(((VLOOKUP(EDATE(B121,-12),Database!$A:$AS,MATCH($V$1,Database!$A$1:$AS$1,),)))))/(((VLOOKUP(EDATE(B121,-12),Database!$A:$AS,MATCH($V$1,Database!$A$1:$AS$1,),))))</f>
        <v/>
      </c>
    </row>
    <row r="122" customFormat="1" s="94">
      <c r="A122" s="44" t="n"/>
      <c r="B122" s="85" t="n">
        <v>35855</v>
      </c>
      <c r="C122" s="13">
        <f>((((VLOOKUP(B122,Database!$A:$AS,MATCH($C$1,Database!$A$1:$AS$1,),))))-(((VLOOKUP(EDATE(B122,-12),Database!$A:$AS,MATCH($C$1,Database!$A$1:$AS$1,),)))))/(((VLOOKUP(EDATE(B122,-12),Database!$A:$AS,MATCH($C$1,Database!$A$1:$AS$1,),))))</f>
        <v/>
      </c>
      <c r="D122" s="13">
        <f>((((VLOOKUP(B122,Database!$A:$AS,MATCH($D$1,Database!$A$1:$AS$1,),))))-(((VLOOKUP(EDATE(B122,-12),Database!$A:$AS,MATCH($D$1,Database!$A$1:$AS$1,),)))))/(((VLOOKUP(EDATE(B122,-12),Database!$A:$AS,MATCH($D$1,Database!$A$1:$AS$1,),))))</f>
        <v/>
      </c>
      <c r="E122" s="13">
        <f>((((VLOOKUP(B122,Database!$A:$AS,MATCH($E$1,Database!$A$1:$AS$1,),))))-(((VLOOKUP(EDATE(B122,-12),Database!$A:$AS,MATCH($E$1,Database!$A$1:$AS$1,),)))))/(((VLOOKUP(EDATE(B122,-12),Database!$A:$AS,MATCH($E$1,Database!$A$1:$AS$1,),))))</f>
        <v/>
      </c>
      <c r="F122" s="13">
        <f>((((VLOOKUP(B122,Database!$A:$AS,MATCH($F$1,Database!$A$1:$AS$1,),))))-(((VLOOKUP(EDATE(B122,-12),Database!$A:$AS,MATCH($F$1,Database!$A$1:$AS$1,),)))))/(((VLOOKUP(EDATE(B122,-12),Database!$A:$AS,MATCH($F$1,Database!$A$1:$AS$1,),))))</f>
        <v/>
      </c>
      <c r="G122" s="13">
        <f>((((VLOOKUP(B122,Database!$A:$AS,MATCH($G$1,Database!$A$1:$AS$1,),))))-(((VLOOKUP(EDATE(B122,-12),Database!$A:$AS,MATCH($G$1,Database!$A$1:$AS$1,),)))))/(((VLOOKUP(EDATE(B122,-12),Database!$A:$AS,MATCH($G$1,Database!$A$1:$AS$1,),))))</f>
        <v/>
      </c>
      <c r="H122" s="13">
        <f>((((VLOOKUP(B122,Database!$A:$AS,MATCH($H$1,Database!$A$1:$AS$1,),))))-(((VLOOKUP(EDATE(B122,-12),Database!$A:$AS,MATCH($H$1,Database!$A$1:$AS$1,),)))))/(((VLOOKUP(EDATE(B122,-12),Database!$A:$AS,MATCH($H$1,Database!$A$1:$AS$1,),))))</f>
        <v/>
      </c>
      <c r="I122" s="13">
        <f>((((VLOOKUP(B122,Database!$A:$AS,MATCH($I$1,Database!$A$1:$AS$1,),))))-(((VLOOKUP(EDATE(B122,-12),Database!$A:$AS,MATCH($I$1,Database!$A$1:$AS$1,),)))))/(((VLOOKUP(EDATE(B122,-12),Database!$A:$AS,MATCH($I$1,Database!$A$1:$AS$1,),))))</f>
        <v/>
      </c>
      <c r="J122" s="13">
        <f>((((VLOOKUP(B122,Database!$A:$AS,MATCH($J$1,Database!$A$1:$AS$1,),))))-(((VLOOKUP(EDATE(B122,-12),Database!$A:$AS,MATCH($J$1,Database!$A$1:$AS$1,),)))))/(((VLOOKUP(EDATE(B122,-12),Database!$A:$AS,MATCH($J$1,Database!$A$1:$AS$1,),))))</f>
        <v/>
      </c>
      <c r="K122" s="13">
        <f>((((VLOOKUP(B122,Database!$A:$AS,MATCH($K$1,Database!$A$1:$AS$1,),))))-(((VLOOKUP(EDATE(B122,-12),Database!$A:$AS,MATCH($K$1,Database!$A$1:$AS$1,),)))))/(((VLOOKUP(EDATE(B122,-12),Database!$A:$AS,MATCH($K$1,Database!$A$1:$AS$1,),))))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((((VLOOKUP(B122,Database!$A:$AS,MATCH($O$1,Database!$A$1:$AS$1,),))))-(((VLOOKUP(EDATE(B122,-12),Database!$A:$AS,MATCH($O$1,Database!$A$1:$AS$1,),)))))/(((VLOOKUP(EDATE(B122,-12),Database!$A:$AS,MATCH($O$1,Database!$A$1:$AS$1,),))))</f>
        <v/>
      </c>
      <c r="P122" s="13">
        <f>((((VLOOKUP(B122,Database!$A:$AS,MATCH($P$1,Database!$A$1:$AS$1,),))))-(((VLOOKUP(EDATE(B122,-12),Database!$A:$AS,MATCH($P$1,Database!$A$1:$AS$1,),)))))/(((VLOOKUP(EDATE(B122,-12),Database!$A:$AS,MATCH($P$1,Database!$A$1:$AS$1,),))))</f>
        <v/>
      </c>
      <c r="Q122" s="13">
        <f>((((VLOOKUP(B122,Database!$A:$AS,MATCH($Q$1,Database!$A$1:$AS$1,),))))-(((VLOOKUP(EDATE(B122,-12),Database!$A:$AS,MATCH($Q$1,Database!$A$1:$AS$1,),)))))/(((VLOOKUP(EDATE(B122,-12),Database!$A:$AS,MATCH($Q$1,Database!$A$1:$AS$1,),))))</f>
        <v/>
      </c>
      <c r="R122" s="13">
        <f>((((VLOOKUP(B122,Database!$A:$AS,MATCH($R$1,Database!$A$1:$AS$1,),))))-(((VLOOKUP(EDATE(B122,-12),Database!$A:$AS,MATCH($R$1,Database!$A$1:$AS$1,),)))))/(((VLOOKUP(EDATE(B122,-12),Database!$A:$AS,MATCH($R$1,Database!$A$1:$AS$1,),))))</f>
        <v/>
      </c>
      <c r="S122" s="13">
        <f>((((VLOOKUP(B122,Database!$A:$AS,MATCH($S$1,Database!$A$1:$AS$1,),))))-(((VLOOKUP(EDATE(B122,-12),Database!$A:$AS,MATCH($S$1,Database!$A$1:$AS$1,),)))))/(((VLOOKUP(EDATE(B122,-12),Database!$A:$AS,MATCH($S$1,Database!$A$1:$AS$1,),))))</f>
        <v/>
      </c>
      <c r="T122" s="13">
        <f>((((VLOOKUP(B122,Database!$A:$AS,MATCH($T$1,Database!$A$1:$AS$1,),))))-(((VLOOKUP(EDATE(B122,-12),Database!$A:$AS,MATCH($T$1,Database!$A$1:$AS$1,),)))))/(((VLOOKUP(EDATE(B122,-12),Database!$A:$AS,MATCH($T$1,Database!$A$1:$AS$1,),))))</f>
        <v/>
      </c>
      <c r="U122" s="13">
        <f>((((VLOOKUP(B122,Database!$A:$AS,MATCH($U$1,Database!$A$1:$AS$1,),))))-(((VLOOKUP(EDATE(B122,-12),Database!$A:$AS,MATCH($U$1,Database!$A$1:$AS$1,),)))))/(((VLOOKUP(EDATE(B122,-12),Database!$A:$AS,MATCH($U$1,Database!$A$1:$AS$1,),))))</f>
        <v/>
      </c>
      <c r="V122" s="13">
        <f>((((VLOOKUP(B122,Database!$A:$AS,MATCH($V$1,Database!$A$1:$AS$1,),))))-(((VLOOKUP(EDATE(B122,-12),Database!$A:$AS,MATCH($V$1,Database!$A$1:$AS$1,),)))))/(((VLOOKUP(EDATE(B122,-12),Database!$A:$AS,MATCH($V$1,Database!$A$1:$AS$1,),))))</f>
        <v/>
      </c>
    </row>
    <row r="123" customFormat="1" s="94">
      <c r="A123" s="44" t="n"/>
      <c r="B123" s="85" t="n">
        <v>35886</v>
      </c>
      <c r="C123" s="13">
        <f>((((VLOOKUP(B123,Database!$A:$AS,MATCH($C$1,Database!$A$1:$AS$1,),))))-(((VLOOKUP(EDATE(B123,-12),Database!$A:$AS,MATCH($C$1,Database!$A$1:$AS$1,),)))))/(((VLOOKUP(EDATE(B123,-12),Database!$A:$AS,MATCH($C$1,Database!$A$1:$AS$1,),))))</f>
        <v/>
      </c>
      <c r="D123" s="13">
        <f>((((VLOOKUP(B123,Database!$A:$AS,MATCH($D$1,Database!$A$1:$AS$1,),))))-(((VLOOKUP(EDATE(B123,-12),Database!$A:$AS,MATCH($D$1,Database!$A$1:$AS$1,),)))))/(((VLOOKUP(EDATE(B123,-12),Database!$A:$AS,MATCH($D$1,Database!$A$1:$AS$1,),))))</f>
        <v/>
      </c>
      <c r="E123" s="13">
        <f>((((VLOOKUP(B123,Database!$A:$AS,MATCH($E$1,Database!$A$1:$AS$1,),))))-(((VLOOKUP(EDATE(B123,-12),Database!$A:$AS,MATCH($E$1,Database!$A$1:$AS$1,),)))))/(((VLOOKUP(EDATE(B123,-12),Database!$A:$AS,MATCH($E$1,Database!$A$1:$AS$1,),))))</f>
        <v/>
      </c>
      <c r="F123" s="13">
        <f>((((VLOOKUP(B123,Database!$A:$AS,MATCH($F$1,Database!$A$1:$AS$1,),))))-(((VLOOKUP(EDATE(B123,-12),Database!$A:$AS,MATCH($F$1,Database!$A$1:$AS$1,),)))))/(((VLOOKUP(EDATE(B123,-12),Database!$A:$AS,MATCH($F$1,Database!$A$1:$AS$1,),))))</f>
        <v/>
      </c>
      <c r="G123" s="13">
        <f>((((VLOOKUP(B123,Database!$A:$AS,MATCH($G$1,Database!$A$1:$AS$1,),))))-(((VLOOKUP(EDATE(B123,-12),Database!$A:$AS,MATCH($G$1,Database!$A$1:$AS$1,),)))))/(((VLOOKUP(EDATE(B123,-12),Database!$A:$AS,MATCH($G$1,Database!$A$1:$AS$1,),))))</f>
        <v/>
      </c>
      <c r="H123" s="13">
        <f>((((VLOOKUP(B123,Database!$A:$AS,MATCH($H$1,Database!$A$1:$AS$1,),))))-(((VLOOKUP(EDATE(B123,-12),Database!$A:$AS,MATCH($H$1,Database!$A$1:$AS$1,),)))))/(((VLOOKUP(EDATE(B123,-12),Database!$A:$AS,MATCH($H$1,Database!$A$1:$AS$1,),))))</f>
        <v/>
      </c>
      <c r="I123" s="13">
        <f>((((VLOOKUP(B123,Database!$A:$AS,MATCH($I$1,Database!$A$1:$AS$1,),))))-(((VLOOKUP(EDATE(B123,-12),Database!$A:$AS,MATCH($I$1,Database!$A$1:$AS$1,),)))))/(((VLOOKUP(EDATE(B123,-12),Database!$A:$AS,MATCH($I$1,Database!$A$1:$AS$1,),))))</f>
        <v/>
      </c>
      <c r="J123" s="13">
        <f>((((VLOOKUP(B123,Database!$A:$AS,MATCH($J$1,Database!$A$1:$AS$1,),))))-(((VLOOKUP(EDATE(B123,-12),Database!$A:$AS,MATCH($J$1,Database!$A$1:$AS$1,),)))))/(((VLOOKUP(EDATE(B123,-12),Database!$A:$AS,MATCH($J$1,Database!$A$1:$AS$1,),))))</f>
        <v/>
      </c>
      <c r="K123" s="13">
        <f>((((VLOOKUP(B123,Database!$A:$AS,MATCH($K$1,Database!$A$1:$AS$1,),))))-(((VLOOKUP(EDATE(B123,-12),Database!$A:$AS,MATCH($K$1,Database!$A$1:$AS$1,),)))))/(((VLOOKUP(EDATE(B123,-12),Database!$A:$AS,MATCH($K$1,Database!$A$1:$AS$1,),))))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((((VLOOKUP(B123,Database!$A:$AS,MATCH($O$1,Database!$A$1:$AS$1,),))))-(((VLOOKUP(EDATE(B123,-12),Database!$A:$AS,MATCH($O$1,Database!$A$1:$AS$1,),)))))/(((VLOOKUP(EDATE(B123,-12),Database!$A:$AS,MATCH($O$1,Database!$A$1:$AS$1,),))))</f>
        <v/>
      </c>
      <c r="P123" s="13">
        <f>((((VLOOKUP(B123,Database!$A:$AS,MATCH($P$1,Database!$A$1:$AS$1,),))))-(((VLOOKUP(EDATE(B123,-12),Database!$A:$AS,MATCH($P$1,Database!$A$1:$AS$1,),)))))/(((VLOOKUP(EDATE(B123,-12),Database!$A:$AS,MATCH($P$1,Database!$A$1:$AS$1,),))))</f>
        <v/>
      </c>
      <c r="Q123" s="13">
        <f>((((VLOOKUP(B123,Database!$A:$AS,MATCH($Q$1,Database!$A$1:$AS$1,),))))-(((VLOOKUP(EDATE(B123,-12),Database!$A:$AS,MATCH($Q$1,Database!$A$1:$AS$1,),)))))/(((VLOOKUP(EDATE(B123,-12),Database!$A:$AS,MATCH($Q$1,Database!$A$1:$AS$1,),))))</f>
        <v/>
      </c>
      <c r="R123" s="13">
        <f>((((VLOOKUP(B123,Database!$A:$AS,MATCH($R$1,Database!$A$1:$AS$1,),))))-(((VLOOKUP(EDATE(B123,-12),Database!$A:$AS,MATCH($R$1,Database!$A$1:$AS$1,),)))))/(((VLOOKUP(EDATE(B123,-12),Database!$A:$AS,MATCH($R$1,Database!$A$1:$AS$1,),))))</f>
        <v/>
      </c>
      <c r="S123" s="13">
        <f>((((VLOOKUP(B123,Database!$A:$AS,MATCH($S$1,Database!$A$1:$AS$1,),))))-(((VLOOKUP(EDATE(B123,-12),Database!$A:$AS,MATCH($S$1,Database!$A$1:$AS$1,),)))))/(((VLOOKUP(EDATE(B123,-12),Database!$A:$AS,MATCH($S$1,Database!$A$1:$AS$1,),))))</f>
        <v/>
      </c>
      <c r="T123" s="13">
        <f>((((VLOOKUP(B123,Database!$A:$AS,MATCH($T$1,Database!$A$1:$AS$1,),))))-(((VLOOKUP(EDATE(B123,-12),Database!$A:$AS,MATCH($T$1,Database!$A$1:$AS$1,),)))))/(((VLOOKUP(EDATE(B123,-12),Database!$A:$AS,MATCH($T$1,Database!$A$1:$AS$1,),))))</f>
        <v/>
      </c>
      <c r="U123" s="13">
        <f>((((VLOOKUP(B123,Database!$A:$AS,MATCH($U$1,Database!$A$1:$AS$1,),))))-(((VLOOKUP(EDATE(B123,-12),Database!$A:$AS,MATCH($U$1,Database!$A$1:$AS$1,),)))))/(((VLOOKUP(EDATE(B123,-12),Database!$A:$AS,MATCH($U$1,Database!$A$1:$AS$1,),))))</f>
        <v/>
      </c>
      <c r="V123" s="13">
        <f>((((VLOOKUP(B123,Database!$A:$AS,MATCH($V$1,Database!$A$1:$AS$1,),))))-(((VLOOKUP(EDATE(B123,-12),Database!$A:$AS,MATCH($V$1,Database!$A$1:$AS$1,),)))))/(((VLOOKUP(EDATE(B123,-12),Database!$A:$AS,MATCH($V$1,Database!$A$1:$AS$1,),))))</f>
        <v/>
      </c>
    </row>
    <row r="124" customFormat="1" s="94">
      <c r="A124" s="44" t="n"/>
      <c r="B124" s="85" t="n">
        <v>35916</v>
      </c>
      <c r="C124" s="13">
        <f>((((VLOOKUP(B124,Database!$A:$AS,MATCH($C$1,Database!$A$1:$AS$1,),))))-(((VLOOKUP(EDATE(B124,-12),Database!$A:$AS,MATCH($C$1,Database!$A$1:$AS$1,),)))))/(((VLOOKUP(EDATE(B124,-12),Database!$A:$AS,MATCH($C$1,Database!$A$1:$AS$1,),))))</f>
        <v/>
      </c>
      <c r="D124" s="13">
        <f>((((VLOOKUP(B124,Database!$A:$AS,MATCH($D$1,Database!$A$1:$AS$1,),))))-(((VLOOKUP(EDATE(B124,-12),Database!$A:$AS,MATCH($D$1,Database!$A$1:$AS$1,),)))))/(((VLOOKUP(EDATE(B124,-12),Database!$A:$AS,MATCH($D$1,Database!$A$1:$AS$1,),))))</f>
        <v/>
      </c>
      <c r="E124" s="13">
        <f>((((VLOOKUP(B124,Database!$A:$AS,MATCH($E$1,Database!$A$1:$AS$1,),))))-(((VLOOKUP(EDATE(B124,-12),Database!$A:$AS,MATCH($E$1,Database!$A$1:$AS$1,),)))))/(((VLOOKUP(EDATE(B124,-12),Database!$A:$AS,MATCH($E$1,Database!$A$1:$AS$1,),))))</f>
        <v/>
      </c>
      <c r="F124" s="13">
        <f>((((VLOOKUP(B124,Database!$A:$AS,MATCH($F$1,Database!$A$1:$AS$1,),))))-(((VLOOKUP(EDATE(B124,-12),Database!$A:$AS,MATCH($F$1,Database!$A$1:$AS$1,),)))))/(((VLOOKUP(EDATE(B124,-12),Database!$A:$AS,MATCH($F$1,Database!$A$1:$AS$1,),))))</f>
        <v/>
      </c>
      <c r="G124" s="13">
        <f>((((VLOOKUP(B124,Database!$A:$AS,MATCH($G$1,Database!$A$1:$AS$1,),))))-(((VLOOKUP(EDATE(B124,-12),Database!$A:$AS,MATCH($G$1,Database!$A$1:$AS$1,),)))))/(((VLOOKUP(EDATE(B124,-12),Database!$A:$AS,MATCH($G$1,Database!$A$1:$AS$1,),))))</f>
        <v/>
      </c>
      <c r="H124" s="13">
        <f>((((VLOOKUP(B124,Database!$A:$AS,MATCH($H$1,Database!$A$1:$AS$1,),))))-(((VLOOKUP(EDATE(B124,-12),Database!$A:$AS,MATCH($H$1,Database!$A$1:$AS$1,),)))))/(((VLOOKUP(EDATE(B124,-12),Database!$A:$AS,MATCH($H$1,Database!$A$1:$AS$1,),))))</f>
        <v/>
      </c>
      <c r="I124" s="13">
        <f>((((VLOOKUP(B124,Database!$A:$AS,MATCH($I$1,Database!$A$1:$AS$1,),))))-(((VLOOKUP(EDATE(B124,-12),Database!$A:$AS,MATCH($I$1,Database!$A$1:$AS$1,),)))))/(((VLOOKUP(EDATE(B124,-12),Database!$A:$AS,MATCH($I$1,Database!$A$1:$AS$1,),))))</f>
        <v/>
      </c>
      <c r="J124" s="13">
        <f>((((VLOOKUP(B124,Database!$A:$AS,MATCH($J$1,Database!$A$1:$AS$1,),))))-(((VLOOKUP(EDATE(B124,-12),Database!$A:$AS,MATCH($J$1,Database!$A$1:$AS$1,),)))))/(((VLOOKUP(EDATE(B124,-12),Database!$A:$AS,MATCH($J$1,Database!$A$1:$AS$1,),))))</f>
        <v/>
      </c>
      <c r="K124" s="13">
        <f>((((VLOOKUP(B124,Database!$A:$AS,MATCH($K$1,Database!$A$1:$AS$1,),))))-(((VLOOKUP(EDATE(B124,-12),Database!$A:$AS,MATCH($K$1,Database!$A$1:$AS$1,),)))))/(((VLOOKUP(EDATE(B124,-12),Database!$A:$AS,MATCH($K$1,Database!$A$1:$AS$1,),))))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((((VLOOKUP(B124,Database!$A:$AS,MATCH($O$1,Database!$A$1:$AS$1,),))))-(((VLOOKUP(EDATE(B124,-12),Database!$A:$AS,MATCH($O$1,Database!$A$1:$AS$1,),)))))/(((VLOOKUP(EDATE(B124,-12),Database!$A:$AS,MATCH($O$1,Database!$A$1:$AS$1,),))))</f>
        <v/>
      </c>
      <c r="P124" s="13">
        <f>((((VLOOKUP(B124,Database!$A:$AS,MATCH($P$1,Database!$A$1:$AS$1,),))))-(((VLOOKUP(EDATE(B124,-12),Database!$A:$AS,MATCH($P$1,Database!$A$1:$AS$1,),)))))/(((VLOOKUP(EDATE(B124,-12),Database!$A:$AS,MATCH($P$1,Database!$A$1:$AS$1,),))))</f>
        <v/>
      </c>
      <c r="Q124" s="13">
        <f>((((VLOOKUP(B124,Database!$A:$AS,MATCH($Q$1,Database!$A$1:$AS$1,),))))-(((VLOOKUP(EDATE(B124,-12),Database!$A:$AS,MATCH($Q$1,Database!$A$1:$AS$1,),)))))/(((VLOOKUP(EDATE(B124,-12),Database!$A:$AS,MATCH($Q$1,Database!$A$1:$AS$1,),))))</f>
        <v/>
      </c>
      <c r="R124" s="13">
        <f>((((VLOOKUP(B124,Database!$A:$AS,MATCH($R$1,Database!$A$1:$AS$1,),))))-(((VLOOKUP(EDATE(B124,-12),Database!$A:$AS,MATCH($R$1,Database!$A$1:$AS$1,),)))))/(((VLOOKUP(EDATE(B124,-12),Database!$A:$AS,MATCH($R$1,Database!$A$1:$AS$1,),))))</f>
        <v/>
      </c>
      <c r="S124" s="13">
        <f>((((VLOOKUP(B124,Database!$A:$AS,MATCH($S$1,Database!$A$1:$AS$1,),))))-(((VLOOKUP(EDATE(B124,-12),Database!$A:$AS,MATCH($S$1,Database!$A$1:$AS$1,),)))))/(((VLOOKUP(EDATE(B124,-12),Database!$A:$AS,MATCH($S$1,Database!$A$1:$AS$1,),))))</f>
        <v/>
      </c>
      <c r="T124" s="13">
        <f>((((VLOOKUP(B124,Database!$A:$AS,MATCH($T$1,Database!$A$1:$AS$1,),))))-(((VLOOKUP(EDATE(B124,-12),Database!$A:$AS,MATCH($T$1,Database!$A$1:$AS$1,),)))))/(((VLOOKUP(EDATE(B124,-12),Database!$A:$AS,MATCH($T$1,Database!$A$1:$AS$1,),))))</f>
        <v/>
      </c>
      <c r="U124" s="13">
        <f>((((VLOOKUP(B124,Database!$A:$AS,MATCH($U$1,Database!$A$1:$AS$1,),))))-(((VLOOKUP(EDATE(B124,-12),Database!$A:$AS,MATCH($U$1,Database!$A$1:$AS$1,),)))))/(((VLOOKUP(EDATE(B124,-12),Database!$A:$AS,MATCH($U$1,Database!$A$1:$AS$1,),))))</f>
        <v/>
      </c>
      <c r="V124" s="13">
        <f>((((VLOOKUP(B124,Database!$A:$AS,MATCH($V$1,Database!$A$1:$AS$1,),))))-(((VLOOKUP(EDATE(B124,-12),Database!$A:$AS,MATCH($V$1,Database!$A$1:$AS$1,),)))))/(((VLOOKUP(EDATE(B124,-12),Database!$A:$AS,MATCH($V$1,Database!$A$1:$AS$1,),))))</f>
        <v/>
      </c>
    </row>
    <row r="125" customFormat="1" s="94">
      <c r="A125" s="44" t="n"/>
      <c r="B125" s="85" t="n">
        <v>35947</v>
      </c>
      <c r="C125" s="13">
        <f>((((VLOOKUP(B125,Database!$A:$AS,MATCH($C$1,Database!$A$1:$AS$1,),))))-(((VLOOKUP(EDATE(B125,-12),Database!$A:$AS,MATCH($C$1,Database!$A$1:$AS$1,),)))))/(((VLOOKUP(EDATE(B125,-12),Database!$A:$AS,MATCH($C$1,Database!$A$1:$AS$1,),))))</f>
        <v/>
      </c>
      <c r="D125" s="13">
        <f>((((VLOOKUP(B125,Database!$A:$AS,MATCH($D$1,Database!$A$1:$AS$1,),))))-(((VLOOKUP(EDATE(B125,-12),Database!$A:$AS,MATCH($D$1,Database!$A$1:$AS$1,),)))))/(((VLOOKUP(EDATE(B125,-12),Database!$A:$AS,MATCH($D$1,Database!$A$1:$AS$1,),))))</f>
        <v/>
      </c>
      <c r="E125" s="13">
        <f>((((VLOOKUP(B125,Database!$A:$AS,MATCH($E$1,Database!$A$1:$AS$1,),))))-(((VLOOKUP(EDATE(B125,-12),Database!$A:$AS,MATCH($E$1,Database!$A$1:$AS$1,),)))))/(((VLOOKUP(EDATE(B125,-12),Database!$A:$AS,MATCH($E$1,Database!$A$1:$AS$1,),))))</f>
        <v/>
      </c>
      <c r="F125" s="13">
        <f>((((VLOOKUP(B125,Database!$A:$AS,MATCH($F$1,Database!$A$1:$AS$1,),))))-(((VLOOKUP(EDATE(B125,-12),Database!$A:$AS,MATCH($F$1,Database!$A$1:$AS$1,),)))))/(((VLOOKUP(EDATE(B125,-12),Database!$A:$AS,MATCH($F$1,Database!$A$1:$AS$1,),))))</f>
        <v/>
      </c>
      <c r="G125" s="13">
        <f>((((VLOOKUP(B125,Database!$A:$AS,MATCH($G$1,Database!$A$1:$AS$1,),))))-(((VLOOKUP(EDATE(B125,-12),Database!$A:$AS,MATCH($G$1,Database!$A$1:$AS$1,),)))))/(((VLOOKUP(EDATE(B125,-12),Database!$A:$AS,MATCH($G$1,Database!$A$1:$AS$1,),))))</f>
        <v/>
      </c>
      <c r="H125" s="13">
        <f>((((VLOOKUP(B125,Database!$A:$AS,MATCH($H$1,Database!$A$1:$AS$1,),))))-(((VLOOKUP(EDATE(B125,-12),Database!$A:$AS,MATCH($H$1,Database!$A$1:$AS$1,),)))))/(((VLOOKUP(EDATE(B125,-12),Database!$A:$AS,MATCH($H$1,Database!$A$1:$AS$1,),))))</f>
        <v/>
      </c>
      <c r="I125" s="13">
        <f>((((VLOOKUP(B125,Database!$A:$AS,MATCH($I$1,Database!$A$1:$AS$1,),))))-(((VLOOKUP(EDATE(B125,-12),Database!$A:$AS,MATCH($I$1,Database!$A$1:$AS$1,),)))))/(((VLOOKUP(EDATE(B125,-12),Database!$A:$AS,MATCH($I$1,Database!$A$1:$AS$1,),))))</f>
        <v/>
      </c>
      <c r="J125" s="13">
        <f>((((VLOOKUP(B125,Database!$A:$AS,MATCH($J$1,Database!$A$1:$AS$1,),))))-(((VLOOKUP(EDATE(B125,-12),Database!$A:$AS,MATCH($J$1,Database!$A$1:$AS$1,),)))))/(((VLOOKUP(EDATE(B125,-12),Database!$A:$AS,MATCH($J$1,Database!$A$1:$AS$1,),))))</f>
        <v/>
      </c>
      <c r="K125" s="13">
        <f>((((VLOOKUP(B125,Database!$A:$AS,MATCH($K$1,Database!$A$1:$AS$1,),))))-(((VLOOKUP(EDATE(B125,-12),Database!$A:$AS,MATCH($K$1,Database!$A$1:$AS$1,),)))))/(((VLOOKUP(EDATE(B125,-12),Database!$A:$AS,MATCH($K$1,Database!$A$1:$AS$1,),))))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((((VLOOKUP(B125,Database!$A:$AS,MATCH($O$1,Database!$A$1:$AS$1,),))))-(((VLOOKUP(EDATE(B125,-12),Database!$A:$AS,MATCH($O$1,Database!$A$1:$AS$1,),)))))/(((VLOOKUP(EDATE(B125,-12),Database!$A:$AS,MATCH($O$1,Database!$A$1:$AS$1,),))))</f>
        <v/>
      </c>
      <c r="P125" s="13">
        <f>((((VLOOKUP(B125,Database!$A:$AS,MATCH($P$1,Database!$A$1:$AS$1,),))))-(((VLOOKUP(EDATE(B125,-12),Database!$A:$AS,MATCH($P$1,Database!$A$1:$AS$1,),)))))/(((VLOOKUP(EDATE(B125,-12),Database!$A:$AS,MATCH($P$1,Database!$A$1:$AS$1,),))))</f>
        <v/>
      </c>
      <c r="Q125" s="13">
        <f>((((VLOOKUP(B125,Database!$A:$AS,MATCH($Q$1,Database!$A$1:$AS$1,),))))-(((VLOOKUP(EDATE(B125,-12),Database!$A:$AS,MATCH($Q$1,Database!$A$1:$AS$1,),)))))/(((VLOOKUP(EDATE(B125,-12),Database!$A:$AS,MATCH($Q$1,Database!$A$1:$AS$1,),))))</f>
        <v/>
      </c>
      <c r="R125" s="13">
        <f>((((VLOOKUP(B125,Database!$A:$AS,MATCH($R$1,Database!$A$1:$AS$1,),))))-(((VLOOKUP(EDATE(B125,-12),Database!$A:$AS,MATCH($R$1,Database!$A$1:$AS$1,),)))))/(((VLOOKUP(EDATE(B125,-12),Database!$A:$AS,MATCH($R$1,Database!$A$1:$AS$1,),))))</f>
        <v/>
      </c>
      <c r="S125" s="13">
        <f>((((VLOOKUP(B125,Database!$A:$AS,MATCH($S$1,Database!$A$1:$AS$1,),))))-(((VLOOKUP(EDATE(B125,-12),Database!$A:$AS,MATCH($S$1,Database!$A$1:$AS$1,),)))))/(((VLOOKUP(EDATE(B125,-12),Database!$A:$AS,MATCH($S$1,Database!$A$1:$AS$1,),))))</f>
        <v/>
      </c>
      <c r="T125" s="13">
        <f>((((VLOOKUP(B125,Database!$A:$AS,MATCH($T$1,Database!$A$1:$AS$1,),))))-(((VLOOKUP(EDATE(B125,-12),Database!$A:$AS,MATCH($T$1,Database!$A$1:$AS$1,),)))))/(((VLOOKUP(EDATE(B125,-12),Database!$A:$AS,MATCH($T$1,Database!$A$1:$AS$1,),))))</f>
        <v/>
      </c>
      <c r="U125" s="13">
        <f>((((VLOOKUP(B125,Database!$A:$AS,MATCH($U$1,Database!$A$1:$AS$1,),))))-(((VLOOKUP(EDATE(B125,-12),Database!$A:$AS,MATCH($U$1,Database!$A$1:$AS$1,),)))))/(((VLOOKUP(EDATE(B125,-12),Database!$A:$AS,MATCH($U$1,Database!$A$1:$AS$1,),))))</f>
        <v/>
      </c>
      <c r="V125" s="13">
        <f>((((VLOOKUP(B125,Database!$A:$AS,MATCH($V$1,Database!$A$1:$AS$1,),))))-(((VLOOKUP(EDATE(B125,-12),Database!$A:$AS,MATCH($V$1,Database!$A$1:$AS$1,),)))))/(((VLOOKUP(EDATE(B125,-12),Database!$A:$AS,MATCH($V$1,Database!$A$1:$AS$1,),))))</f>
        <v/>
      </c>
    </row>
    <row r="126" customFormat="1" s="94">
      <c r="A126" s="44" t="n"/>
      <c r="B126" s="85" t="n">
        <v>35977</v>
      </c>
      <c r="C126" s="13">
        <f>((((VLOOKUP(B126,Database!$A:$AS,MATCH($C$1,Database!$A$1:$AS$1,),))))-(((VLOOKUP(EDATE(B126,-12),Database!$A:$AS,MATCH($C$1,Database!$A$1:$AS$1,),)))))/(((VLOOKUP(EDATE(B126,-12),Database!$A:$AS,MATCH($C$1,Database!$A$1:$AS$1,),))))</f>
        <v/>
      </c>
      <c r="D126" s="13">
        <f>((((VLOOKUP(B126,Database!$A:$AS,MATCH($D$1,Database!$A$1:$AS$1,),))))-(((VLOOKUP(EDATE(B126,-12),Database!$A:$AS,MATCH($D$1,Database!$A$1:$AS$1,),)))))/(((VLOOKUP(EDATE(B126,-12),Database!$A:$AS,MATCH($D$1,Database!$A$1:$AS$1,),))))</f>
        <v/>
      </c>
      <c r="E126" s="13">
        <f>((((VLOOKUP(B126,Database!$A:$AS,MATCH($E$1,Database!$A$1:$AS$1,),))))-(((VLOOKUP(EDATE(B126,-12),Database!$A:$AS,MATCH($E$1,Database!$A$1:$AS$1,),)))))/(((VLOOKUP(EDATE(B126,-12),Database!$A:$AS,MATCH($E$1,Database!$A$1:$AS$1,),))))</f>
        <v/>
      </c>
      <c r="F126" s="13">
        <f>((((VLOOKUP(B126,Database!$A:$AS,MATCH($F$1,Database!$A$1:$AS$1,),))))-(((VLOOKUP(EDATE(B126,-12),Database!$A:$AS,MATCH($F$1,Database!$A$1:$AS$1,),)))))/(((VLOOKUP(EDATE(B126,-12),Database!$A:$AS,MATCH($F$1,Database!$A$1:$AS$1,),))))</f>
        <v/>
      </c>
      <c r="G126" s="13">
        <f>((((VLOOKUP(B126,Database!$A:$AS,MATCH($G$1,Database!$A$1:$AS$1,),))))-(((VLOOKUP(EDATE(B126,-12),Database!$A:$AS,MATCH($G$1,Database!$A$1:$AS$1,),)))))/(((VLOOKUP(EDATE(B126,-12),Database!$A:$AS,MATCH($G$1,Database!$A$1:$AS$1,),))))</f>
        <v/>
      </c>
      <c r="H126" s="13">
        <f>((((VLOOKUP(B126,Database!$A:$AS,MATCH($H$1,Database!$A$1:$AS$1,),))))-(((VLOOKUP(EDATE(B126,-12),Database!$A:$AS,MATCH($H$1,Database!$A$1:$AS$1,),)))))/(((VLOOKUP(EDATE(B126,-12),Database!$A:$AS,MATCH($H$1,Database!$A$1:$AS$1,),))))</f>
        <v/>
      </c>
      <c r="I126" s="13">
        <f>((((VLOOKUP(B126,Database!$A:$AS,MATCH($I$1,Database!$A$1:$AS$1,),))))-(((VLOOKUP(EDATE(B126,-12),Database!$A:$AS,MATCH($I$1,Database!$A$1:$AS$1,),)))))/(((VLOOKUP(EDATE(B126,-12),Database!$A:$AS,MATCH($I$1,Database!$A$1:$AS$1,),))))</f>
        <v/>
      </c>
      <c r="J126" s="13">
        <f>((((VLOOKUP(B126,Database!$A:$AS,MATCH($J$1,Database!$A$1:$AS$1,),))))-(((VLOOKUP(EDATE(B126,-12),Database!$A:$AS,MATCH($J$1,Database!$A$1:$AS$1,),)))))/(((VLOOKUP(EDATE(B126,-12),Database!$A:$AS,MATCH($J$1,Database!$A$1:$AS$1,),))))</f>
        <v/>
      </c>
      <c r="K126" s="13">
        <f>((((VLOOKUP(B126,Database!$A:$AS,MATCH($K$1,Database!$A$1:$AS$1,),))))-(((VLOOKUP(EDATE(B126,-12),Database!$A:$AS,MATCH($K$1,Database!$A$1:$AS$1,),)))))/(((VLOOKUP(EDATE(B126,-12),Database!$A:$AS,MATCH($K$1,Database!$A$1:$AS$1,),))))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((((VLOOKUP(B126,Database!$A:$AS,MATCH($O$1,Database!$A$1:$AS$1,),))))-(((VLOOKUP(EDATE(B126,-12),Database!$A:$AS,MATCH($O$1,Database!$A$1:$AS$1,),)))))/(((VLOOKUP(EDATE(B126,-12),Database!$A:$AS,MATCH($O$1,Database!$A$1:$AS$1,),))))</f>
        <v/>
      </c>
      <c r="P126" s="13">
        <f>((((VLOOKUP(B126,Database!$A:$AS,MATCH($P$1,Database!$A$1:$AS$1,),))))-(((VLOOKUP(EDATE(B126,-12),Database!$A:$AS,MATCH($P$1,Database!$A$1:$AS$1,),)))))/(((VLOOKUP(EDATE(B126,-12),Database!$A:$AS,MATCH($P$1,Database!$A$1:$AS$1,),))))</f>
        <v/>
      </c>
      <c r="Q126" s="13">
        <f>((((VLOOKUP(B126,Database!$A:$AS,MATCH($Q$1,Database!$A$1:$AS$1,),))))-(((VLOOKUP(EDATE(B126,-12),Database!$A:$AS,MATCH($Q$1,Database!$A$1:$AS$1,),)))))/(((VLOOKUP(EDATE(B126,-12),Database!$A:$AS,MATCH($Q$1,Database!$A$1:$AS$1,),))))</f>
        <v/>
      </c>
      <c r="R126" s="13">
        <f>((((VLOOKUP(B126,Database!$A:$AS,MATCH($R$1,Database!$A$1:$AS$1,),))))-(((VLOOKUP(EDATE(B126,-12),Database!$A:$AS,MATCH($R$1,Database!$A$1:$AS$1,),)))))/(((VLOOKUP(EDATE(B126,-12),Database!$A:$AS,MATCH($R$1,Database!$A$1:$AS$1,),))))</f>
        <v/>
      </c>
      <c r="S126" s="13">
        <f>((((VLOOKUP(B126,Database!$A:$AS,MATCH($S$1,Database!$A$1:$AS$1,),))))-(((VLOOKUP(EDATE(B126,-12),Database!$A:$AS,MATCH($S$1,Database!$A$1:$AS$1,),)))))/(((VLOOKUP(EDATE(B126,-12),Database!$A:$AS,MATCH($S$1,Database!$A$1:$AS$1,),))))</f>
        <v/>
      </c>
      <c r="T126" s="13">
        <f>((((VLOOKUP(B126,Database!$A:$AS,MATCH($T$1,Database!$A$1:$AS$1,),))))-(((VLOOKUP(EDATE(B126,-12),Database!$A:$AS,MATCH($T$1,Database!$A$1:$AS$1,),)))))/(((VLOOKUP(EDATE(B126,-12),Database!$A:$AS,MATCH($T$1,Database!$A$1:$AS$1,),))))</f>
        <v/>
      </c>
      <c r="U126" s="13">
        <f>((((VLOOKUP(B126,Database!$A:$AS,MATCH($U$1,Database!$A$1:$AS$1,),))))-(((VLOOKUP(EDATE(B126,-12),Database!$A:$AS,MATCH($U$1,Database!$A$1:$AS$1,),)))))/(((VLOOKUP(EDATE(B126,-12),Database!$A:$AS,MATCH($U$1,Database!$A$1:$AS$1,),))))</f>
        <v/>
      </c>
      <c r="V126" s="13">
        <f>((((VLOOKUP(B126,Database!$A:$AS,MATCH($V$1,Database!$A$1:$AS$1,),))))-(((VLOOKUP(EDATE(B126,-12),Database!$A:$AS,MATCH($V$1,Database!$A$1:$AS$1,),)))))/(((VLOOKUP(EDATE(B126,-12),Database!$A:$AS,MATCH($V$1,Database!$A$1:$AS$1,),))))</f>
        <v/>
      </c>
    </row>
    <row r="127" customFormat="1" s="94">
      <c r="A127" s="44" t="n"/>
      <c r="B127" s="85" t="n">
        <v>36008</v>
      </c>
      <c r="C127" s="13">
        <f>((((VLOOKUP(B127,Database!$A:$AS,MATCH($C$1,Database!$A$1:$AS$1,),))))-(((VLOOKUP(EDATE(B127,-12),Database!$A:$AS,MATCH($C$1,Database!$A$1:$AS$1,),)))))/(((VLOOKUP(EDATE(B127,-12),Database!$A:$AS,MATCH($C$1,Database!$A$1:$AS$1,),))))</f>
        <v/>
      </c>
      <c r="D127" s="13">
        <f>((((VLOOKUP(B127,Database!$A:$AS,MATCH($D$1,Database!$A$1:$AS$1,),))))-(((VLOOKUP(EDATE(B127,-12),Database!$A:$AS,MATCH($D$1,Database!$A$1:$AS$1,),)))))/(((VLOOKUP(EDATE(B127,-12),Database!$A:$AS,MATCH($D$1,Database!$A$1:$AS$1,),))))</f>
        <v/>
      </c>
      <c r="E127" s="13">
        <f>((((VLOOKUP(B127,Database!$A:$AS,MATCH($E$1,Database!$A$1:$AS$1,),))))-(((VLOOKUP(EDATE(B127,-12),Database!$A:$AS,MATCH($E$1,Database!$A$1:$AS$1,),)))))/(((VLOOKUP(EDATE(B127,-12),Database!$A:$AS,MATCH($E$1,Database!$A$1:$AS$1,),))))</f>
        <v/>
      </c>
      <c r="F127" s="13">
        <f>((((VLOOKUP(B127,Database!$A:$AS,MATCH($F$1,Database!$A$1:$AS$1,),))))-(((VLOOKUP(EDATE(B127,-12),Database!$A:$AS,MATCH($F$1,Database!$A$1:$AS$1,),)))))/(((VLOOKUP(EDATE(B127,-12),Database!$A:$AS,MATCH($F$1,Database!$A$1:$AS$1,),))))</f>
        <v/>
      </c>
      <c r="G127" s="13">
        <f>((((VLOOKUP(B127,Database!$A:$AS,MATCH($G$1,Database!$A$1:$AS$1,),))))-(((VLOOKUP(EDATE(B127,-12),Database!$A:$AS,MATCH($G$1,Database!$A$1:$AS$1,),)))))/(((VLOOKUP(EDATE(B127,-12),Database!$A:$AS,MATCH($G$1,Database!$A$1:$AS$1,),))))</f>
        <v/>
      </c>
      <c r="H127" s="13">
        <f>((((VLOOKUP(B127,Database!$A:$AS,MATCH($H$1,Database!$A$1:$AS$1,),))))-(((VLOOKUP(EDATE(B127,-12),Database!$A:$AS,MATCH($H$1,Database!$A$1:$AS$1,),)))))/(((VLOOKUP(EDATE(B127,-12),Database!$A:$AS,MATCH($H$1,Database!$A$1:$AS$1,),))))</f>
        <v/>
      </c>
      <c r="I127" s="13">
        <f>((((VLOOKUP(B127,Database!$A:$AS,MATCH($I$1,Database!$A$1:$AS$1,),))))-(((VLOOKUP(EDATE(B127,-12),Database!$A:$AS,MATCH($I$1,Database!$A$1:$AS$1,),)))))/(((VLOOKUP(EDATE(B127,-12),Database!$A:$AS,MATCH($I$1,Database!$A$1:$AS$1,),))))</f>
        <v/>
      </c>
      <c r="J127" s="13">
        <f>((((VLOOKUP(B127,Database!$A:$AS,MATCH($J$1,Database!$A$1:$AS$1,),))))-(((VLOOKUP(EDATE(B127,-12),Database!$A:$AS,MATCH($J$1,Database!$A$1:$AS$1,),)))))/(((VLOOKUP(EDATE(B127,-12),Database!$A:$AS,MATCH($J$1,Database!$A$1:$AS$1,),))))</f>
        <v/>
      </c>
      <c r="K127" s="13">
        <f>((((VLOOKUP(B127,Database!$A:$AS,MATCH($K$1,Database!$A$1:$AS$1,),))))-(((VLOOKUP(EDATE(B127,-12),Database!$A:$AS,MATCH($K$1,Database!$A$1:$AS$1,),)))))/(((VLOOKUP(EDATE(B127,-12),Database!$A:$AS,MATCH($K$1,Database!$A$1:$AS$1,),))))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((((VLOOKUP(B127,Database!$A:$AS,MATCH($O$1,Database!$A$1:$AS$1,),))))-(((VLOOKUP(EDATE(B127,-12),Database!$A:$AS,MATCH($O$1,Database!$A$1:$AS$1,),)))))/(((VLOOKUP(EDATE(B127,-12),Database!$A:$AS,MATCH($O$1,Database!$A$1:$AS$1,),))))</f>
        <v/>
      </c>
      <c r="P127" s="13">
        <f>((((VLOOKUP(B127,Database!$A:$AS,MATCH($P$1,Database!$A$1:$AS$1,),))))-(((VLOOKUP(EDATE(B127,-12),Database!$A:$AS,MATCH($P$1,Database!$A$1:$AS$1,),)))))/(((VLOOKUP(EDATE(B127,-12),Database!$A:$AS,MATCH($P$1,Database!$A$1:$AS$1,),))))</f>
        <v/>
      </c>
      <c r="Q127" s="13">
        <f>((((VLOOKUP(B127,Database!$A:$AS,MATCH($Q$1,Database!$A$1:$AS$1,),))))-(((VLOOKUP(EDATE(B127,-12),Database!$A:$AS,MATCH($Q$1,Database!$A$1:$AS$1,),)))))/(((VLOOKUP(EDATE(B127,-12),Database!$A:$AS,MATCH($Q$1,Database!$A$1:$AS$1,),))))</f>
        <v/>
      </c>
      <c r="R127" s="13">
        <f>((((VLOOKUP(B127,Database!$A:$AS,MATCH($R$1,Database!$A$1:$AS$1,),))))-(((VLOOKUP(EDATE(B127,-12),Database!$A:$AS,MATCH($R$1,Database!$A$1:$AS$1,),)))))/(((VLOOKUP(EDATE(B127,-12),Database!$A:$AS,MATCH($R$1,Database!$A$1:$AS$1,),))))</f>
        <v/>
      </c>
      <c r="S127" s="13">
        <f>((((VLOOKUP(B127,Database!$A:$AS,MATCH($S$1,Database!$A$1:$AS$1,),))))-(((VLOOKUP(EDATE(B127,-12),Database!$A:$AS,MATCH($S$1,Database!$A$1:$AS$1,),)))))/(((VLOOKUP(EDATE(B127,-12),Database!$A:$AS,MATCH($S$1,Database!$A$1:$AS$1,),))))</f>
        <v/>
      </c>
      <c r="T127" s="13">
        <f>((((VLOOKUP(B127,Database!$A:$AS,MATCH($T$1,Database!$A$1:$AS$1,),))))-(((VLOOKUP(EDATE(B127,-12),Database!$A:$AS,MATCH($T$1,Database!$A$1:$AS$1,),)))))/(((VLOOKUP(EDATE(B127,-12),Database!$A:$AS,MATCH($T$1,Database!$A$1:$AS$1,),))))</f>
        <v/>
      </c>
      <c r="U127" s="13">
        <f>((((VLOOKUP(B127,Database!$A:$AS,MATCH($U$1,Database!$A$1:$AS$1,),))))-(((VLOOKUP(EDATE(B127,-12),Database!$A:$AS,MATCH($U$1,Database!$A$1:$AS$1,),)))))/(((VLOOKUP(EDATE(B127,-12),Database!$A:$AS,MATCH($U$1,Database!$A$1:$AS$1,),))))</f>
        <v/>
      </c>
      <c r="V127" s="13">
        <f>((((VLOOKUP(B127,Database!$A:$AS,MATCH($V$1,Database!$A$1:$AS$1,),))))-(((VLOOKUP(EDATE(B127,-12),Database!$A:$AS,MATCH($V$1,Database!$A$1:$AS$1,),)))))/(((VLOOKUP(EDATE(B127,-12),Database!$A:$AS,MATCH($V$1,Database!$A$1:$AS$1,),))))</f>
        <v/>
      </c>
    </row>
    <row r="128" customFormat="1" s="94">
      <c r="A128" s="44" t="n"/>
      <c r="B128" s="85" t="n">
        <v>36039</v>
      </c>
      <c r="C128" s="13">
        <f>((((VLOOKUP(B128,Database!$A:$AS,MATCH($C$1,Database!$A$1:$AS$1,),))))-(((VLOOKUP(EDATE(B128,-12),Database!$A:$AS,MATCH($C$1,Database!$A$1:$AS$1,),)))))/(((VLOOKUP(EDATE(B128,-12),Database!$A:$AS,MATCH($C$1,Database!$A$1:$AS$1,),))))</f>
        <v/>
      </c>
      <c r="D128" s="13">
        <f>((((VLOOKUP(B128,Database!$A:$AS,MATCH($D$1,Database!$A$1:$AS$1,),))))-(((VLOOKUP(EDATE(B128,-12),Database!$A:$AS,MATCH($D$1,Database!$A$1:$AS$1,),)))))/(((VLOOKUP(EDATE(B128,-12),Database!$A:$AS,MATCH($D$1,Database!$A$1:$AS$1,),))))</f>
        <v/>
      </c>
      <c r="E128" s="13">
        <f>((((VLOOKUP(B128,Database!$A:$AS,MATCH($E$1,Database!$A$1:$AS$1,),))))-(((VLOOKUP(EDATE(B128,-12),Database!$A:$AS,MATCH($E$1,Database!$A$1:$AS$1,),)))))/(((VLOOKUP(EDATE(B128,-12),Database!$A:$AS,MATCH($E$1,Database!$A$1:$AS$1,),))))</f>
        <v/>
      </c>
      <c r="F128" s="13">
        <f>((((VLOOKUP(B128,Database!$A:$AS,MATCH($F$1,Database!$A$1:$AS$1,),))))-(((VLOOKUP(EDATE(B128,-12),Database!$A:$AS,MATCH($F$1,Database!$A$1:$AS$1,),)))))/(((VLOOKUP(EDATE(B128,-12),Database!$A:$AS,MATCH($F$1,Database!$A$1:$AS$1,),))))</f>
        <v/>
      </c>
      <c r="G128" s="13">
        <f>((((VLOOKUP(B128,Database!$A:$AS,MATCH($G$1,Database!$A$1:$AS$1,),))))-(((VLOOKUP(EDATE(B128,-12),Database!$A:$AS,MATCH($G$1,Database!$A$1:$AS$1,),)))))/(((VLOOKUP(EDATE(B128,-12),Database!$A:$AS,MATCH($G$1,Database!$A$1:$AS$1,),))))</f>
        <v/>
      </c>
      <c r="H128" s="13">
        <f>((((VLOOKUP(B128,Database!$A:$AS,MATCH($H$1,Database!$A$1:$AS$1,),))))-(((VLOOKUP(EDATE(B128,-12),Database!$A:$AS,MATCH($H$1,Database!$A$1:$AS$1,),)))))/(((VLOOKUP(EDATE(B128,-12),Database!$A:$AS,MATCH($H$1,Database!$A$1:$AS$1,),))))</f>
        <v/>
      </c>
      <c r="I128" s="13">
        <f>((((VLOOKUP(B128,Database!$A:$AS,MATCH($I$1,Database!$A$1:$AS$1,),))))-(((VLOOKUP(EDATE(B128,-12),Database!$A:$AS,MATCH($I$1,Database!$A$1:$AS$1,),)))))/(((VLOOKUP(EDATE(B128,-12),Database!$A:$AS,MATCH($I$1,Database!$A$1:$AS$1,),))))</f>
        <v/>
      </c>
      <c r="J128" s="13">
        <f>((((VLOOKUP(B128,Database!$A:$AS,MATCH($J$1,Database!$A$1:$AS$1,),))))-(((VLOOKUP(EDATE(B128,-12),Database!$A:$AS,MATCH($J$1,Database!$A$1:$AS$1,),)))))/(((VLOOKUP(EDATE(B128,-12),Database!$A:$AS,MATCH($J$1,Database!$A$1:$AS$1,),))))</f>
        <v/>
      </c>
      <c r="K128" s="13">
        <f>((((VLOOKUP(B128,Database!$A:$AS,MATCH($K$1,Database!$A$1:$AS$1,),))))-(((VLOOKUP(EDATE(B128,-12),Database!$A:$AS,MATCH($K$1,Database!$A$1:$AS$1,),)))))/(((VLOOKUP(EDATE(B128,-12),Database!$A:$AS,MATCH($K$1,Database!$A$1:$AS$1,),))))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((((VLOOKUP(B128,Database!$A:$AS,MATCH($O$1,Database!$A$1:$AS$1,),))))-(((VLOOKUP(EDATE(B128,-12),Database!$A:$AS,MATCH($O$1,Database!$A$1:$AS$1,),)))))/(((VLOOKUP(EDATE(B128,-12),Database!$A:$AS,MATCH($O$1,Database!$A$1:$AS$1,),))))</f>
        <v/>
      </c>
      <c r="P128" s="13">
        <f>((((VLOOKUP(B128,Database!$A:$AS,MATCH($P$1,Database!$A$1:$AS$1,),))))-(((VLOOKUP(EDATE(B128,-12),Database!$A:$AS,MATCH($P$1,Database!$A$1:$AS$1,),)))))/(((VLOOKUP(EDATE(B128,-12),Database!$A:$AS,MATCH($P$1,Database!$A$1:$AS$1,),))))</f>
        <v/>
      </c>
      <c r="Q128" s="13">
        <f>((((VLOOKUP(B128,Database!$A:$AS,MATCH($Q$1,Database!$A$1:$AS$1,),))))-(((VLOOKUP(EDATE(B128,-12),Database!$A:$AS,MATCH($Q$1,Database!$A$1:$AS$1,),)))))/(((VLOOKUP(EDATE(B128,-12),Database!$A:$AS,MATCH($Q$1,Database!$A$1:$AS$1,),))))</f>
        <v/>
      </c>
      <c r="R128" s="13">
        <f>((((VLOOKUP(B128,Database!$A:$AS,MATCH($R$1,Database!$A$1:$AS$1,),))))-(((VLOOKUP(EDATE(B128,-12),Database!$A:$AS,MATCH($R$1,Database!$A$1:$AS$1,),)))))/(((VLOOKUP(EDATE(B128,-12),Database!$A:$AS,MATCH($R$1,Database!$A$1:$AS$1,),))))</f>
        <v/>
      </c>
      <c r="S128" s="13">
        <f>((((VLOOKUP(B128,Database!$A:$AS,MATCH($S$1,Database!$A$1:$AS$1,),))))-(((VLOOKUP(EDATE(B128,-12),Database!$A:$AS,MATCH($S$1,Database!$A$1:$AS$1,),)))))/(((VLOOKUP(EDATE(B128,-12),Database!$A:$AS,MATCH($S$1,Database!$A$1:$AS$1,),))))</f>
        <v/>
      </c>
      <c r="T128" s="13">
        <f>((((VLOOKUP(B128,Database!$A:$AS,MATCH($T$1,Database!$A$1:$AS$1,),))))-(((VLOOKUP(EDATE(B128,-12),Database!$A:$AS,MATCH($T$1,Database!$A$1:$AS$1,),)))))/(((VLOOKUP(EDATE(B128,-12),Database!$A:$AS,MATCH($T$1,Database!$A$1:$AS$1,),))))</f>
        <v/>
      </c>
      <c r="U128" s="13">
        <f>((((VLOOKUP(B128,Database!$A:$AS,MATCH($U$1,Database!$A$1:$AS$1,),))))-(((VLOOKUP(EDATE(B128,-12),Database!$A:$AS,MATCH($U$1,Database!$A$1:$AS$1,),)))))/(((VLOOKUP(EDATE(B128,-12),Database!$A:$AS,MATCH($U$1,Database!$A$1:$AS$1,),))))</f>
        <v/>
      </c>
      <c r="V128" s="13">
        <f>((((VLOOKUP(B128,Database!$A:$AS,MATCH($V$1,Database!$A$1:$AS$1,),))))-(((VLOOKUP(EDATE(B128,-12),Database!$A:$AS,MATCH($V$1,Database!$A$1:$AS$1,),)))))/(((VLOOKUP(EDATE(B128,-12),Database!$A:$AS,MATCH($V$1,Database!$A$1:$AS$1,),))))</f>
        <v/>
      </c>
    </row>
    <row r="129" customFormat="1" s="94">
      <c r="A129" s="44" t="n"/>
      <c r="B129" s="85" t="n">
        <v>36069</v>
      </c>
      <c r="C129" s="13">
        <f>((((VLOOKUP(B129,Database!$A:$AS,MATCH($C$1,Database!$A$1:$AS$1,),))))-(((VLOOKUP(EDATE(B129,-12),Database!$A:$AS,MATCH($C$1,Database!$A$1:$AS$1,),)))))/(((VLOOKUP(EDATE(B129,-12),Database!$A:$AS,MATCH($C$1,Database!$A$1:$AS$1,),))))</f>
        <v/>
      </c>
      <c r="D129" s="13">
        <f>((((VLOOKUP(B129,Database!$A:$AS,MATCH($D$1,Database!$A$1:$AS$1,),))))-(((VLOOKUP(EDATE(B129,-12),Database!$A:$AS,MATCH($D$1,Database!$A$1:$AS$1,),)))))/(((VLOOKUP(EDATE(B129,-12),Database!$A:$AS,MATCH($D$1,Database!$A$1:$AS$1,),))))</f>
        <v/>
      </c>
      <c r="E129" s="13">
        <f>((((VLOOKUP(B129,Database!$A:$AS,MATCH($E$1,Database!$A$1:$AS$1,),))))-(((VLOOKUP(EDATE(B129,-12),Database!$A:$AS,MATCH($E$1,Database!$A$1:$AS$1,),)))))/(((VLOOKUP(EDATE(B129,-12),Database!$A:$AS,MATCH($E$1,Database!$A$1:$AS$1,),))))</f>
        <v/>
      </c>
      <c r="F129" s="13">
        <f>((((VLOOKUP(B129,Database!$A:$AS,MATCH($F$1,Database!$A$1:$AS$1,),))))-(((VLOOKUP(EDATE(B129,-12),Database!$A:$AS,MATCH($F$1,Database!$A$1:$AS$1,),)))))/(((VLOOKUP(EDATE(B129,-12),Database!$A:$AS,MATCH($F$1,Database!$A$1:$AS$1,),))))</f>
        <v/>
      </c>
      <c r="G129" s="13">
        <f>((((VLOOKUP(B129,Database!$A:$AS,MATCH($G$1,Database!$A$1:$AS$1,),))))-(((VLOOKUP(EDATE(B129,-12),Database!$A:$AS,MATCH($G$1,Database!$A$1:$AS$1,),)))))/(((VLOOKUP(EDATE(B129,-12),Database!$A:$AS,MATCH($G$1,Database!$A$1:$AS$1,),))))</f>
        <v/>
      </c>
      <c r="H129" s="13">
        <f>((((VLOOKUP(B129,Database!$A:$AS,MATCH($H$1,Database!$A$1:$AS$1,),))))-(((VLOOKUP(EDATE(B129,-12),Database!$A:$AS,MATCH($H$1,Database!$A$1:$AS$1,),)))))/(((VLOOKUP(EDATE(B129,-12),Database!$A:$AS,MATCH($H$1,Database!$A$1:$AS$1,),))))</f>
        <v/>
      </c>
      <c r="I129" s="13">
        <f>((((VLOOKUP(B129,Database!$A:$AS,MATCH($I$1,Database!$A$1:$AS$1,),))))-(((VLOOKUP(EDATE(B129,-12),Database!$A:$AS,MATCH($I$1,Database!$A$1:$AS$1,),)))))/(((VLOOKUP(EDATE(B129,-12),Database!$A:$AS,MATCH($I$1,Database!$A$1:$AS$1,),))))</f>
        <v/>
      </c>
      <c r="J129" s="13">
        <f>((((VLOOKUP(B129,Database!$A:$AS,MATCH($J$1,Database!$A$1:$AS$1,),))))-(((VLOOKUP(EDATE(B129,-12),Database!$A:$AS,MATCH($J$1,Database!$A$1:$AS$1,),)))))/(((VLOOKUP(EDATE(B129,-12),Database!$A:$AS,MATCH($J$1,Database!$A$1:$AS$1,),))))</f>
        <v/>
      </c>
      <c r="K129" s="13">
        <f>((((VLOOKUP(B129,Database!$A:$AS,MATCH($K$1,Database!$A$1:$AS$1,),))))-(((VLOOKUP(EDATE(B129,-12),Database!$A:$AS,MATCH($K$1,Database!$A$1:$AS$1,),)))))/(((VLOOKUP(EDATE(B129,-12),Database!$A:$AS,MATCH($K$1,Database!$A$1:$AS$1,),))))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((((VLOOKUP(B129,Database!$A:$AS,MATCH($O$1,Database!$A$1:$AS$1,),))))-(((VLOOKUP(EDATE(B129,-12),Database!$A:$AS,MATCH($O$1,Database!$A$1:$AS$1,),)))))/(((VLOOKUP(EDATE(B129,-12),Database!$A:$AS,MATCH($O$1,Database!$A$1:$AS$1,),))))</f>
        <v/>
      </c>
      <c r="P129" s="13">
        <f>((((VLOOKUP(B129,Database!$A:$AS,MATCH($P$1,Database!$A$1:$AS$1,),))))-(((VLOOKUP(EDATE(B129,-12),Database!$A:$AS,MATCH($P$1,Database!$A$1:$AS$1,),)))))/(((VLOOKUP(EDATE(B129,-12),Database!$A:$AS,MATCH($P$1,Database!$A$1:$AS$1,),))))</f>
        <v/>
      </c>
      <c r="Q129" s="13">
        <f>((((VLOOKUP(B129,Database!$A:$AS,MATCH($Q$1,Database!$A$1:$AS$1,),))))-(((VLOOKUP(EDATE(B129,-12),Database!$A:$AS,MATCH($Q$1,Database!$A$1:$AS$1,),)))))/(((VLOOKUP(EDATE(B129,-12),Database!$A:$AS,MATCH($Q$1,Database!$A$1:$AS$1,),))))</f>
        <v/>
      </c>
      <c r="R129" s="13">
        <f>((((VLOOKUP(B129,Database!$A:$AS,MATCH($R$1,Database!$A$1:$AS$1,),))))-(((VLOOKUP(EDATE(B129,-12),Database!$A:$AS,MATCH($R$1,Database!$A$1:$AS$1,),)))))/(((VLOOKUP(EDATE(B129,-12),Database!$A:$AS,MATCH($R$1,Database!$A$1:$AS$1,),))))</f>
        <v/>
      </c>
      <c r="S129" s="13">
        <f>((((VLOOKUP(B129,Database!$A:$AS,MATCH($S$1,Database!$A$1:$AS$1,),))))-(((VLOOKUP(EDATE(B129,-12),Database!$A:$AS,MATCH($S$1,Database!$A$1:$AS$1,),)))))/(((VLOOKUP(EDATE(B129,-12),Database!$A:$AS,MATCH($S$1,Database!$A$1:$AS$1,),))))</f>
        <v/>
      </c>
      <c r="T129" s="13">
        <f>((((VLOOKUP(B129,Database!$A:$AS,MATCH($T$1,Database!$A$1:$AS$1,),))))-(((VLOOKUP(EDATE(B129,-12),Database!$A:$AS,MATCH($T$1,Database!$A$1:$AS$1,),)))))/(((VLOOKUP(EDATE(B129,-12),Database!$A:$AS,MATCH($T$1,Database!$A$1:$AS$1,),))))</f>
        <v/>
      </c>
      <c r="U129" s="13">
        <f>((((VLOOKUP(B129,Database!$A:$AS,MATCH($U$1,Database!$A$1:$AS$1,),))))-(((VLOOKUP(EDATE(B129,-12),Database!$A:$AS,MATCH($U$1,Database!$A$1:$AS$1,),)))))/(((VLOOKUP(EDATE(B129,-12),Database!$A:$AS,MATCH($U$1,Database!$A$1:$AS$1,),))))</f>
        <v/>
      </c>
      <c r="V129" s="13">
        <f>((((VLOOKUP(B129,Database!$A:$AS,MATCH($V$1,Database!$A$1:$AS$1,),))))-(((VLOOKUP(EDATE(B129,-12),Database!$A:$AS,MATCH($V$1,Database!$A$1:$AS$1,),)))))/(((VLOOKUP(EDATE(B129,-12),Database!$A:$AS,MATCH($V$1,Database!$A$1:$AS$1,),))))</f>
        <v/>
      </c>
    </row>
    <row r="130" customFormat="1" s="94">
      <c r="A130" s="44" t="n"/>
      <c r="B130" s="85" t="n">
        <v>36100</v>
      </c>
      <c r="C130" s="13">
        <f>((((VLOOKUP(B130,Database!$A:$AS,MATCH($C$1,Database!$A$1:$AS$1,),))))-(((VLOOKUP(EDATE(B130,-12),Database!$A:$AS,MATCH($C$1,Database!$A$1:$AS$1,),)))))/(((VLOOKUP(EDATE(B130,-12),Database!$A:$AS,MATCH($C$1,Database!$A$1:$AS$1,),))))</f>
        <v/>
      </c>
      <c r="D130" s="13">
        <f>((((VLOOKUP(B130,Database!$A:$AS,MATCH($D$1,Database!$A$1:$AS$1,),))))-(((VLOOKUP(EDATE(B130,-12),Database!$A:$AS,MATCH($D$1,Database!$A$1:$AS$1,),)))))/(((VLOOKUP(EDATE(B130,-12),Database!$A:$AS,MATCH($D$1,Database!$A$1:$AS$1,),))))</f>
        <v/>
      </c>
      <c r="E130" s="13">
        <f>((((VLOOKUP(B130,Database!$A:$AS,MATCH($E$1,Database!$A$1:$AS$1,),))))-(((VLOOKUP(EDATE(B130,-12),Database!$A:$AS,MATCH($E$1,Database!$A$1:$AS$1,),)))))/(((VLOOKUP(EDATE(B130,-12),Database!$A:$AS,MATCH($E$1,Database!$A$1:$AS$1,),))))</f>
        <v/>
      </c>
      <c r="F130" s="13">
        <f>((((VLOOKUP(B130,Database!$A:$AS,MATCH($F$1,Database!$A$1:$AS$1,),))))-(((VLOOKUP(EDATE(B130,-12),Database!$A:$AS,MATCH($F$1,Database!$A$1:$AS$1,),)))))/(((VLOOKUP(EDATE(B130,-12),Database!$A:$AS,MATCH($F$1,Database!$A$1:$AS$1,),))))</f>
        <v/>
      </c>
      <c r="G130" s="13">
        <f>((((VLOOKUP(B130,Database!$A:$AS,MATCH($G$1,Database!$A$1:$AS$1,),))))-(((VLOOKUP(EDATE(B130,-12),Database!$A:$AS,MATCH($G$1,Database!$A$1:$AS$1,),)))))/(((VLOOKUP(EDATE(B130,-12),Database!$A:$AS,MATCH($G$1,Database!$A$1:$AS$1,),))))</f>
        <v/>
      </c>
      <c r="H130" s="13">
        <f>((((VLOOKUP(B130,Database!$A:$AS,MATCH($H$1,Database!$A$1:$AS$1,),))))-(((VLOOKUP(EDATE(B130,-12),Database!$A:$AS,MATCH($H$1,Database!$A$1:$AS$1,),)))))/(((VLOOKUP(EDATE(B130,-12),Database!$A:$AS,MATCH($H$1,Database!$A$1:$AS$1,),))))</f>
        <v/>
      </c>
      <c r="I130" s="13">
        <f>((((VLOOKUP(B130,Database!$A:$AS,MATCH($I$1,Database!$A$1:$AS$1,),))))-(((VLOOKUP(EDATE(B130,-12),Database!$A:$AS,MATCH($I$1,Database!$A$1:$AS$1,),)))))/(((VLOOKUP(EDATE(B130,-12),Database!$A:$AS,MATCH($I$1,Database!$A$1:$AS$1,),))))</f>
        <v/>
      </c>
      <c r="J130" s="13">
        <f>((((VLOOKUP(B130,Database!$A:$AS,MATCH($J$1,Database!$A$1:$AS$1,),))))-(((VLOOKUP(EDATE(B130,-12),Database!$A:$AS,MATCH($J$1,Database!$A$1:$AS$1,),)))))/(((VLOOKUP(EDATE(B130,-12),Database!$A:$AS,MATCH($J$1,Database!$A$1:$AS$1,),))))</f>
        <v/>
      </c>
      <c r="K130" s="13">
        <f>((((VLOOKUP(B130,Database!$A:$AS,MATCH($K$1,Database!$A$1:$AS$1,),))))-(((VLOOKUP(EDATE(B130,-12),Database!$A:$AS,MATCH($K$1,Database!$A$1:$AS$1,),)))))/(((VLOOKUP(EDATE(B130,-12),Database!$A:$AS,MATCH($K$1,Database!$A$1:$AS$1,),))))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((((VLOOKUP(B130,Database!$A:$AS,MATCH($O$1,Database!$A$1:$AS$1,),))))-(((VLOOKUP(EDATE(B130,-12),Database!$A:$AS,MATCH($O$1,Database!$A$1:$AS$1,),)))))/(((VLOOKUP(EDATE(B130,-12),Database!$A:$AS,MATCH($O$1,Database!$A$1:$AS$1,),))))</f>
        <v/>
      </c>
      <c r="P130" s="13">
        <f>((((VLOOKUP(B130,Database!$A:$AS,MATCH($P$1,Database!$A$1:$AS$1,),))))-(((VLOOKUP(EDATE(B130,-12),Database!$A:$AS,MATCH($P$1,Database!$A$1:$AS$1,),)))))/(((VLOOKUP(EDATE(B130,-12),Database!$A:$AS,MATCH($P$1,Database!$A$1:$AS$1,),))))</f>
        <v/>
      </c>
      <c r="Q130" s="13">
        <f>((((VLOOKUP(B130,Database!$A:$AS,MATCH($Q$1,Database!$A$1:$AS$1,),))))-(((VLOOKUP(EDATE(B130,-12),Database!$A:$AS,MATCH($Q$1,Database!$A$1:$AS$1,),)))))/(((VLOOKUP(EDATE(B130,-12),Database!$A:$AS,MATCH($Q$1,Database!$A$1:$AS$1,),))))</f>
        <v/>
      </c>
      <c r="R130" s="13">
        <f>((((VLOOKUP(B130,Database!$A:$AS,MATCH($R$1,Database!$A$1:$AS$1,),))))-(((VLOOKUP(EDATE(B130,-12),Database!$A:$AS,MATCH($R$1,Database!$A$1:$AS$1,),)))))/(((VLOOKUP(EDATE(B130,-12),Database!$A:$AS,MATCH($R$1,Database!$A$1:$AS$1,),))))</f>
        <v/>
      </c>
      <c r="S130" s="13">
        <f>((((VLOOKUP(B130,Database!$A:$AS,MATCH($S$1,Database!$A$1:$AS$1,),))))-(((VLOOKUP(EDATE(B130,-12),Database!$A:$AS,MATCH($S$1,Database!$A$1:$AS$1,),)))))/(((VLOOKUP(EDATE(B130,-12),Database!$A:$AS,MATCH($S$1,Database!$A$1:$AS$1,),))))</f>
        <v/>
      </c>
      <c r="T130" s="13">
        <f>((((VLOOKUP(B130,Database!$A:$AS,MATCH($T$1,Database!$A$1:$AS$1,),))))-(((VLOOKUP(EDATE(B130,-12),Database!$A:$AS,MATCH($T$1,Database!$A$1:$AS$1,),)))))/(((VLOOKUP(EDATE(B130,-12),Database!$A:$AS,MATCH($T$1,Database!$A$1:$AS$1,),))))</f>
        <v/>
      </c>
      <c r="U130" s="13">
        <f>((((VLOOKUP(B130,Database!$A:$AS,MATCH($U$1,Database!$A$1:$AS$1,),))))-(((VLOOKUP(EDATE(B130,-12),Database!$A:$AS,MATCH($U$1,Database!$A$1:$AS$1,),)))))/(((VLOOKUP(EDATE(B130,-12),Database!$A:$AS,MATCH($U$1,Database!$A$1:$AS$1,),))))</f>
        <v/>
      </c>
      <c r="V130" s="13">
        <f>((((VLOOKUP(B130,Database!$A:$AS,MATCH($V$1,Database!$A$1:$AS$1,),))))-(((VLOOKUP(EDATE(B130,-12),Database!$A:$AS,MATCH($V$1,Database!$A$1:$AS$1,),)))))/(((VLOOKUP(EDATE(B130,-12),Database!$A:$AS,MATCH($V$1,Database!$A$1:$AS$1,),))))</f>
        <v/>
      </c>
    </row>
    <row r="131" customFormat="1" s="94">
      <c r="A131" s="44" t="n"/>
      <c r="B131" s="85" t="n">
        <v>36130</v>
      </c>
      <c r="C131" s="13">
        <f>((((VLOOKUP(B131,Database!$A:$AS,MATCH($C$1,Database!$A$1:$AS$1,),))))-(((VLOOKUP(EDATE(B131,-12),Database!$A:$AS,MATCH($C$1,Database!$A$1:$AS$1,),)))))/(((VLOOKUP(EDATE(B131,-12),Database!$A:$AS,MATCH($C$1,Database!$A$1:$AS$1,),))))</f>
        <v/>
      </c>
      <c r="D131" s="13">
        <f>((((VLOOKUP(B131,Database!$A:$AS,MATCH($D$1,Database!$A$1:$AS$1,),))))-(((VLOOKUP(EDATE(B131,-12),Database!$A:$AS,MATCH($D$1,Database!$A$1:$AS$1,),)))))/(((VLOOKUP(EDATE(B131,-12),Database!$A:$AS,MATCH($D$1,Database!$A$1:$AS$1,),))))</f>
        <v/>
      </c>
      <c r="E131" s="13">
        <f>((((VLOOKUP(B131,Database!$A:$AS,MATCH($E$1,Database!$A$1:$AS$1,),))))-(((VLOOKUP(EDATE(B131,-12),Database!$A:$AS,MATCH($E$1,Database!$A$1:$AS$1,),)))))/(((VLOOKUP(EDATE(B131,-12),Database!$A:$AS,MATCH($E$1,Database!$A$1:$AS$1,),))))</f>
        <v/>
      </c>
      <c r="F131" s="13">
        <f>((((VLOOKUP(B131,Database!$A:$AS,MATCH($F$1,Database!$A$1:$AS$1,),))))-(((VLOOKUP(EDATE(B131,-12),Database!$A:$AS,MATCH($F$1,Database!$A$1:$AS$1,),)))))/(((VLOOKUP(EDATE(B131,-12),Database!$A:$AS,MATCH($F$1,Database!$A$1:$AS$1,),))))</f>
        <v/>
      </c>
      <c r="G131" s="13">
        <f>((((VLOOKUP(B131,Database!$A:$AS,MATCH($G$1,Database!$A$1:$AS$1,),))))-(((VLOOKUP(EDATE(B131,-12),Database!$A:$AS,MATCH($G$1,Database!$A$1:$AS$1,),)))))/(((VLOOKUP(EDATE(B131,-12),Database!$A:$AS,MATCH($G$1,Database!$A$1:$AS$1,),))))</f>
        <v/>
      </c>
      <c r="H131" s="13">
        <f>((((VLOOKUP(B131,Database!$A:$AS,MATCH($H$1,Database!$A$1:$AS$1,),))))-(((VLOOKUP(EDATE(B131,-12),Database!$A:$AS,MATCH($H$1,Database!$A$1:$AS$1,),)))))/(((VLOOKUP(EDATE(B131,-12),Database!$A:$AS,MATCH($H$1,Database!$A$1:$AS$1,),))))</f>
        <v/>
      </c>
      <c r="I131" s="13">
        <f>((((VLOOKUP(B131,Database!$A:$AS,MATCH($I$1,Database!$A$1:$AS$1,),))))-(((VLOOKUP(EDATE(B131,-12),Database!$A:$AS,MATCH($I$1,Database!$A$1:$AS$1,),)))))/(((VLOOKUP(EDATE(B131,-12),Database!$A:$AS,MATCH($I$1,Database!$A$1:$AS$1,),))))</f>
        <v/>
      </c>
      <c r="J131" s="13">
        <f>((((VLOOKUP(B131,Database!$A:$AS,MATCH($J$1,Database!$A$1:$AS$1,),))))-(((VLOOKUP(EDATE(B131,-12),Database!$A:$AS,MATCH($J$1,Database!$A$1:$AS$1,),)))))/(((VLOOKUP(EDATE(B131,-12),Database!$A:$AS,MATCH($J$1,Database!$A$1:$AS$1,),))))</f>
        <v/>
      </c>
      <c r="K131" s="13">
        <f>((((VLOOKUP(B131,Database!$A:$AS,MATCH($K$1,Database!$A$1:$AS$1,),))))-(((VLOOKUP(EDATE(B131,-12),Database!$A:$AS,MATCH($K$1,Database!$A$1:$AS$1,),)))))/(((VLOOKUP(EDATE(B131,-12),Database!$A:$AS,MATCH($K$1,Database!$A$1:$AS$1,),))))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((((VLOOKUP(B131,Database!$A:$AS,MATCH($O$1,Database!$A$1:$AS$1,),))))-(((VLOOKUP(EDATE(B131,-12),Database!$A:$AS,MATCH($O$1,Database!$A$1:$AS$1,),)))))/(((VLOOKUP(EDATE(B131,-12),Database!$A:$AS,MATCH($O$1,Database!$A$1:$AS$1,),))))</f>
        <v/>
      </c>
      <c r="P131" s="13">
        <f>((((VLOOKUP(B131,Database!$A:$AS,MATCH($P$1,Database!$A$1:$AS$1,),))))-(((VLOOKUP(EDATE(B131,-12),Database!$A:$AS,MATCH($P$1,Database!$A$1:$AS$1,),)))))/(((VLOOKUP(EDATE(B131,-12),Database!$A:$AS,MATCH($P$1,Database!$A$1:$AS$1,),))))</f>
        <v/>
      </c>
      <c r="Q131" s="13">
        <f>((((VLOOKUP(B131,Database!$A:$AS,MATCH($Q$1,Database!$A$1:$AS$1,),))))-(((VLOOKUP(EDATE(B131,-12),Database!$A:$AS,MATCH($Q$1,Database!$A$1:$AS$1,),)))))/(((VLOOKUP(EDATE(B131,-12),Database!$A:$AS,MATCH($Q$1,Database!$A$1:$AS$1,),))))</f>
        <v/>
      </c>
      <c r="R131" s="13">
        <f>((((VLOOKUP(B131,Database!$A:$AS,MATCH($R$1,Database!$A$1:$AS$1,),))))-(((VLOOKUP(EDATE(B131,-12),Database!$A:$AS,MATCH($R$1,Database!$A$1:$AS$1,),)))))/(((VLOOKUP(EDATE(B131,-12),Database!$A:$AS,MATCH($R$1,Database!$A$1:$AS$1,),))))</f>
        <v/>
      </c>
      <c r="S131" s="13">
        <f>((((VLOOKUP(B131,Database!$A:$AS,MATCH($S$1,Database!$A$1:$AS$1,),))))-(((VLOOKUP(EDATE(B131,-12),Database!$A:$AS,MATCH($S$1,Database!$A$1:$AS$1,),)))))/(((VLOOKUP(EDATE(B131,-12),Database!$A:$AS,MATCH($S$1,Database!$A$1:$AS$1,),))))</f>
        <v/>
      </c>
      <c r="T131" s="13">
        <f>((((VLOOKUP(B131,Database!$A:$AS,MATCH($T$1,Database!$A$1:$AS$1,),))))-(((VLOOKUP(EDATE(B131,-12),Database!$A:$AS,MATCH($T$1,Database!$A$1:$AS$1,),)))))/(((VLOOKUP(EDATE(B131,-12),Database!$A:$AS,MATCH($T$1,Database!$A$1:$AS$1,),))))</f>
        <v/>
      </c>
      <c r="U131" s="13">
        <f>((((VLOOKUP(B131,Database!$A:$AS,MATCH($U$1,Database!$A$1:$AS$1,),))))-(((VLOOKUP(EDATE(B131,-12),Database!$A:$AS,MATCH($U$1,Database!$A$1:$AS$1,),)))))/(((VLOOKUP(EDATE(B131,-12),Database!$A:$AS,MATCH($U$1,Database!$A$1:$AS$1,),))))</f>
        <v/>
      </c>
      <c r="V131" s="13">
        <f>((((VLOOKUP(B131,Database!$A:$AS,MATCH($V$1,Database!$A$1:$AS$1,),))))-(((VLOOKUP(EDATE(B131,-12),Database!$A:$AS,MATCH($V$1,Database!$A$1:$AS$1,),)))))/(((VLOOKUP(EDATE(B131,-12),Database!$A:$AS,MATCH($V$1,Database!$A$1:$AS$1,),))))</f>
        <v/>
      </c>
    </row>
    <row r="132" customFormat="1" s="94">
      <c r="A132" s="44" t="n"/>
      <c r="B132" s="85" t="n">
        <v>36161</v>
      </c>
      <c r="C132" s="13">
        <f>((((VLOOKUP(B132,Database!$A:$AS,MATCH($C$1,Database!$A$1:$AS$1,),))))-(((VLOOKUP(EDATE(B132,-12),Database!$A:$AS,MATCH($C$1,Database!$A$1:$AS$1,),)))))/(((VLOOKUP(EDATE(B132,-12),Database!$A:$AS,MATCH($C$1,Database!$A$1:$AS$1,),))))</f>
        <v/>
      </c>
      <c r="D132" s="13">
        <f>((((VLOOKUP(B132,Database!$A:$AS,MATCH($D$1,Database!$A$1:$AS$1,),))))-(((VLOOKUP(EDATE(B132,-12),Database!$A:$AS,MATCH($D$1,Database!$A$1:$AS$1,),)))))/(((VLOOKUP(EDATE(B132,-12),Database!$A:$AS,MATCH($D$1,Database!$A$1:$AS$1,),))))</f>
        <v/>
      </c>
      <c r="E132" s="13">
        <f>((((VLOOKUP(B132,Database!$A:$AS,MATCH($E$1,Database!$A$1:$AS$1,),))))-(((VLOOKUP(EDATE(B132,-12),Database!$A:$AS,MATCH($E$1,Database!$A$1:$AS$1,),)))))/(((VLOOKUP(EDATE(B132,-12),Database!$A:$AS,MATCH($E$1,Database!$A$1:$AS$1,),))))</f>
        <v/>
      </c>
      <c r="F132" s="13">
        <f>((((VLOOKUP(B132,Database!$A:$AS,MATCH($F$1,Database!$A$1:$AS$1,),))))-(((VLOOKUP(EDATE(B132,-12),Database!$A:$AS,MATCH($F$1,Database!$A$1:$AS$1,),)))))/(((VLOOKUP(EDATE(B132,-12),Database!$A:$AS,MATCH($F$1,Database!$A$1:$AS$1,),))))</f>
        <v/>
      </c>
      <c r="G132" s="13">
        <f>((((VLOOKUP(B132,Database!$A:$AS,MATCH($G$1,Database!$A$1:$AS$1,),))))-(((VLOOKUP(EDATE(B132,-12),Database!$A:$AS,MATCH($G$1,Database!$A$1:$AS$1,),)))))/(((VLOOKUP(EDATE(B132,-12),Database!$A:$AS,MATCH($G$1,Database!$A$1:$AS$1,),))))</f>
        <v/>
      </c>
      <c r="H132" s="13">
        <f>((((VLOOKUP(B132,Database!$A:$AS,MATCH($H$1,Database!$A$1:$AS$1,),))))-(((VLOOKUP(EDATE(B132,-12),Database!$A:$AS,MATCH($H$1,Database!$A$1:$AS$1,),)))))/(((VLOOKUP(EDATE(B132,-12),Database!$A:$AS,MATCH($H$1,Database!$A$1:$AS$1,),))))</f>
        <v/>
      </c>
      <c r="I132" s="13">
        <f>((((VLOOKUP(B132,Database!$A:$AS,MATCH($I$1,Database!$A$1:$AS$1,),))))-(((VLOOKUP(EDATE(B132,-12),Database!$A:$AS,MATCH($I$1,Database!$A$1:$AS$1,),)))))/(((VLOOKUP(EDATE(B132,-12),Database!$A:$AS,MATCH($I$1,Database!$A$1:$AS$1,),))))</f>
        <v/>
      </c>
      <c r="J132" s="13">
        <f>((((VLOOKUP(B132,Database!$A:$AS,MATCH($J$1,Database!$A$1:$AS$1,),))))-(((VLOOKUP(EDATE(B132,-12),Database!$A:$AS,MATCH($J$1,Database!$A$1:$AS$1,),)))))/(((VLOOKUP(EDATE(B132,-12),Database!$A:$AS,MATCH($J$1,Database!$A$1:$AS$1,),))))</f>
        <v/>
      </c>
      <c r="K132" s="13">
        <f>((((VLOOKUP(B132,Database!$A:$AS,MATCH($K$1,Database!$A$1:$AS$1,),))))-(((VLOOKUP(EDATE(B132,-12),Database!$A:$AS,MATCH($K$1,Database!$A$1:$AS$1,),)))))/(((VLOOKUP(EDATE(B132,-12),Database!$A:$AS,MATCH($K$1,Database!$A$1:$AS$1,),))))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((((VLOOKUP(B132,Database!$A:$AS,MATCH($O$1,Database!$A$1:$AS$1,),))))-(((VLOOKUP(EDATE(B132,-12),Database!$A:$AS,MATCH($O$1,Database!$A$1:$AS$1,),)))))/(((VLOOKUP(EDATE(B132,-12),Database!$A:$AS,MATCH($O$1,Database!$A$1:$AS$1,),))))</f>
        <v/>
      </c>
      <c r="P132" s="13">
        <f>((((VLOOKUP(B132,Database!$A:$AS,MATCH($P$1,Database!$A$1:$AS$1,),))))-(((VLOOKUP(EDATE(B132,-12),Database!$A:$AS,MATCH($P$1,Database!$A$1:$AS$1,),)))))/(((VLOOKUP(EDATE(B132,-12),Database!$A:$AS,MATCH($P$1,Database!$A$1:$AS$1,),))))</f>
        <v/>
      </c>
      <c r="Q132" s="13">
        <f>((((VLOOKUP(B132,Database!$A:$AS,MATCH($Q$1,Database!$A$1:$AS$1,),))))-(((VLOOKUP(EDATE(B132,-12),Database!$A:$AS,MATCH($Q$1,Database!$A$1:$AS$1,),)))))/(((VLOOKUP(EDATE(B132,-12),Database!$A:$AS,MATCH($Q$1,Database!$A$1:$AS$1,),))))</f>
        <v/>
      </c>
      <c r="R132" s="13">
        <f>((((VLOOKUP(B132,Database!$A:$AS,MATCH($R$1,Database!$A$1:$AS$1,),))))-(((VLOOKUP(EDATE(B132,-12),Database!$A:$AS,MATCH($R$1,Database!$A$1:$AS$1,),)))))/(((VLOOKUP(EDATE(B132,-12),Database!$A:$AS,MATCH($R$1,Database!$A$1:$AS$1,),))))</f>
        <v/>
      </c>
      <c r="S132" s="13">
        <f>((((VLOOKUP(B132,Database!$A:$AS,MATCH($S$1,Database!$A$1:$AS$1,),))))-(((VLOOKUP(EDATE(B132,-12),Database!$A:$AS,MATCH($S$1,Database!$A$1:$AS$1,),)))))/(((VLOOKUP(EDATE(B132,-12),Database!$A:$AS,MATCH($S$1,Database!$A$1:$AS$1,),))))</f>
        <v/>
      </c>
      <c r="T132" s="13">
        <f>((((VLOOKUP(B132,Database!$A:$AS,MATCH($T$1,Database!$A$1:$AS$1,),))))-(((VLOOKUP(EDATE(B132,-12),Database!$A:$AS,MATCH($T$1,Database!$A$1:$AS$1,),)))))/(((VLOOKUP(EDATE(B132,-12),Database!$A:$AS,MATCH($T$1,Database!$A$1:$AS$1,),))))</f>
        <v/>
      </c>
      <c r="U132" s="13">
        <f>((((VLOOKUP(B132,Database!$A:$AS,MATCH($U$1,Database!$A$1:$AS$1,),))))-(((VLOOKUP(EDATE(B132,-12),Database!$A:$AS,MATCH($U$1,Database!$A$1:$AS$1,),)))))/(((VLOOKUP(EDATE(B132,-12),Database!$A:$AS,MATCH($U$1,Database!$A$1:$AS$1,),))))</f>
        <v/>
      </c>
      <c r="V132" s="13">
        <f>((((VLOOKUP(B132,Database!$A:$AS,MATCH($V$1,Database!$A$1:$AS$1,),))))-(((VLOOKUP(EDATE(B132,-12),Database!$A:$AS,MATCH($V$1,Database!$A$1:$AS$1,),)))))/(((VLOOKUP(EDATE(B132,-12),Database!$A:$AS,MATCH($V$1,Database!$A$1:$AS$1,),))))</f>
        <v/>
      </c>
    </row>
    <row r="133" customFormat="1" s="94">
      <c r="A133" s="44" t="n"/>
      <c r="B133" s="85" t="n">
        <v>36192</v>
      </c>
      <c r="C133" s="13">
        <f>((((VLOOKUP(B133,Database!$A:$AS,MATCH($C$1,Database!$A$1:$AS$1,),))))-(((VLOOKUP(EDATE(B133,-12),Database!$A:$AS,MATCH($C$1,Database!$A$1:$AS$1,),)))))/(((VLOOKUP(EDATE(B133,-12),Database!$A:$AS,MATCH($C$1,Database!$A$1:$AS$1,),))))</f>
        <v/>
      </c>
      <c r="D133" s="13">
        <f>((((VLOOKUP(B133,Database!$A:$AS,MATCH($D$1,Database!$A$1:$AS$1,),))))-(((VLOOKUP(EDATE(B133,-12),Database!$A:$AS,MATCH($D$1,Database!$A$1:$AS$1,),)))))/(((VLOOKUP(EDATE(B133,-12),Database!$A:$AS,MATCH($D$1,Database!$A$1:$AS$1,),))))</f>
        <v/>
      </c>
      <c r="E133" s="13">
        <f>((((VLOOKUP(B133,Database!$A:$AS,MATCH($E$1,Database!$A$1:$AS$1,),))))-(((VLOOKUP(EDATE(B133,-12),Database!$A:$AS,MATCH($E$1,Database!$A$1:$AS$1,),)))))/(((VLOOKUP(EDATE(B133,-12),Database!$A:$AS,MATCH($E$1,Database!$A$1:$AS$1,),))))</f>
        <v/>
      </c>
      <c r="F133" s="13">
        <f>((((VLOOKUP(B133,Database!$A:$AS,MATCH($F$1,Database!$A$1:$AS$1,),))))-(((VLOOKUP(EDATE(B133,-12),Database!$A:$AS,MATCH($F$1,Database!$A$1:$AS$1,),)))))/(((VLOOKUP(EDATE(B133,-12),Database!$A:$AS,MATCH($F$1,Database!$A$1:$AS$1,),))))</f>
        <v/>
      </c>
      <c r="G133" s="13">
        <f>((((VLOOKUP(B133,Database!$A:$AS,MATCH($G$1,Database!$A$1:$AS$1,),))))-(((VLOOKUP(EDATE(B133,-12),Database!$A:$AS,MATCH($G$1,Database!$A$1:$AS$1,),)))))/(((VLOOKUP(EDATE(B133,-12),Database!$A:$AS,MATCH($G$1,Database!$A$1:$AS$1,),))))</f>
        <v/>
      </c>
      <c r="H133" s="13">
        <f>((((VLOOKUP(B133,Database!$A:$AS,MATCH($H$1,Database!$A$1:$AS$1,),))))-(((VLOOKUP(EDATE(B133,-12),Database!$A:$AS,MATCH($H$1,Database!$A$1:$AS$1,),)))))/(((VLOOKUP(EDATE(B133,-12),Database!$A:$AS,MATCH($H$1,Database!$A$1:$AS$1,),))))</f>
        <v/>
      </c>
      <c r="I133" s="13">
        <f>((((VLOOKUP(B133,Database!$A:$AS,MATCH($I$1,Database!$A$1:$AS$1,),))))-(((VLOOKUP(EDATE(B133,-12),Database!$A:$AS,MATCH($I$1,Database!$A$1:$AS$1,),)))))/(((VLOOKUP(EDATE(B133,-12),Database!$A:$AS,MATCH($I$1,Database!$A$1:$AS$1,),))))</f>
        <v/>
      </c>
      <c r="J133" s="13">
        <f>((((VLOOKUP(B133,Database!$A:$AS,MATCH($J$1,Database!$A$1:$AS$1,),))))-(((VLOOKUP(EDATE(B133,-12),Database!$A:$AS,MATCH($J$1,Database!$A$1:$AS$1,),)))))/(((VLOOKUP(EDATE(B133,-12),Database!$A:$AS,MATCH($J$1,Database!$A$1:$AS$1,),))))</f>
        <v/>
      </c>
      <c r="K133" s="13">
        <f>((((VLOOKUP(B133,Database!$A:$AS,MATCH($K$1,Database!$A$1:$AS$1,),))))-(((VLOOKUP(EDATE(B133,-12),Database!$A:$AS,MATCH($K$1,Database!$A$1:$AS$1,),)))))/(((VLOOKUP(EDATE(B133,-12),Database!$A:$AS,MATCH($K$1,Database!$A$1:$AS$1,),))))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((((VLOOKUP(B133,Database!$A:$AS,MATCH($O$1,Database!$A$1:$AS$1,),))))-(((VLOOKUP(EDATE(B133,-12),Database!$A:$AS,MATCH($O$1,Database!$A$1:$AS$1,),)))))/(((VLOOKUP(EDATE(B133,-12),Database!$A:$AS,MATCH($O$1,Database!$A$1:$AS$1,),))))</f>
        <v/>
      </c>
      <c r="P133" s="13">
        <f>((((VLOOKUP(B133,Database!$A:$AS,MATCH($P$1,Database!$A$1:$AS$1,),))))-(((VLOOKUP(EDATE(B133,-12),Database!$A:$AS,MATCH($P$1,Database!$A$1:$AS$1,),)))))/(((VLOOKUP(EDATE(B133,-12),Database!$A:$AS,MATCH($P$1,Database!$A$1:$AS$1,),))))</f>
        <v/>
      </c>
      <c r="Q133" s="13">
        <f>((((VLOOKUP(B133,Database!$A:$AS,MATCH($Q$1,Database!$A$1:$AS$1,),))))-(((VLOOKUP(EDATE(B133,-12),Database!$A:$AS,MATCH($Q$1,Database!$A$1:$AS$1,),)))))/(((VLOOKUP(EDATE(B133,-12),Database!$A:$AS,MATCH($Q$1,Database!$A$1:$AS$1,),))))</f>
        <v/>
      </c>
      <c r="R133" s="13">
        <f>((((VLOOKUP(B133,Database!$A:$AS,MATCH($R$1,Database!$A$1:$AS$1,),))))-(((VLOOKUP(EDATE(B133,-12),Database!$A:$AS,MATCH($R$1,Database!$A$1:$AS$1,),)))))/(((VLOOKUP(EDATE(B133,-12),Database!$A:$AS,MATCH($R$1,Database!$A$1:$AS$1,),))))</f>
        <v/>
      </c>
      <c r="S133" s="13">
        <f>((((VLOOKUP(B133,Database!$A:$AS,MATCH($S$1,Database!$A$1:$AS$1,),))))-(((VLOOKUP(EDATE(B133,-12),Database!$A:$AS,MATCH($S$1,Database!$A$1:$AS$1,),)))))/(((VLOOKUP(EDATE(B133,-12),Database!$A:$AS,MATCH($S$1,Database!$A$1:$AS$1,),))))</f>
        <v/>
      </c>
      <c r="T133" s="13">
        <f>((((VLOOKUP(B133,Database!$A:$AS,MATCH($T$1,Database!$A$1:$AS$1,),))))-(((VLOOKUP(EDATE(B133,-12),Database!$A:$AS,MATCH($T$1,Database!$A$1:$AS$1,),)))))/(((VLOOKUP(EDATE(B133,-12),Database!$A:$AS,MATCH($T$1,Database!$A$1:$AS$1,),))))</f>
        <v/>
      </c>
      <c r="U133" s="13">
        <f>((((VLOOKUP(B133,Database!$A:$AS,MATCH($U$1,Database!$A$1:$AS$1,),))))-(((VLOOKUP(EDATE(B133,-12),Database!$A:$AS,MATCH($U$1,Database!$A$1:$AS$1,),)))))/(((VLOOKUP(EDATE(B133,-12),Database!$A:$AS,MATCH($U$1,Database!$A$1:$AS$1,),))))</f>
        <v/>
      </c>
      <c r="V133" s="13">
        <f>((((VLOOKUP(B133,Database!$A:$AS,MATCH($V$1,Database!$A$1:$AS$1,),))))-(((VLOOKUP(EDATE(B133,-12),Database!$A:$AS,MATCH($V$1,Database!$A$1:$AS$1,),)))))/(((VLOOKUP(EDATE(B133,-12),Database!$A:$AS,MATCH($V$1,Database!$A$1:$AS$1,),))))</f>
        <v/>
      </c>
    </row>
    <row r="134" customFormat="1" s="94">
      <c r="A134" s="44" t="n"/>
      <c r="B134" s="85" t="n">
        <v>36220</v>
      </c>
      <c r="C134" s="13">
        <f>((((VLOOKUP(B134,Database!$A:$AS,MATCH($C$1,Database!$A$1:$AS$1,),))))-(((VLOOKUP(EDATE(B134,-12),Database!$A:$AS,MATCH($C$1,Database!$A$1:$AS$1,),)))))/(((VLOOKUP(EDATE(B134,-12),Database!$A:$AS,MATCH($C$1,Database!$A$1:$AS$1,),))))</f>
        <v/>
      </c>
      <c r="D134" s="13">
        <f>((((VLOOKUP(B134,Database!$A:$AS,MATCH($D$1,Database!$A$1:$AS$1,),))))-(((VLOOKUP(EDATE(B134,-12),Database!$A:$AS,MATCH($D$1,Database!$A$1:$AS$1,),)))))/(((VLOOKUP(EDATE(B134,-12),Database!$A:$AS,MATCH($D$1,Database!$A$1:$AS$1,),))))</f>
        <v/>
      </c>
      <c r="E134" s="13">
        <f>((((VLOOKUP(B134,Database!$A:$AS,MATCH($E$1,Database!$A$1:$AS$1,),))))-(((VLOOKUP(EDATE(B134,-12),Database!$A:$AS,MATCH($E$1,Database!$A$1:$AS$1,),)))))/(((VLOOKUP(EDATE(B134,-12),Database!$A:$AS,MATCH($E$1,Database!$A$1:$AS$1,),))))</f>
        <v/>
      </c>
      <c r="F134" s="13">
        <f>((((VLOOKUP(B134,Database!$A:$AS,MATCH($F$1,Database!$A$1:$AS$1,),))))-(((VLOOKUP(EDATE(B134,-12),Database!$A:$AS,MATCH($F$1,Database!$A$1:$AS$1,),)))))/(((VLOOKUP(EDATE(B134,-12),Database!$A:$AS,MATCH($F$1,Database!$A$1:$AS$1,),))))</f>
        <v/>
      </c>
      <c r="G134" s="13">
        <f>((((VLOOKUP(B134,Database!$A:$AS,MATCH($G$1,Database!$A$1:$AS$1,),))))-(((VLOOKUP(EDATE(B134,-12),Database!$A:$AS,MATCH($G$1,Database!$A$1:$AS$1,),)))))/(((VLOOKUP(EDATE(B134,-12),Database!$A:$AS,MATCH($G$1,Database!$A$1:$AS$1,),))))</f>
        <v/>
      </c>
      <c r="H134" s="13">
        <f>((((VLOOKUP(B134,Database!$A:$AS,MATCH($H$1,Database!$A$1:$AS$1,),))))-(((VLOOKUP(EDATE(B134,-12),Database!$A:$AS,MATCH($H$1,Database!$A$1:$AS$1,),)))))/(((VLOOKUP(EDATE(B134,-12),Database!$A:$AS,MATCH($H$1,Database!$A$1:$AS$1,),))))</f>
        <v/>
      </c>
      <c r="I134" s="13">
        <f>((((VLOOKUP(B134,Database!$A:$AS,MATCH($I$1,Database!$A$1:$AS$1,),))))-(((VLOOKUP(EDATE(B134,-12),Database!$A:$AS,MATCH($I$1,Database!$A$1:$AS$1,),)))))/(((VLOOKUP(EDATE(B134,-12),Database!$A:$AS,MATCH($I$1,Database!$A$1:$AS$1,),))))</f>
        <v/>
      </c>
      <c r="J134" s="13">
        <f>((((VLOOKUP(B134,Database!$A:$AS,MATCH($J$1,Database!$A$1:$AS$1,),))))-(((VLOOKUP(EDATE(B134,-12),Database!$A:$AS,MATCH($J$1,Database!$A$1:$AS$1,),)))))/(((VLOOKUP(EDATE(B134,-12),Database!$A:$AS,MATCH($J$1,Database!$A$1:$AS$1,),))))</f>
        <v/>
      </c>
      <c r="K134" s="13">
        <f>((((VLOOKUP(B134,Database!$A:$AS,MATCH($K$1,Database!$A$1:$AS$1,),))))-(((VLOOKUP(EDATE(B134,-12),Database!$A:$AS,MATCH($K$1,Database!$A$1:$AS$1,),)))))/(((VLOOKUP(EDATE(B134,-12),Database!$A:$AS,MATCH($K$1,Database!$A$1:$AS$1,),))))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((((VLOOKUP(B134,Database!$A:$AS,MATCH($O$1,Database!$A$1:$AS$1,),))))-(((VLOOKUP(EDATE(B134,-12),Database!$A:$AS,MATCH($O$1,Database!$A$1:$AS$1,),)))))/(((VLOOKUP(EDATE(B134,-12),Database!$A:$AS,MATCH($O$1,Database!$A$1:$AS$1,),))))</f>
        <v/>
      </c>
      <c r="P134" s="13">
        <f>((((VLOOKUP(B134,Database!$A:$AS,MATCH($P$1,Database!$A$1:$AS$1,),))))-(((VLOOKUP(EDATE(B134,-12),Database!$A:$AS,MATCH($P$1,Database!$A$1:$AS$1,),)))))/(((VLOOKUP(EDATE(B134,-12),Database!$A:$AS,MATCH($P$1,Database!$A$1:$AS$1,),))))</f>
        <v/>
      </c>
      <c r="Q134" s="13">
        <f>((((VLOOKUP(B134,Database!$A:$AS,MATCH($Q$1,Database!$A$1:$AS$1,),))))-(((VLOOKUP(EDATE(B134,-12),Database!$A:$AS,MATCH($Q$1,Database!$A$1:$AS$1,),)))))/(((VLOOKUP(EDATE(B134,-12),Database!$A:$AS,MATCH($Q$1,Database!$A$1:$AS$1,),))))</f>
        <v/>
      </c>
      <c r="R134" s="13">
        <f>((((VLOOKUP(B134,Database!$A:$AS,MATCH($R$1,Database!$A$1:$AS$1,),))))-(((VLOOKUP(EDATE(B134,-12),Database!$A:$AS,MATCH($R$1,Database!$A$1:$AS$1,),)))))/(((VLOOKUP(EDATE(B134,-12),Database!$A:$AS,MATCH($R$1,Database!$A$1:$AS$1,),))))</f>
        <v/>
      </c>
      <c r="S134" s="13">
        <f>((((VLOOKUP(B134,Database!$A:$AS,MATCH($S$1,Database!$A$1:$AS$1,),))))-(((VLOOKUP(EDATE(B134,-12),Database!$A:$AS,MATCH($S$1,Database!$A$1:$AS$1,),)))))/(((VLOOKUP(EDATE(B134,-12),Database!$A:$AS,MATCH($S$1,Database!$A$1:$AS$1,),))))</f>
        <v/>
      </c>
      <c r="T134" s="13">
        <f>((((VLOOKUP(B134,Database!$A:$AS,MATCH($T$1,Database!$A$1:$AS$1,),))))-(((VLOOKUP(EDATE(B134,-12),Database!$A:$AS,MATCH($T$1,Database!$A$1:$AS$1,),)))))/(((VLOOKUP(EDATE(B134,-12),Database!$A:$AS,MATCH($T$1,Database!$A$1:$AS$1,),))))</f>
        <v/>
      </c>
      <c r="U134" s="13">
        <f>((((VLOOKUP(B134,Database!$A:$AS,MATCH($U$1,Database!$A$1:$AS$1,),))))-(((VLOOKUP(EDATE(B134,-12),Database!$A:$AS,MATCH($U$1,Database!$A$1:$AS$1,),)))))/(((VLOOKUP(EDATE(B134,-12),Database!$A:$AS,MATCH($U$1,Database!$A$1:$AS$1,),))))</f>
        <v/>
      </c>
      <c r="V134" s="13">
        <f>((((VLOOKUP(B134,Database!$A:$AS,MATCH($V$1,Database!$A$1:$AS$1,),))))-(((VLOOKUP(EDATE(B134,-12),Database!$A:$AS,MATCH($V$1,Database!$A$1:$AS$1,),)))))/(((VLOOKUP(EDATE(B134,-12),Database!$A:$AS,MATCH($V$1,Database!$A$1:$AS$1,),))))</f>
        <v/>
      </c>
    </row>
    <row r="135" customFormat="1" s="94">
      <c r="A135" s="44" t="n"/>
      <c r="B135" s="85" t="n">
        <v>36251</v>
      </c>
      <c r="C135" s="13">
        <f>((((VLOOKUP(B135,Database!$A:$AS,MATCH($C$1,Database!$A$1:$AS$1,),))))-(((VLOOKUP(EDATE(B135,-12),Database!$A:$AS,MATCH($C$1,Database!$A$1:$AS$1,),)))))/(((VLOOKUP(EDATE(B135,-12),Database!$A:$AS,MATCH($C$1,Database!$A$1:$AS$1,),))))</f>
        <v/>
      </c>
      <c r="D135" s="13">
        <f>((((VLOOKUP(B135,Database!$A:$AS,MATCH($D$1,Database!$A$1:$AS$1,),))))-(((VLOOKUP(EDATE(B135,-12),Database!$A:$AS,MATCH($D$1,Database!$A$1:$AS$1,),)))))/(((VLOOKUP(EDATE(B135,-12),Database!$A:$AS,MATCH($D$1,Database!$A$1:$AS$1,),))))</f>
        <v/>
      </c>
      <c r="E135" s="13">
        <f>((((VLOOKUP(B135,Database!$A:$AS,MATCH($E$1,Database!$A$1:$AS$1,),))))-(((VLOOKUP(EDATE(B135,-12),Database!$A:$AS,MATCH($E$1,Database!$A$1:$AS$1,),)))))/(((VLOOKUP(EDATE(B135,-12),Database!$A:$AS,MATCH($E$1,Database!$A$1:$AS$1,),))))</f>
        <v/>
      </c>
      <c r="F135" s="13">
        <f>((((VLOOKUP(B135,Database!$A:$AS,MATCH($F$1,Database!$A$1:$AS$1,),))))-(((VLOOKUP(EDATE(B135,-12),Database!$A:$AS,MATCH($F$1,Database!$A$1:$AS$1,),)))))/(((VLOOKUP(EDATE(B135,-12),Database!$A:$AS,MATCH($F$1,Database!$A$1:$AS$1,),))))</f>
        <v/>
      </c>
      <c r="G135" s="13">
        <f>((((VLOOKUP(B135,Database!$A:$AS,MATCH($G$1,Database!$A$1:$AS$1,),))))-(((VLOOKUP(EDATE(B135,-12),Database!$A:$AS,MATCH($G$1,Database!$A$1:$AS$1,),)))))/(((VLOOKUP(EDATE(B135,-12),Database!$A:$AS,MATCH($G$1,Database!$A$1:$AS$1,),))))</f>
        <v/>
      </c>
      <c r="H135" s="13">
        <f>((((VLOOKUP(B135,Database!$A:$AS,MATCH($H$1,Database!$A$1:$AS$1,),))))-(((VLOOKUP(EDATE(B135,-12),Database!$A:$AS,MATCH($H$1,Database!$A$1:$AS$1,),)))))/(((VLOOKUP(EDATE(B135,-12),Database!$A:$AS,MATCH($H$1,Database!$A$1:$AS$1,),))))</f>
        <v/>
      </c>
      <c r="I135" s="13">
        <f>((((VLOOKUP(B135,Database!$A:$AS,MATCH($I$1,Database!$A$1:$AS$1,),))))-(((VLOOKUP(EDATE(B135,-12),Database!$A:$AS,MATCH($I$1,Database!$A$1:$AS$1,),)))))/(((VLOOKUP(EDATE(B135,-12),Database!$A:$AS,MATCH($I$1,Database!$A$1:$AS$1,),))))</f>
        <v/>
      </c>
      <c r="J135" s="13">
        <f>((((VLOOKUP(B135,Database!$A:$AS,MATCH($J$1,Database!$A$1:$AS$1,),))))-(((VLOOKUP(EDATE(B135,-12),Database!$A:$AS,MATCH($J$1,Database!$A$1:$AS$1,),)))))/(((VLOOKUP(EDATE(B135,-12),Database!$A:$AS,MATCH($J$1,Database!$A$1:$AS$1,),))))</f>
        <v/>
      </c>
      <c r="K135" s="13">
        <f>((((VLOOKUP(B135,Database!$A:$AS,MATCH($K$1,Database!$A$1:$AS$1,),))))-(((VLOOKUP(EDATE(B135,-12),Database!$A:$AS,MATCH($K$1,Database!$A$1:$AS$1,),)))))/(((VLOOKUP(EDATE(B135,-12),Database!$A:$AS,MATCH($K$1,Database!$A$1:$AS$1,),))))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((((VLOOKUP(B135,Database!$A:$AS,MATCH($O$1,Database!$A$1:$AS$1,),))))-(((VLOOKUP(EDATE(B135,-12),Database!$A:$AS,MATCH($O$1,Database!$A$1:$AS$1,),)))))/(((VLOOKUP(EDATE(B135,-12),Database!$A:$AS,MATCH($O$1,Database!$A$1:$AS$1,),))))</f>
        <v/>
      </c>
      <c r="P135" s="13">
        <f>((((VLOOKUP(B135,Database!$A:$AS,MATCH($P$1,Database!$A$1:$AS$1,),))))-(((VLOOKUP(EDATE(B135,-12),Database!$A:$AS,MATCH($P$1,Database!$A$1:$AS$1,),)))))/(((VLOOKUP(EDATE(B135,-12),Database!$A:$AS,MATCH($P$1,Database!$A$1:$AS$1,),))))</f>
        <v/>
      </c>
      <c r="Q135" s="13">
        <f>((((VLOOKUP(B135,Database!$A:$AS,MATCH($Q$1,Database!$A$1:$AS$1,),))))-(((VLOOKUP(EDATE(B135,-12),Database!$A:$AS,MATCH($Q$1,Database!$A$1:$AS$1,),)))))/(((VLOOKUP(EDATE(B135,-12),Database!$A:$AS,MATCH($Q$1,Database!$A$1:$AS$1,),))))</f>
        <v/>
      </c>
      <c r="R135" s="13">
        <f>((((VLOOKUP(B135,Database!$A:$AS,MATCH($R$1,Database!$A$1:$AS$1,),))))-(((VLOOKUP(EDATE(B135,-12),Database!$A:$AS,MATCH($R$1,Database!$A$1:$AS$1,),)))))/(((VLOOKUP(EDATE(B135,-12),Database!$A:$AS,MATCH($R$1,Database!$A$1:$AS$1,),))))</f>
        <v/>
      </c>
      <c r="S135" s="13">
        <f>((((VLOOKUP(B135,Database!$A:$AS,MATCH($S$1,Database!$A$1:$AS$1,),))))-(((VLOOKUP(EDATE(B135,-12),Database!$A:$AS,MATCH($S$1,Database!$A$1:$AS$1,),)))))/(((VLOOKUP(EDATE(B135,-12),Database!$A:$AS,MATCH($S$1,Database!$A$1:$AS$1,),))))</f>
        <v/>
      </c>
      <c r="T135" s="13">
        <f>((((VLOOKUP(B135,Database!$A:$AS,MATCH($T$1,Database!$A$1:$AS$1,),))))-(((VLOOKUP(EDATE(B135,-12),Database!$A:$AS,MATCH($T$1,Database!$A$1:$AS$1,),)))))/(((VLOOKUP(EDATE(B135,-12),Database!$A:$AS,MATCH($T$1,Database!$A$1:$AS$1,),))))</f>
        <v/>
      </c>
      <c r="U135" s="13">
        <f>((((VLOOKUP(B135,Database!$A:$AS,MATCH($U$1,Database!$A$1:$AS$1,),))))-(((VLOOKUP(EDATE(B135,-12),Database!$A:$AS,MATCH($U$1,Database!$A$1:$AS$1,),)))))/(((VLOOKUP(EDATE(B135,-12),Database!$A:$AS,MATCH($U$1,Database!$A$1:$AS$1,),))))</f>
        <v/>
      </c>
      <c r="V135" s="13">
        <f>((((VLOOKUP(B135,Database!$A:$AS,MATCH($V$1,Database!$A$1:$AS$1,),))))-(((VLOOKUP(EDATE(B135,-12),Database!$A:$AS,MATCH($V$1,Database!$A$1:$AS$1,),)))))/(((VLOOKUP(EDATE(B135,-12),Database!$A:$AS,MATCH($V$1,Database!$A$1:$AS$1,),))))</f>
        <v/>
      </c>
    </row>
    <row r="136" customFormat="1" s="94">
      <c r="A136" s="44" t="n"/>
      <c r="B136" s="85" t="n">
        <v>36281</v>
      </c>
      <c r="C136" s="13">
        <f>((((VLOOKUP(B136,Database!$A:$AS,MATCH($C$1,Database!$A$1:$AS$1,),))))-(((VLOOKUP(EDATE(B136,-12),Database!$A:$AS,MATCH($C$1,Database!$A$1:$AS$1,),)))))/(((VLOOKUP(EDATE(B136,-12),Database!$A:$AS,MATCH($C$1,Database!$A$1:$AS$1,),))))</f>
        <v/>
      </c>
      <c r="D136" s="13">
        <f>((((VLOOKUP(B136,Database!$A:$AS,MATCH($D$1,Database!$A$1:$AS$1,),))))-(((VLOOKUP(EDATE(B136,-12),Database!$A:$AS,MATCH($D$1,Database!$A$1:$AS$1,),)))))/(((VLOOKUP(EDATE(B136,-12),Database!$A:$AS,MATCH($D$1,Database!$A$1:$AS$1,),))))</f>
        <v/>
      </c>
      <c r="E136" s="13">
        <f>((((VLOOKUP(B136,Database!$A:$AS,MATCH($E$1,Database!$A$1:$AS$1,),))))-(((VLOOKUP(EDATE(B136,-12),Database!$A:$AS,MATCH($E$1,Database!$A$1:$AS$1,),)))))/(((VLOOKUP(EDATE(B136,-12),Database!$A:$AS,MATCH($E$1,Database!$A$1:$AS$1,),))))</f>
        <v/>
      </c>
      <c r="F136" s="13">
        <f>((((VLOOKUP(B136,Database!$A:$AS,MATCH($F$1,Database!$A$1:$AS$1,),))))-(((VLOOKUP(EDATE(B136,-12),Database!$A:$AS,MATCH($F$1,Database!$A$1:$AS$1,),)))))/(((VLOOKUP(EDATE(B136,-12),Database!$A:$AS,MATCH($F$1,Database!$A$1:$AS$1,),))))</f>
        <v/>
      </c>
      <c r="G136" s="13">
        <f>((((VLOOKUP(B136,Database!$A:$AS,MATCH($G$1,Database!$A$1:$AS$1,),))))-(((VLOOKUP(EDATE(B136,-12),Database!$A:$AS,MATCH($G$1,Database!$A$1:$AS$1,),)))))/(((VLOOKUP(EDATE(B136,-12),Database!$A:$AS,MATCH($G$1,Database!$A$1:$AS$1,),))))</f>
        <v/>
      </c>
      <c r="H136" s="13">
        <f>((((VLOOKUP(B136,Database!$A:$AS,MATCH($H$1,Database!$A$1:$AS$1,),))))-(((VLOOKUP(EDATE(B136,-12),Database!$A:$AS,MATCH($H$1,Database!$A$1:$AS$1,),)))))/(((VLOOKUP(EDATE(B136,-12),Database!$A:$AS,MATCH($H$1,Database!$A$1:$AS$1,),))))</f>
        <v/>
      </c>
      <c r="I136" s="13">
        <f>((((VLOOKUP(B136,Database!$A:$AS,MATCH($I$1,Database!$A$1:$AS$1,),))))-(((VLOOKUP(EDATE(B136,-12),Database!$A:$AS,MATCH($I$1,Database!$A$1:$AS$1,),)))))/(((VLOOKUP(EDATE(B136,-12),Database!$A:$AS,MATCH($I$1,Database!$A$1:$AS$1,),))))</f>
        <v/>
      </c>
      <c r="J136" s="13">
        <f>((((VLOOKUP(B136,Database!$A:$AS,MATCH($J$1,Database!$A$1:$AS$1,),))))-(((VLOOKUP(EDATE(B136,-12),Database!$A:$AS,MATCH($J$1,Database!$A$1:$AS$1,),)))))/(((VLOOKUP(EDATE(B136,-12),Database!$A:$AS,MATCH($J$1,Database!$A$1:$AS$1,),))))</f>
        <v/>
      </c>
      <c r="K136" s="13">
        <f>((((VLOOKUP(B136,Database!$A:$AS,MATCH($K$1,Database!$A$1:$AS$1,),))))-(((VLOOKUP(EDATE(B136,-12),Database!$A:$AS,MATCH($K$1,Database!$A$1:$AS$1,),)))))/(((VLOOKUP(EDATE(B136,-12),Database!$A:$AS,MATCH($K$1,Database!$A$1:$AS$1,),))))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((((VLOOKUP(B136,Database!$A:$AS,MATCH($O$1,Database!$A$1:$AS$1,),))))-(((VLOOKUP(EDATE(B136,-12),Database!$A:$AS,MATCH($O$1,Database!$A$1:$AS$1,),)))))/(((VLOOKUP(EDATE(B136,-12),Database!$A:$AS,MATCH($O$1,Database!$A$1:$AS$1,),))))</f>
        <v/>
      </c>
      <c r="P136" s="13">
        <f>((((VLOOKUP(B136,Database!$A:$AS,MATCH($P$1,Database!$A$1:$AS$1,),))))-(((VLOOKUP(EDATE(B136,-12),Database!$A:$AS,MATCH($P$1,Database!$A$1:$AS$1,),)))))/(((VLOOKUP(EDATE(B136,-12),Database!$A:$AS,MATCH($P$1,Database!$A$1:$AS$1,),))))</f>
        <v/>
      </c>
      <c r="Q136" s="13">
        <f>((((VLOOKUP(B136,Database!$A:$AS,MATCH($Q$1,Database!$A$1:$AS$1,),))))-(((VLOOKUP(EDATE(B136,-12),Database!$A:$AS,MATCH($Q$1,Database!$A$1:$AS$1,),)))))/(((VLOOKUP(EDATE(B136,-12),Database!$A:$AS,MATCH($Q$1,Database!$A$1:$AS$1,),))))</f>
        <v/>
      </c>
      <c r="R136" s="13">
        <f>((((VLOOKUP(B136,Database!$A:$AS,MATCH($R$1,Database!$A$1:$AS$1,),))))-(((VLOOKUP(EDATE(B136,-12),Database!$A:$AS,MATCH($R$1,Database!$A$1:$AS$1,),)))))/(((VLOOKUP(EDATE(B136,-12),Database!$A:$AS,MATCH($R$1,Database!$A$1:$AS$1,),))))</f>
        <v/>
      </c>
      <c r="S136" s="13">
        <f>((((VLOOKUP(B136,Database!$A:$AS,MATCH($S$1,Database!$A$1:$AS$1,),))))-(((VLOOKUP(EDATE(B136,-12),Database!$A:$AS,MATCH($S$1,Database!$A$1:$AS$1,),)))))/(((VLOOKUP(EDATE(B136,-12),Database!$A:$AS,MATCH($S$1,Database!$A$1:$AS$1,),))))</f>
        <v/>
      </c>
      <c r="T136" s="13">
        <f>((((VLOOKUP(B136,Database!$A:$AS,MATCH($T$1,Database!$A$1:$AS$1,),))))-(((VLOOKUP(EDATE(B136,-12),Database!$A:$AS,MATCH($T$1,Database!$A$1:$AS$1,),)))))/(((VLOOKUP(EDATE(B136,-12),Database!$A:$AS,MATCH($T$1,Database!$A$1:$AS$1,),))))</f>
        <v/>
      </c>
      <c r="U136" s="13">
        <f>((((VLOOKUP(B136,Database!$A:$AS,MATCH($U$1,Database!$A$1:$AS$1,),))))-(((VLOOKUP(EDATE(B136,-12),Database!$A:$AS,MATCH($U$1,Database!$A$1:$AS$1,),)))))/(((VLOOKUP(EDATE(B136,-12),Database!$A:$AS,MATCH($U$1,Database!$A$1:$AS$1,),))))</f>
        <v/>
      </c>
      <c r="V136" s="13">
        <f>((((VLOOKUP(B136,Database!$A:$AS,MATCH($V$1,Database!$A$1:$AS$1,),))))-(((VLOOKUP(EDATE(B136,-12),Database!$A:$AS,MATCH($V$1,Database!$A$1:$AS$1,),)))))/(((VLOOKUP(EDATE(B136,-12),Database!$A:$AS,MATCH($V$1,Database!$A$1:$AS$1,),))))</f>
        <v/>
      </c>
    </row>
    <row r="137" customFormat="1" s="94">
      <c r="A137" s="44" t="n"/>
      <c r="B137" s="85" t="n">
        <v>36312</v>
      </c>
      <c r="C137" s="13">
        <f>((((VLOOKUP(B137,Database!$A:$AS,MATCH($C$1,Database!$A$1:$AS$1,),))))-(((VLOOKUP(EDATE(B137,-12),Database!$A:$AS,MATCH($C$1,Database!$A$1:$AS$1,),)))))/(((VLOOKUP(EDATE(B137,-12),Database!$A:$AS,MATCH($C$1,Database!$A$1:$AS$1,),))))</f>
        <v/>
      </c>
      <c r="D137" s="13">
        <f>((((VLOOKUP(B137,Database!$A:$AS,MATCH($D$1,Database!$A$1:$AS$1,),))))-(((VLOOKUP(EDATE(B137,-12),Database!$A:$AS,MATCH($D$1,Database!$A$1:$AS$1,),)))))/(((VLOOKUP(EDATE(B137,-12),Database!$A:$AS,MATCH($D$1,Database!$A$1:$AS$1,),))))</f>
        <v/>
      </c>
      <c r="E137" s="13">
        <f>((((VLOOKUP(B137,Database!$A:$AS,MATCH($E$1,Database!$A$1:$AS$1,),))))-(((VLOOKUP(EDATE(B137,-12),Database!$A:$AS,MATCH($E$1,Database!$A$1:$AS$1,),)))))/(((VLOOKUP(EDATE(B137,-12),Database!$A:$AS,MATCH($E$1,Database!$A$1:$AS$1,),))))</f>
        <v/>
      </c>
      <c r="F137" s="13">
        <f>((((VLOOKUP(B137,Database!$A:$AS,MATCH($F$1,Database!$A$1:$AS$1,),))))-(((VLOOKUP(EDATE(B137,-12),Database!$A:$AS,MATCH($F$1,Database!$A$1:$AS$1,),)))))/(((VLOOKUP(EDATE(B137,-12),Database!$A:$AS,MATCH($F$1,Database!$A$1:$AS$1,),))))</f>
        <v/>
      </c>
      <c r="G137" s="13">
        <f>((((VLOOKUP(B137,Database!$A:$AS,MATCH($G$1,Database!$A$1:$AS$1,),))))-(((VLOOKUP(EDATE(B137,-12),Database!$A:$AS,MATCH($G$1,Database!$A$1:$AS$1,),)))))/(((VLOOKUP(EDATE(B137,-12),Database!$A:$AS,MATCH($G$1,Database!$A$1:$AS$1,),))))</f>
        <v/>
      </c>
      <c r="H137" s="13">
        <f>((((VLOOKUP(B137,Database!$A:$AS,MATCH($H$1,Database!$A$1:$AS$1,),))))-(((VLOOKUP(EDATE(B137,-12),Database!$A:$AS,MATCH($H$1,Database!$A$1:$AS$1,),)))))/(((VLOOKUP(EDATE(B137,-12),Database!$A:$AS,MATCH($H$1,Database!$A$1:$AS$1,),))))</f>
        <v/>
      </c>
      <c r="I137" s="13">
        <f>((((VLOOKUP(B137,Database!$A:$AS,MATCH($I$1,Database!$A$1:$AS$1,),))))-(((VLOOKUP(EDATE(B137,-12),Database!$A:$AS,MATCH($I$1,Database!$A$1:$AS$1,),)))))/(((VLOOKUP(EDATE(B137,-12),Database!$A:$AS,MATCH($I$1,Database!$A$1:$AS$1,),))))</f>
        <v/>
      </c>
      <c r="J137" s="13">
        <f>((((VLOOKUP(B137,Database!$A:$AS,MATCH($J$1,Database!$A$1:$AS$1,),))))-(((VLOOKUP(EDATE(B137,-12),Database!$A:$AS,MATCH($J$1,Database!$A$1:$AS$1,),)))))/(((VLOOKUP(EDATE(B137,-12),Database!$A:$AS,MATCH($J$1,Database!$A$1:$AS$1,),))))</f>
        <v/>
      </c>
      <c r="K137" s="13">
        <f>((((VLOOKUP(B137,Database!$A:$AS,MATCH($K$1,Database!$A$1:$AS$1,),))))-(((VLOOKUP(EDATE(B137,-12),Database!$A:$AS,MATCH($K$1,Database!$A$1:$AS$1,),)))))/(((VLOOKUP(EDATE(B137,-12),Database!$A:$AS,MATCH($K$1,Database!$A$1:$AS$1,),))))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((((VLOOKUP(B137,Database!$A:$AS,MATCH($O$1,Database!$A$1:$AS$1,),))))-(((VLOOKUP(EDATE(B137,-12),Database!$A:$AS,MATCH($O$1,Database!$A$1:$AS$1,),)))))/(((VLOOKUP(EDATE(B137,-12),Database!$A:$AS,MATCH($O$1,Database!$A$1:$AS$1,),))))</f>
        <v/>
      </c>
      <c r="P137" s="13">
        <f>((((VLOOKUP(B137,Database!$A:$AS,MATCH($P$1,Database!$A$1:$AS$1,),))))-(((VLOOKUP(EDATE(B137,-12),Database!$A:$AS,MATCH($P$1,Database!$A$1:$AS$1,),)))))/(((VLOOKUP(EDATE(B137,-12),Database!$A:$AS,MATCH($P$1,Database!$A$1:$AS$1,),))))</f>
        <v/>
      </c>
      <c r="Q137" s="13">
        <f>((((VLOOKUP(B137,Database!$A:$AS,MATCH($Q$1,Database!$A$1:$AS$1,),))))-(((VLOOKUP(EDATE(B137,-12),Database!$A:$AS,MATCH($Q$1,Database!$A$1:$AS$1,),)))))/(((VLOOKUP(EDATE(B137,-12),Database!$A:$AS,MATCH($Q$1,Database!$A$1:$AS$1,),))))</f>
        <v/>
      </c>
      <c r="R137" s="13">
        <f>((((VLOOKUP(B137,Database!$A:$AS,MATCH($R$1,Database!$A$1:$AS$1,),))))-(((VLOOKUP(EDATE(B137,-12),Database!$A:$AS,MATCH($R$1,Database!$A$1:$AS$1,),)))))/(((VLOOKUP(EDATE(B137,-12),Database!$A:$AS,MATCH($R$1,Database!$A$1:$AS$1,),))))</f>
        <v/>
      </c>
      <c r="S137" s="13">
        <f>((((VLOOKUP(B137,Database!$A:$AS,MATCH($S$1,Database!$A$1:$AS$1,),))))-(((VLOOKUP(EDATE(B137,-12),Database!$A:$AS,MATCH($S$1,Database!$A$1:$AS$1,),)))))/(((VLOOKUP(EDATE(B137,-12),Database!$A:$AS,MATCH($S$1,Database!$A$1:$AS$1,),))))</f>
        <v/>
      </c>
      <c r="T137" s="13">
        <f>((((VLOOKUP(B137,Database!$A:$AS,MATCH($T$1,Database!$A$1:$AS$1,),))))-(((VLOOKUP(EDATE(B137,-12),Database!$A:$AS,MATCH($T$1,Database!$A$1:$AS$1,),)))))/(((VLOOKUP(EDATE(B137,-12),Database!$A:$AS,MATCH($T$1,Database!$A$1:$AS$1,),))))</f>
        <v/>
      </c>
      <c r="U137" s="13">
        <f>((((VLOOKUP(B137,Database!$A:$AS,MATCH($U$1,Database!$A$1:$AS$1,),))))-(((VLOOKUP(EDATE(B137,-12),Database!$A:$AS,MATCH($U$1,Database!$A$1:$AS$1,),)))))/(((VLOOKUP(EDATE(B137,-12),Database!$A:$AS,MATCH($U$1,Database!$A$1:$AS$1,),))))</f>
        <v/>
      </c>
      <c r="V137" s="13">
        <f>((((VLOOKUP(B137,Database!$A:$AS,MATCH($V$1,Database!$A$1:$AS$1,),))))-(((VLOOKUP(EDATE(B137,-12),Database!$A:$AS,MATCH($V$1,Database!$A$1:$AS$1,),)))))/(((VLOOKUP(EDATE(B137,-12),Database!$A:$AS,MATCH($V$1,Database!$A$1:$AS$1,),))))</f>
        <v/>
      </c>
    </row>
    <row r="138" customFormat="1" s="94">
      <c r="A138" s="44" t="n"/>
      <c r="B138" s="85" t="n">
        <v>36342</v>
      </c>
      <c r="C138" s="13">
        <f>((((VLOOKUP(B138,Database!$A:$AS,MATCH($C$1,Database!$A$1:$AS$1,),))))-(((VLOOKUP(EDATE(B138,-12),Database!$A:$AS,MATCH($C$1,Database!$A$1:$AS$1,),)))))/(((VLOOKUP(EDATE(B138,-12),Database!$A:$AS,MATCH($C$1,Database!$A$1:$AS$1,),))))</f>
        <v/>
      </c>
      <c r="D138" s="13">
        <f>((((VLOOKUP(B138,Database!$A:$AS,MATCH($D$1,Database!$A$1:$AS$1,),))))-(((VLOOKUP(EDATE(B138,-12),Database!$A:$AS,MATCH($D$1,Database!$A$1:$AS$1,),)))))/(((VLOOKUP(EDATE(B138,-12),Database!$A:$AS,MATCH($D$1,Database!$A$1:$AS$1,),))))</f>
        <v/>
      </c>
      <c r="E138" s="13">
        <f>((((VLOOKUP(B138,Database!$A:$AS,MATCH($E$1,Database!$A$1:$AS$1,),))))-(((VLOOKUP(EDATE(B138,-12),Database!$A:$AS,MATCH($E$1,Database!$A$1:$AS$1,),)))))/(((VLOOKUP(EDATE(B138,-12),Database!$A:$AS,MATCH($E$1,Database!$A$1:$AS$1,),))))</f>
        <v/>
      </c>
      <c r="F138" s="13">
        <f>((((VLOOKUP(B138,Database!$A:$AS,MATCH($F$1,Database!$A$1:$AS$1,),))))-(((VLOOKUP(EDATE(B138,-12),Database!$A:$AS,MATCH($F$1,Database!$A$1:$AS$1,),)))))/(((VLOOKUP(EDATE(B138,-12),Database!$A:$AS,MATCH($F$1,Database!$A$1:$AS$1,),))))</f>
        <v/>
      </c>
      <c r="G138" s="13">
        <f>((((VLOOKUP(B138,Database!$A:$AS,MATCH($G$1,Database!$A$1:$AS$1,),))))-(((VLOOKUP(EDATE(B138,-12),Database!$A:$AS,MATCH($G$1,Database!$A$1:$AS$1,),)))))/(((VLOOKUP(EDATE(B138,-12),Database!$A:$AS,MATCH($G$1,Database!$A$1:$AS$1,),))))</f>
        <v/>
      </c>
      <c r="H138" s="13">
        <f>((((VLOOKUP(B138,Database!$A:$AS,MATCH($H$1,Database!$A$1:$AS$1,),))))-(((VLOOKUP(EDATE(B138,-12),Database!$A:$AS,MATCH($H$1,Database!$A$1:$AS$1,),)))))/(((VLOOKUP(EDATE(B138,-12),Database!$A:$AS,MATCH($H$1,Database!$A$1:$AS$1,),))))</f>
        <v/>
      </c>
      <c r="I138" s="13">
        <f>((((VLOOKUP(B138,Database!$A:$AS,MATCH($I$1,Database!$A$1:$AS$1,),))))-(((VLOOKUP(EDATE(B138,-12),Database!$A:$AS,MATCH($I$1,Database!$A$1:$AS$1,),)))))/(((VLOOKUP(EDATE(B138,-12),Database!$A:$AS,MATCH($I$1,Database!$A$1:$AS$1,),))))</f>
        <v/>
      </c>
      <c r="J138" s="13">
        <f>((((VLOOKUP(B138,Database!$A:$AS,MATCH($J$1,Database!$A$1:$AS$1,),))))-(((VLOOKUP(EDATE(B138,-12),Database!$A:$AS,MATCH($J$1,Database!$A$1:$AS$1,),)))))/(((VLOOKUP(EDATE(B138,-12),Database!$A:$AS,MATCH($J$1,Database!$A$1:$AS$1,),))))</f>
        <v/>
      </c>
      <c r="K138" s="13">
        <f>((((VLOOKUP(B138,Database!$A:$AS,MATCH($K$1,Database!$A$1:$AS$1,),))))-(((VLOOKUP(EDATE(B138,-12),Database!$A:$AS,MATCH($K$1,Database!$A$1:$AS$1,),)))))/(((VLOOKUP(EDATE(B138,-12),Database!$A:$AS,MATCH($K$1,Database!$A$1:$AS$1,),))))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((((VLOOKUP(B138,Database!$A:$AS,MATCH($O$1,Database!$A$1:$AS$1,),))))-(((VLOOKUP(EDATE(B138,-12),Database!$A:$AS,MATCH($O$1,Database!$A$1:$AS$1,),)))))/(((VLOOKUP(EDATE(B138,-12),Database!$A:$AS,MATCH($O$1,Database!$A$1:$AS$1,),))))</f>
        <v/>
      </c>
      <c r="P138" s="13">
        <f>((((VLOOKUP(B138,Database!$A:$AS,MATCH($P$1,Database!$A$1:$AS$1,),))))-(((VLOOKUP(EDATE(B138,-12),Database!$A:$AS,MATCH($P$1,Database!$A$1:$AS$1,),)))))/(((VLOOKUP(EDATE(B138,-12),Database!$A:$AS,MATCH($P$1,Database!$A$1:$AS$1,),))))</f>
        <v/>
      </c>
      <c r="Q138" s="13">
        <f>((((VLOOKUP(B138,Database!$A:$AS,MATCH($Q$1,Database!$A$1:$AS$1,),))))-(((VLOOKUP(EDATE(B138,-12),Database!$A:$AS,MATCH($Q$1,Database!$A$1:$AS$1,),)))))/(((VLOOKUP(EDATE(B138,-12),Database!$A:$AS,MATCH($Q$1,Database!$A$1:$AS$1,),))))</f>
        <v/>
      </c>
      <c r="R138" s="13">
        <f>((((VLOOKUP(B138,Database!$A:$AS,MATCH($R$1,Database!$A$1:$AS$1,),))))-(((VLOOKUP(EDATE(B138,-12),Database!$A:$AS,MATCH($R$1,Database!$A$1:$AS$1,),)))))/(((VLOOKUP(EDATE(B138,-12),Database!$A:$AS,MATCH($R$1,Database!$A$1:$AS$1,),))))</f>
        <v/>
      </c>
      <c r="S138" s="13">
        <f>((((VLOOKUP(B138,Database!$A:$AS,MATCH($S$1,Database!$A$1:$AS$1,),))))-(((VLOOKUP(EDATE(B138,-12),Database!$A:$AS,MATCH($S$1,Database!$A$1:$AS$1,),)))))/(((VLOOKUP(EDATE(B138,-12),Database!$A:$AS,MATCH($S$1,Database!$A$1:$AS$1,),))))</f>
        <v/>
      </c>
      <c r="T138" s="13">
        <f>((((VLOOKUP(B138,Database!$A:$AS,MATCH($T$1,Database!$A$1:$AS$1,),))))-(((VLOOKUP(EDATE(B138,-12),Database!$A:$AS,MATCH($T$1,Database!$A$1:$AS$1,),)))))/(((VLOOKUP(EDATE(B138,-12),Database!$A:$AS,MATCH($T$1,Database!$A$1:$AS$1,),))))</f>
        <v/>
      </c>
      <c r="U138" s="13">
        <f>((((VLOOKUP(B138,Database!$A:$AS,MATCH($U$1,Database!$A$1:$AS$1,),))))-(((VLOOKUP(EDATE(B138,-12),Database!$A:$AS,MATCH($U$1,Database!$A$1:$AS$1,),)))))/(((VLOOKUP(EDATE(B138,-12),Database!$A:$AS,MATCH($U$1,Database!$A$1:$AS$1,),))))</f>
        <v/>
      </c>
      <c r="V138" s="13">
        <f>((((VLOOKUP(B138,Database!$A:$AS,MATCH($V$1,Database!$A$1:$AS$1,),))))-(((VLOOKUP(EDATE(B138,-12),Database!$A:$AS,MATCH($V$1,Database!$A$1:$AS$1,),)))))/(((VLOOKUP(EDATE(B138,-12),Database!$A:$AS,MATCH($V$1,Database!$A$1:$AS$1,),))))</f>
        <v/>
      </c>
    </row>
    <row r="139" customFormat="1" s="94">
      <c r="A139" s="44" t="n"/>
      <c r="B139" s="85" t="n">
        <v>36373</v>
      </c>
      <c r="C139" s="13">
        <f>((((VLOOKUP(B139,Database!$A:$AS,MATCH($C$1,Database!$A$1:$AS$1,),))))-(((VLOOKUP(EDATE(B139,-12),Database!$A:$AS,MATCH($C$1,Database!$A$1:$AS$1,),)))))/(((VLOOKUP(EDATE(B139,-12),Database!$A:$AS,MATCH($C$1,Database!$A$1:$AS$1,),))))</f>
        <v/>
      </c>
      <c r="D139" s="13">
        <f>((((VLOOKUP(B139,Database!$A:$AS,MATCH($D$1,Database!$A$1:$AS$1,),))))-(((VLOOKUP(EDATE(B139,-12),Database!$A:$AS,MATCH($D$1,Database!$A$1:$AS$1,),)))))/(((VLOOKUP(EDATE(B139,-12),Database!$A:$AS,MATCH($D$1,Database!$A$1:$AS$1,),))))</f>
        <v/>
      </c>
      <c r="E139" s="13">
        <f>((((VLOOKUP(B139,Database!$A:$AS,MATCH($E$1,Database!$A$1:$AS$1,),))))-(((VLOOKUP(EDATE(B139,-12),Database!$A:$AS,MATCH($E$1,Database!$A$1:$AS$1,),)))))/(((VLOOKUP(EDATE(B139,-12),Database!$A:$AS,MATCH($E$1,Database!$A$1:$AS$1,),))))</f>
        <v/>
      </c>
      <c r="F139" s="13">
        <f>((((VLOOKUP(B139,Database!$A:$AS,MATCH($F$1,Database!$A$1:$AS$1,),))))-(((VLOOKUP(EDATE(B139,-12),Database!$A:$AS,MATCH($F$1,Database!$A$1:$AS$1,),)))))/(((VLOOKUP(EDATE(B139,-12),Database!$A:$AS,MATCH($F$1,Database!$A$1:$AS$1,),))))</f>
        <v/>
      </c>
      <c r="G139" s="13">
        <f>((((VLOOKUP(B139,Database!$A:$AS,MATCH($G$1,Database!$A$1:$AS$1,),))))-(((VLOOKUP(EDATE(B139,-12),Database!$A:$AS,MATCH($G$1,Database!$A$1:$AS$1,),)))))/(((VLOOKUP(EDATE(B139,-12),Database!$A:$AS,MATCH($G$1,Database!$A$1:$AS$1,),))))</f>
        <v/>
      </c>
      <c r="H139" s="13">
        <f>((((VLOOKUP(B139,Database!$A:$AS,MATCH($H$1,Database!$A$1:$AS$1,),))))-(((VLOOKUP(EDATE(B139,-12),Database!$A:$AS,MATCH($H$1,Database!$A$1:$AS$1,),)))))/(((VLOOKUP(EDATE(B139,-12),Database!$A:$AS,MATCH($H$1,Database!$A$1:$AS$1,),))))</f>
        <v/>
      </c>
      <c r="I139" s="13">
        <f>((((VLOOKUP(B139,Database!$A:$AS,MATCH($I$1,Database!$A$1:$AS$1,),))))-(((VLOOKUP(EDATE(B139,-12),Database!$A:$AS,MATCH($I$1,Database!$A$1:$AS$1,),)))))/(((VLOOKUP(EDATE(B139,-12),Database!$A:$AS,MATCH($I$1,Database!$A$1:$AS$1,),))))</f>
        <v/>
      </c>
      <c r="J139" s="13">
        <f>((((VLOOKUP(B139,Database!$A:$AS,MATCH($J$1,Database!$A$1:$AS$1,),))))-(((VLOOKUP(EDATE(B139,-12),Database!$A:$AS,MATCH($J$1,Database!$A$1:$AS$1,),)))))/(((VLOOKUP(EDATE(B139,-12),Database!$A:$AS,MATCH($J$1,Database!$A$1:$AS$1,),))))</f>
        <v/>
      </c>
      <c r="K139" s="13">
        <f>((((VLOOKUP(B139,Database!$A:$AS,MATCH($K$1,Database!$A$1:$AS$1,),))))-(((VLOOKUP(EDATE(B139,-12),Database!$A:$AS,MATCH($K$1,Database!$A$1:$AS$1,),)))))/(((VLOOKUP(EDATE(B139,-12),Database!$A:$AS,MATCH($K$1,Database!$A$1:$AS$1,),))))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((((VLOOKUP(B139,Database!$A:$AS,MATCH($O$1,Database!$A$1:$AS$1,),))))-(((VLOOKUP(EDATE(B139,-12),Database!$A:$AS,MATCH($O$1,Database!$A$1:$AS$1,),)))))/(((VLOOKUP(EDATE(B139,-12),Database!$A:$AS,MATCH($O$1,Database!$A$1:$AS$1,),))))</f>
        <v/>
      </c>
      <c r="P139" s="13">
        <f>((((VLOOKUP(B139,Database!$A:$AS,MATCH($P$1,Database!$A$1:$AS$1,),))))-(((VLOOKUP(EDATE(B139,-12),Database!$A:$AS,MATCH($P$1,Database!$A$1:$AS$1,),)))))/(((VLOOKUP(EDATE(B139,-12),Database!$A:$AS,MATCH($P$1,Database!$A$1:$AS$1,),))))</f>
        <v/>
      </c>
      <c r="Q139" s="13">
        <f>((((VLOOKUP(B139,Database!$A:$AS,MATCH($Q$1,Database!$A$1:$AS$1,),))))-(((VLOOKUP(EDATE(B139,-12),Database!$A:$AS,MATCH($Q$1,Database!$A$1:$AS$1,),)))))/(((VLOOKUP(EDATE(B139,-12),Database!$A:$AS,MATCH($Q$1,Database!$A$1:$AS$1,),))))</f>
        <v/>
      </c>
      <c r="R139" s="13">
        <f>((((VLOOKUP(B139,Database!$A:$AS,MATCH($R$1,Database!$A$1:$AS$1,),))))-(((VLOOKUP(EDATE(B139,-12),Database!$A:$AS,MATCH($R$1,Database!$A$1:$AS$1,),)))))/(((VLOOKUP(EDATE(B139,-12),Database!$A:$AS,MATCH($R$1,Database!$A$1:$AS$1,),))))</f>
        <v/>
      </c>
      <c r="S139" s="13">
        <f>((((VLOOKUP(B139,Database!$A:$AS,MATCH($S$1,Database!$A$1:$AS$1,),))))-(((VLOOKUP(EDATE(B139,-12),Database!$A:$AS,MATCH($S$1,Database!$A$1:$AS$1,),)))))/(((VLOOKUP(EDATE(B139,-12),Database!$A:$AS,MATCH($S$1,Database!$A$1:$AS$1,),))))</f>
        <v/>
      </c>
      <c r="T139" s="13">
        <f>((((VLOOKUP(B139,Database!$A:$AS,MATCH($T$1,Database!$A$1:$AS$1,),))))-(((VLOOKUP(EDATE(B139,-12),Database!$A:$AS,MATCH($T$1,Database!$A$1:$AS$1,),)))))/(((VLOOKUP(EDATE(B139,-12),Database!$A:$AS,MATCH($T$1,Database!$A$1:$AS$1,),))))</f>
        <v/>
      </c>
      <c r="U139" s="13">
        <f>((((VLOOKUP(B139,Database!$A:$AS,MATCH($U$1,Database!$A$1:$AS$1,),))))-(((VLOOKUP(EDATE(B139,-12),Database!$A:$AS,MATCH($U$1,Database!$A$1:$AS$1,),)))))/(((VLOOKUP(EDATE(B139,-12),Database!$A:$AS,MATCH($U$1,Database!$A$1:$AS$1,),))))</f>
        <v/>
      </c>
      <c r="V139" s="13">
        <f>((((VLOOKUP(B139,Database!$A:$AS,MATCH($V$1,Database!$A$1:$AS$1,),))))-(((VLOOKUP(EDATE(B139,-12),Database!$A:$AS,MATCH($V$1,Database!$A$1:$AS$1,),)))))/(((VLOOKUP(EDATE(B139,-12),Database!$A:$AS,MATCH($V$1,Database!$A$1:$AS$1,),))))</f>
        <v/>
      </c>
    </row>
    <row r="140" customFormat="1" s="94">
      <c r="A140" s="44" t="n"/>
      <c r="B140" s="85" t="n">
        <v>36404</v>
      </c>
      <c r="C140" s="13">
        <f>((((VLOOKUP(B140,Database!$A:$AS,MATCH($C$1,Database!$A$1:$AS$1,),))))-(((VLOOKUP(EDATE(B140,-12),Database!$A:$AS,MATCH($C$1,Database!$A$1:$AS$1,),)))))/(((VLOOKUP(EDATE(B140,-12),Database!$A:$AS,MATCH($C$1,Database!$A$1:$AS$1,),))))</f>
        <v/>
      </c>
      <c r="D140" s="13">
        <f>((((VLOOKUP(B140,Database!$A:$AS,MATCH($D$1,Database!$A$1:$AS$1,),))))-(((VLOOKUP(EDATE(B140,-12),Database!$A:$AS,MATCH($D$1,Database!$A$1:$AS$1,),)))))/(((VLOOKUP(EDATE(B140,-12),Database!$A:$AS,MATCH($D$1,Database!$A$1:$AS$1,),))))</f>
        <v/>
      </c>
      <c r="E140" s="13">
        <f>((((VLOOKUP(B140,Database!$A:$AS,MATCH($E$1,Database!$A$1:$AS$1,),))))-(((VLOOKUP(EDATE(B140,-12),Database!$A:$AS,MATCH($E$1,Database!$A$1:$AS$1,),)))))/(((VLOOKUP(EDATE(B140,-12),Database!$A:$AS,MATCH($E$1,Database!$A$1:$AS$1,),))))</f>
        <v/>
      </c>
      <c r="F140" s="13">
        <f>((((VLOOKUP(B140,Database!$A:$AS,MATCH($F$1,Database!$A$1:$AS$1,),))))-(((VLOOKUP(EDATE(B140,-12),Database!$A:$AS,MATCH($F$1,Database!$A$1:$AS$1,),)))))/(((VLOOKUP(EDATE(B140,-12),Database!$A:$AS,MATCH($F$1,Database!$A$1:$AS$1,),))))</f>
        <v/>
      </c>
      <c r="G140" s="13">
        <f>((((VLOOKUP(B140,Database!$A:$AS,MATCH($G$1,Database!$A$1:$AS$1,),))))-(((VLOOKUP(EDATE(B140,-12),Database!$A:$AS,MATCH($G$1,Database!$A$1:$AS$1,),)))))/(((VLOOKUP(EDATE(B140,-12),Database!$A:$AS,MATCH($G$1,Database!$A$1:$AS$1,),))))</f>
        <v/>
      </c>
      <c r="H140" s="13">
        <f>((((VLOOKUP(B140,Database!$A:$AS,MATCH($H$1,Database!$A$1:$AS$1,),))))-(((VLOOKUP(EDATE(B140,-12),Database!$A:$AS,MATCH($H$1,Database!$A$1:$AS$1,),)))))/(((VLOOKUP(EDATE(B140,-12),Database!$A:$AS,MATCH($H$1,Database!$A$1:$AS$1,),))))</f>
        <v/>
      </c>
      <c r="I140" s="13">
        <f>((((VLOOKUP(B140,Database!$A:$AS,MATCH($I$1,Database!$A$1:$AS$1,),))))-(((VLOOKUP(EDATE(B140,-12),Database!$A:$AS,MATCH($I$1,Database!$A$1:$AS$1,),)))))/(((VLOOKUP(EDATE(B140,-12),Database!$A:$AS,MATCH($I$1,Database!$A$1:$AS$1,),))))</f>
        <v/>
      </c>
      <c r="J140" s="13">
        <f>((((VLOOKUP(B140,Database!$A:$AS,MATCH($J$1,Database!$A$1:$AS$1,),))))-(((VLOOKUP(EDATE(B140,-12),Database!$A:$AS,MATCH($J$1,Database!$A$1:$AS$1,),)))))/(((VLOOKUP(EDATE(B140,-12),Database!$A:$AS,MATCH($J$1,Database!$A$1:$AS$1,),))))</f>
        <v/>
      </c>
      <c r="K140" s="13">
        <f>((((VLOOKUP(B140,Database!$A:$AS,MATCH($K$1,Database!$A$1:$AS$1,),))))-(((VLOOKUP(EDATE(B140,-12),Database!$A:$AS,MATCH($K$1,Database!$A$1:$AS$1,),)))))/(((VLOOKUP(EDATE(B140,-12),Database!$A:$AS,MATCH($K$1,Database!$A$1:$AS$1,),))))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((((VLOOKUP(B140,Database!$A:$AS,MATCH($O$1,Database!$A$1:$AS$1,),))))-(((VLOOKUP(EDATE(B140,-12),Database!$A:$AS,MATCH($O$1,Database!$A$1:$AS$1,),)))))/(((VLOOKUP(EDATE(B140,-12),Database!$A:$AS,MATCH($O$1,Database!$A$1:$AS$1,),))))</f>
        <v/>
      </c>
      <c r="P140" s="13">
        <f>((((VLOOKUP(B140,Database!$A:$AS,MATCH($P$1,Database!$A$1:$AS$1,),))))-(((VLOOKUP(EDATE(B140,-12),Database!$A:$AS,MATCH($P$1,Database!$A$1:$AS$1,),)))))/(((VLOOKUP(EDATE(B140,-12),Database!$A:$AS,MATCH($P$1,Database!$A$1:$AS$1,),))))</f>
        <v/>
      </c>
      <c r="Q140" s="13">
        <f>((((VLOOKUP(B140,Database!$A:$AS,MATCH($Q$1,Database!$A$1:$AS$1,),))))-(((VLOOKUP(EDATE(B140,-12),Database!$A:$AS,MATCH($Q$1,Database!$A$1:$AS$1,),)))))/(((VLOOKUP(EDATE(B140,-12),Database!$A:$AS,MATCH($Q$1,Database!$A$1:$AS$1,),))))</f>
        <v/>
      </c>
      <c r="R140" s="13">
        <f>((((VLOOKUP(B140,Database!$A:$AS,MATCH($R$1,Database!$A$1:$AS$1,),))))-(((VLOOKUP(EDATE(B140,-12),Database!$A:$AS,MATCH($R$1,Database!$A$1:$AS$1,),)))))/(((VLOOKUP(EDATE(B140,-12),Database!$A:$AS,MATCH($R$1,Database!$A$1:$AS$1,),))))</f>
        <v/>
      </c>
      <c r="S140" s="13">
        <f>((((VLOOKUP(B140,Database!$A:$AS,MATCH($S$1,Database!$A$1:$AS$1,),))))-(((VLOOKUP(EDATE(B140,-12),Database!$A:$AS,MATCH($S$1,Database!$A$1:$AS$1,),)))))/(((VLOOKUP(EDATE(B140,-12),Database!$A:$AS,MATCH($S$1,Database!$A$1:$AS$1,),))))</f>
        <v/>
      </c>
      <c r="T140" s="13">
        <f>((((VLOOKUP(B140,Database!$A:$AS,MATCH($T$1,Database!$A$1:$AS$1,),))))-(((VLOOKUP(EDATE(B140,-12),Database!$A:$AS,MATCH($T$1,Database!$A$1:$AS$1,),)))))/(((VLOOKUP(EDATE(B140,-12),Database!$A:$AS,MATCH($T$1,Database!$A$1:$AS$1,),))))</f>
        <v/>
      </c>
      <c r="U140" s="13">
        <f>((((VLOOKUP(B140,Database!$A:$AS,MATCH($U$1,Database!$A$1:$AS$1,),))))-(((VLOOKUP(EDATE(B140,-12),Database!$A:$AS,MATCH($U$1,Database!$A$1:$AS$1,),)))))/(((VLOOKUP(EDATE(B140,-12),Database!$A:$AS,MATCH($U$1,Database!$A$1:$AS$1,),))))</f>
        <v/>
      </c>
      <c r="V140" s="13">
        <f>((((VLOOKUP(B140,Database!$A:$AS,MATCH($V$1,Database!$A$1:$AS$1,),))))-(((VLOOKUP(EDATE(B140,-12),Database!$A:$AS,MATCH($V$1,Database!$A$1:$AS$1,),)))))/(((VLOOKUP(EDATE(B140,-12),Database!$A:$AS,MATCH($V$1,Database!$A$1:$AS$1,),))))</f>
        <v/>
      </c>
    </row>
    <row r="141" customFormat="1" s="94">
      <c r="A141" s="44" t="n"/>
      <c r="B141" s="85" t="n">
        <v>36434</v>
      </c>
      <c r="C141" s="13">
        <f>((((VLOOKUP(B141,Database!$A:$AS,MATCH($C$1,Database!$A$1:$AS$1,),))))-(((VLOOKUP(EDATE(B141,-12),Database!$A:$AS,MATCH($C$1,Database!$A$1:$AS$1,),)))))/(((VLOOKUP(EDATE(B141,-12),Database!$A:$AS,MATCH($C$1,Database!$A$1:$AS$1,),))))</f>
        <v/>
      </c>
      <c r="D141" s="13">
        <f>((((VLOOKUP(B141,Database!$A:$AS,MATCH($D$1,Database!$A$1:$AS$1,),))))-(((VLOOKUP(EDATE(B141,-12),Database!$A:$AS,MATCH($D$1,Database!$A$1:$AS$1,),)))))/(((VLOOKUP(EDATE(B141,-12),Database!$A:$AS,MATCH($D$1,Database!$A$1:$AS$1,),))))</f>
        <v/>
      </c>
      <c r="E141" s="13">
        <f>((((VLOOKUP(B141,Database!$A:$AS,MATCH($E$1,Database!$A$1:$AS$1,),))))-(((VLOOKUP(EDATE(B141,-12),Database!$A:$AS,MATCH($E$1,Database!$A$1:$AS$1,),)))))/(((VLOOKUP(EDATE(B141,-12),Database!$A:$AS,MATCH($E$1,Database!$A$1:$AS$1,),))))</f>
        <v/>
      </c>
      <c r="F141" s="13">
        <f>((((VLOOKUP(B141,Database!$A:$AS,MATCH($F$1,Database!$A$1:$AS$1,),))))-(((VLOOKUP(EDATE(B141,-12),Database!$A:$AS,MATCH($F$1,Database!$A$1:$AS$1,),)))))/(((VLOOKUP(EDATE(B141,-12),Database!$A:$AS,MATCH($F$1,Database!$A$1:$AS$1,),))))</f>
        <v/>
      </c>
      <c r="G141" s="13">
        <f>((((VLOOKUP(B141,Database!$A:$AS,MATCH($G$1,Database!$A$1:$AS$1,),))))-(((VLOOKUP(EDATE(B141,-12),Database!$A:$AS,MATCH($G$1,Database!$A$1:$AS$1,),)))))/(((VLOOKUP(EDATE(B141,-12),Database!$A:$AS,MATCH($G$1,Database!$A$1:$AS$1,),))))</f>
        <v/>
      </c>
      <c r="H141" s="13">
        <f>((((VLOOKUP(B141,Database!$A:$AS,MATCH($H$1,Database!$A$1:$AS$1,),))))-(((VLOOKUP(EDATE(B141,-12),Database!$A:$AS,MATCH($H$1,Database!$A$1:$AS$1,),)))))/(((VLOOKUP(EDATE(B141,-12),Database!$A:$AS,MATCH($H$1,Database!$A$1:$AS$1,),))))</f>
        <v/>
      </c>
      <c r="I141" s="13">
        <f>((((VLOOKUP(B141,Database!$A:$AS,MATCH($I$1,Database!$A$1:$AS$1,),))))-(((VLOOKUP(EDATE(B141,-12),Database!$A:$AS,MATCH($I$1,Database!$A$1:$AS$1,),)))))/(((VLOOKUP(EDATE(B141,-12),Database!$A:$AS,MATCH($I$1,Database!$A$1:$AS$1,),))))</f>
        <v/>
      </c>
      <c r="J141" s="13">
        <f>((((VLOOKUP(B141,Database!$A:$AS,MATCH($J$1,Database!$A$1:$AS$1,),))))-(((VLOOKUP(EDATE(B141,-12),Database!$A:$AS,MATCH($J$1,Database!$A$1:$AS$1,),)))))/(((VLOOKUP(EDATE(B141,-12),Database!$A:$AS,MATCH($J$1,Database!$A$1:$AS$1,),))))</f>
        <v/>
      </c>
      <c r="K141" s="13">
        <f>((((VLOOKUP(B141,Database!$A:$AS,MATCH($K$1,Database!$A$1:$AS$1,),))))-(((VLOOKUP(EDATE(B141,-12),Database!$A:$AS,MATCH($K$1,Database!$A$1:$AS$1,),)))))/(((VLOOKUP(EDATE(B141,-12),Database!$A:$AS,MATCH($K$1,Database!$A$1:$AS$1,),))))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((((VLOOKUP(B141,Database!$A:$AS,MATCH($O$1,Database!$A$1:$AS$1,),))))-(((VLOOKUP(EDATE(B141,-12),Database!$A:$AS,MATCH($O$1,Database!$A$1:$AS$1,),)))))/(((VLOOKUP(EDATE(B141,-12),Database!$A:$AS,MATCH($O$1,Database!$A$1:$AS$1,),))))</f>
        <v/>
      </c>
      <c r="P141" s="13">
        <f>((((VLOOKUP(B141,Database!$A:$AS,MATCH($P$1,Database!$A$1:$AS$1,),))))-(((VLOOKUP(EDATE(B141,-12),Database!$A:$AS,MATCH($P$1,Database!$A$1:$AS$1,),)))))/(((VLOOKUP(EDATE(B141,-12),Database!$A:$AS,MATCH($P$1,Database!$A$1:$AS$1,),))))</f>
        <v/>
      </c>
      <c r="Q141" s="13">
        <f>((((VLOOKUP(B141,Database!$A:$AS,MATCH($Q$1,Database!$A$1:$AS$1,),))))-(((VLOOKUP(EDATE(B141,-12),Database!$A:$AS,MATCH($Q$1,Database!$A$1:$AS$1,),)))))/(((VLOOKUP(EDATE(B141,-12),Database!$A:$AS,MATCH($Q$1,Database!$A$1:$AS$1,),))))</f>
        <v/>
      </c>
      <c r="R141" s="13">
        <f>((((VLOOKUP(B141,Database!$A:$AS,MATCH($R$1,Database!$A$1:$AS$1,),))))-(((VLOOKUP(EDATE(B141,-12),Database!$A:$AS,MATCH($R$1,Database!$A$1:$AS$1,),)))))/(((VLOOKUP(EDATE(B141,-12),Database!$A:$AS,MATCH($R$1,Database!$A$1:$AS$1,),))))</f>
        <v/>
      </c>
      <c r="S141" s="13">
        <f>((((VLOOKUP(B141,Database!$A:$AS,MATCH($S$1,Database!$A$1:$AS$1,),))))-(((VLOOKUP(EDATE(B141,-12),Database!$A:$AS,MATCH($S$1,Database!$A$1:$AS$1,),)))))/(((VLOOKUP(EDATE(B141,-12),Database!$A:$AS,MATCH($S$1,Database!$A$1:$AS$1,),))))</f>
        <v/>
      </c>
      <c r="T141" s="13">
        <f>((((VLOOKUP(B141,Database!$A:$AS,MATCH($T$1,Database!$A$1:$AS$1,),))))-(((VLOOKUP(EDATE(B141,-12),Database!$A:$AS,MATCH($T$1,Database!$A$1:$AS$1,),)))))/(((VLOOKUP(EDATE(B141,-12),Database!$A:$AS,MATCH($T$1,Database!$A$1:$AS$1,),))))</f>
        <v/>
      </c>
      <c r="U141" s="13">
        <f>((((VLOOKUP(B141,Database!$A:$AS,MATCH($U$1,Database!$A$1:$AS$1,),))))-(((VLOOKUP(EDATE(B141,-12),Database!$A:$AS,MATCH($U$1,Database!$A$1:$AS$1,),)))))/(((VLOOKUP(EDATE(B141,-12),Database!$A:$AS,MATCH($U$1,Database!$A$1:$AS$1,),))))</f>
        <v/>
      </c>
      <c r="V141" s="13">
        <f>((((VLOOKUP(B141,Database!$A:$AS,MATCH($V$1,Database!$A$1:$AS$1,),))))-(((VLOOKUP(EDATE(B141,-12),Database!$A:$AS,MATCH($V$1,Database!$A$1:$AS$1,),)))))/(((VLOOKUP(EDATE(B141,-12),Database!$A:$AS,MATCH($V$1,Database!$A$1:$AS$1,),))))</f>
        <v/>
      </c>
    </row>
    <row r="142" customFormat="1" s="94">
      <c r="A142" s="44" t="n"/>
      <c r="B142" s="85" t="n">
        <v>36465</v>
      </c>
      <c r="C142" s="13">
        <f>((((VLOOKUP(B142,Database!$A:$AS,MATCH($C$1,Database!$A$1:$AS$1,),))))-(((VLOOKUP(EDATE(B142,-12),Database!$A:$AS,MATCH($C$1,Database!$A$1:$AS$1,),)))))/(((VLOOKUP(EDATE(B142,-12),Database!$A:$AS,MATCH($C$1,Database!$A$1:$AS$1,),))))</f>
        <v/>
      </c>
      <c r="D142" s="13">
        <f>((((VLOOKUP(B142,Database!$A:$AS,MATCH($D$1,Database!$A$1:$AS$1,),))))-(((VLOOKUP(EDATE(B142,-12),Database!$A:$AS,MATCH($D$1,Database!$A$1:$AS$1,),)))))/(((VLOOKUP(EDATE(B142,-12),Database!$A:$AS,MATCH($D$1,Database!$A$1:$AS$1,),))))</f>
        <v/>
      </c>
      <c r="E142" s="13">
        <f>((((VLOOKUP(B142,Database!$A:$AS,MATCH($E$1,Database!$A$1:$AS$1,),))))-(((VLOOKUP(EDATE(B142,-12),Database!$A:$AS,MATCH($E$1,Database!$A$1:$AS$1,),)))))/(((VLOOKUP(EDATE(B142,-12),Database!$A:$AS,MATCH($E$1,Database!$A$1:$AS$1,),))))</f>
        <v/>
      </c>
      <c r="F142" s="13">
        <f>((((VLOOKUP(B142,Database!$A:$AS,MATCH($F$1,Database!$A$1:$AS$1,),))))-(((VLOOKUP(EDATE(B142,-12),Database!$A:$AS,MATCH($F$1,Database!$A$1:$AS$1,),)))))/(((VLOOKUP(EDATE(B142,-12),Database!$A:$AS,MATCH($F$1,Database!$A$1:$AS$1,),))))</f>
        <v/>
      </c>
      <c r="G142" s="13">
        <f>((((VLOOKUP(B142,Database!$A:$AS,MATCH($G$1,Database!$A$1:$AS$1,),))))-(((VLOOKUP(EDATE(B142,-12),Database!$A:$AS,MATCH($G$1,Database!$A$1:$AS$1,),)))))/(((VLOOKUP(EDATE(B142,-12),Database!$A:$AS,MATCH($G$1,Database!$A$1:$AS$1,),))))</f>
        <v/>
      </c>
      <c r="H142" s="13">
        <f>((((VLOOKUP(B142,Database!$A:$AS,MATCH($H$1,Database!$A$1:$AS$1,),))))-(((VLOOKUP(EDATE(B142,-12),Database!$A:$AS,MATCH($H$1,Database!$A$1:$AS$1,),)))))/(((VLOOKUP(EDATE(B142,-12),Database!$A:$AS,MATCH($H$1,Database!$A$1:$AS$1,),))))</f>
        <v/>
      </c>
      <c r="I142" s="13">
        <f>((((VLOOKUP(B142,Database!$A:$AS,MATCH($I$1,Database!$A$1:$AS$1,),))))-(((VLOOKUP(EDATE(B142,-12),Database!$A:$AS,MATCH($I$1,Database!$A$1:$AS$1,),)))))/(((VLOOKUP(EDATE(B142,-12),Database!$A:$AS,MATCH($I$1,Database!$A$1:$AS$1,),))))</f>
        <v/>
      </c>
      <c r="J142" s="13">
        <f>((((VLOOKUP(B142,Database!$A:$AS,MATCH($J$1,Database!$A$1:$AS$1,),))))-(((VLOOKUP(EDATE(B142,-12),Database!$A:$AS,MATCH($J$1,Database!$A$1:$AS$1,),)))))/(((VLOOKUP(EDATE(B142,-12),Database!$A:$AS,MATCH($J$1,Database!$A$1:$AS$1,),))))</f>
        <v/>
      </c>
      <c r="K142" s="13">
        <f>((((VLOOKUP(B142,Database!$A:$AS,MATCH($K$1,Database!$A$1:$AS$1,),))))-(((VLOOKUP(EDATE(B142,-12),Database!$A:$AS,MATCH($K$1,Database!$A$1:$AS$1,),)))))/(((VLOOKUP(EDATE(B142,-12),Database!$A:$AS,MATCH($K$1,Database!$A$1:$AS$1,),))))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((((VLOOKUP(B142,Database!$A:$AS,MATCH($O$1,Database!$A$1:$AS$1,),))))-(((VLOOKUP(EDATE(B142,-12),Database!$A:$AS,MATCH($O$1,Database!$A$1:$AS$1,),)))))/(((VLOOKUP(EDATE(B142,-12),Database!$A:$AS,MATCH($O$1,Database!$A$1:$AS$1,),))))</f>
        <v/>
      </c>
      <c r="P142" s="13">
        <f>((((VLOOKUP(B142,Database!$A:$AS,MATCH($P$1,Database!$A$1:$AS$1,),))))-(((VLOOKUP(EDATE(B142,-12),Database!$A:$AS,MATCH($P$1,Database!$A$1:$AS$1,),)))))/(((VLOOKUP(EDATE(B142,-12),Database!$A:$AS,MATCH($P$1,Database!$A$1:$AS$1,),))))</f>
        <v/>
      </c>
      <c r="Q142" s="13">
        <f>((((VLOOKUP(B142,Database!$A:$AS,MATCH($Q$1,Database!$A$1:$AS$1,),))))-(((VLOOKUP(EDATE(B142,-12),Database!$A:$AS,MATCH($Q$1,Database!$A$1:$AS$1,),)))))/(((VLOOKUP(EDATE(B142,-12),Database!$A:$AS,MATCH($Q$1,Database!$A$1:$AS$1,),))))</f>
        <v/>
      </c>
      <c r="R142" s="13">
        <f>((((VLOOKUP(B142,Database!$A:$AS,MATCH($R$1,Database!$A$1:$AS$1,),))))-(((VLOOKUP(EDATE(B142,-12),Database!$A:$AS,MATCH($R$1,Database!$A$1:$AS$1,),)))))/(((VLOOKUP(EDATE(B142,-12),Database!$A:$AS,MATCH($R$1,Database!$A$1:$AS$1,),))))</f>
        <v/>
      </c>
      <c r="S142" s="13">
        <f>((((VLOOKUP(B142,Database!$A:$AS,MATCH($S$1,Database!$A$1:$AS$1,),))))-(((VLOOKUP(EDATE(B142,-12),Database!$A:$AS,MATCH($S$1,Database!$A$1:$AS$1,),)))))/(((VLOOKUP(EDATE(B142,-12),Database!$A:$AS,MATCH($S$1,Database!$A$1:$AS$1,),))))</f>
        <v/>
      </c>
      <c r="T142" s="13">
        <f>((((VLOOKUP(B142,Database!$A:$AS,MATCH($T$1,Database!$A$1:$AS$1,),))))-(((VLOOKUP(EDATE(B142,-12),Database!$A:$AS,MATCH($T$1,Database!$A$1:$AS$1,),)))))/(((VLOOKUP(EDATE(B142,-12),Database!$A:$AS,MATCH($T$1,Database!$A$1:$AS$1,),))))</f>
        <v/>
      </c>
      <c r="U142" s="13">
        <f>((((VLOOKUP(B142,Database!$A:$AS,MATCH($U$1,Database!$A$1:$AS$1,),))))-(((VLOOKUP(EDATE(B142,-12),Database!$A:$AS,MATCH($U$1,Database!$A$1:$AS$1,),)))))/(((VLOOKUP(EDATE(B142,-12),Database!$A:$AS,MATCH($U$1,Database!$A$1:$AS$1,),))))</f>
        <v/>
      </c>
      <c r="V142" s="13">
        <f>((((VLOOKUP(B142,Database!$A:$AS,MATCH($V$1,Database!$A$1:$AS$1,),))))-(((VLOOKUP(EDATE(B142,-12),Database!$A:$AS,MATCH($V$1,Database!$A$1:$AS$1,),)))))/(((VLOOKUP(EDATE(B142,-12),Database!$A:$AS,MATCH($V$1,Database!$A$1:$AS$1,),))))</f>
        <v/>
      </c>
    </row>
    <row r="143" customFormat="1" s="94">
      <c r="A143" s="44" t="n"/>
      <c r="B143" s="85" t="n">
        <v>36495</v>
      </c>
      <c r="C143" s="13">
        <f>((((VLOOKUP(B143,Database!$A:$AS,MATCH($C$1,Database!$A$1:$AS$1,),))))-(((VLOOKUP(EDATE(B143,-12),Database!$A:$AS,MATCH($C$1,Database!$A$1:$AS$1,),)))))/(((VLOOKUP(EDATE(B143,-12),Database!$A:$AS,MATCH($C$1,Database!$A$1:$AS$1,),))))</f>
        <v/>
      </c>
      <c r="D143" s="13">
        <f>((((VLOOKUP(B143,Database!$A:$AS,MATCH($D$1,Database!$A$1:$AS$1,),))))-(((VLOOKUP(EDATE(B143,-12),Database!$A:$AS,MATCH($D$1,Database!$A$1:$AS$1,),)))))/(((VLOOKUP(EDATE(B143,-12),Database!$A:$AS,MATCH($D$1,Database!$A$1:$AS$1,),))))</f>
        <v/>
      </c>
      <c r="E143" s="13">
        <f>((((VLOOKUP(B143,Database!$A:$AS,MATCH($E$1,Database!$A$1:$AS$1,),))))-(((VLOOKUP(EDATE(B143,-12),Database!$A:$AS,MATCH($E$1,Database!$A$1:$AS$1,),)))))/(((VLOOKUP(EDATE(B143,-12),Database!$A:$AS,MATCH($E$1,Database!$A$1:$AS$1,),))))</f>
        <v/>
      </c>
      <c r="F143" s="13">
        <f>((((VLOOKUP(B143,Database!$A:$AS,MATCH($F$1,Database!$A$1:$AS$1,),))))-(((VLOOKUP(EDATE(B143,-12),Database!$A:$AS,MATCH($F$1,Database!$A$1:$AS$1,),)))))/(((VLOOKUP(EDATE(B143,-12),Database!$A:$AS,MATCH($F$1,Database!$A$1:$AS$1,),))))</f>
        <v/>
      </c>
      <c r="G143" s="13">
        <f>((((VLOOKUP(B143,Database!$A:$AS,MATCH($G$1,Database!$A$1:$AS$1,),))))-(((VLOOKUP(EDATE(B143,-12),Database!$A:$AS,MATCH($G$1,Database!$A$1:$AS$1,),)))))/(((VLOOKUP(EDATE(B143,-12),Database!$A:$AS,MATCH($G$1,Database!$A$1:$AS$1,),))))</f>
        <v/>
      </c>
      <c r="H143" s="13">
        <f>((((VLOOKUP(B143,Database!$A:$AS,MATCH($H$1,Database!$A$1:$AS$1,),))))-(((VLOOKUP(EDATE(B143,-12),Database!$A:$AS,MATCH($H$1,Database!$A$1:$AS$1,),)))))/(((VLOOKUP(EDATE(B143,-12),Database!$A:$AS,MATCH($H$1,Database!$A$1:$AS$1,),))))</f>
        <v/>
      </c>
      <c r="I143" s="13">
        <f>((((VLOOKUP(B143,Database!$A:$AS,MATCH($I$1,Database!$A$1:$AS$1,),))))-(((VLOOKUP(EDATE(B143,-12),Database!$A:$AS,MATCH($I$1,Database!$A$1:$AS$1,),)))))/(((VLOOKUP(EDATE(B143,-12),Database!$A:$AS,MATCH($I$1,Database!$A$1:$AS$1,),))))</f>
        <v/>
      </c>
      <c r="J143" s="13">
        <f>((((VLOOKUP(B143,Database!$A:$AS,MATCH($J$1,Database!$A$1:$AS$1,),))))-(((VLOOKUP(EDATE(B143,-12),Database!$A:$AS,MATCH($J$1,Database!$A$1:$AS$1,),)))))/(((VLOOKUP(EDATE(B143,-12),Database!$A:$AS,MATCH($J$1,Database!$A$1:$AS$1,),))))</f>
        <v/>
      </c>
      <c r="K143" s="13">
        <f>((((VLOOKUP(B143,Database!$A:$AS,MATCH($K$1,Database!$A$1:$AS$1,),))))-(((VLOOKUP(EDATE(B143,-12),Database!$A:$AS,MATCH($K$1,Database!$A$1:$AS$1,),)))))/(((VLOOKUP(EDATE(B143,-12),Database!$A:$AS,MATCH($K$1,Database!$A$1:$AS$1,),))))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((((VLOOKUP(B143,Database!$A:$AS,MATCH($O$1,Database!$A$1:$AS$1,),))))-(((VLOOKUP(EDATE(B143,-12),Database!$A:$AS,MATCH($O$1,Database!$A$1:$AS$1,),)))))/(((VLOOKUP(EDATE(B143,-12),Database!$A:$AS,MATCH($O$1,Database!$A$1:$AS$1,),))))</f>
        <v/>
      </c>
      <c r="P143" s="13">
        <f>((((VLOOKUP(B143,Database!$A:$AS,MATCH($P$1,Database!$A$1:$AS$1,),))))-(((VLOOKUP(EDATE(B143,-12),Database!$A:$AS,MATCH($P$1,Database!$A$1:$AS$1,),)))))/(((VLOOKUP(EDATE(B143,-12),Database!$A:$AS,MATCH($P$1,Database!$A$1:$AS$1,),))))</f>
        <v/>
      </c>
      <c r="Q143" s="13">
        <f>((((VLOOKUP(B143,Database!$A:$AS,MATCH($Q$1,Database!$A$1:$AS$1,),))))-(((VLOOKUP(EDATE(B143,-12),Database!$A:$AS,MATCH($Q$1,Database!$A$1:$AS$1,),)))))/(((VLOOKUP(EDATE(B143,-12),Database!$A:$AS,MATCH($Q$1,Database!$A$1:$AS$1,),))))</f>
        <v/>
      </c>
      <c r="R143" s="13">
        <f>((((VLOOKUP(B143,Database!$A:$AS,MATCH($R$1,Database!$A$1:$AS$1,),))))-(((VLOOKUP(EDATE(B143,-12),Database!$A:$AS,MATCH($R$1,Database!$A$1:$AS$1,),)))))/(((VLOOKUP(EDATE(B143,-12),Database!$A:$AS,MATCH($R$1,Database!$A$1:$AS$1,),))))</f>
        <v/>
      </c>
      <c r="S143" s="13">
        <f>((((VLOOKUP(B143,Database!$A:$AS,MATCH($S$1,Database!$A$1:$AS$1,),))))-(((VLOOKUP(EDATE(B143,-12),Database!$A:$AS,MATCH($S$1,Database!$A$1:$AS$1,),)))))/(((VLOOKUP(EDATE(B143,-12),Database!$A:$AS,MATCH($S$1,Database!$A$1:$AS$1,),))))</f>
        <v/>
      </c>
      <c r="T143" s="13">
        <f>((((VLOOKUP(B143,Database!$A:$AS,MATCH($T$1,Database!$A$1:$AS$1,),))))-(((VLOOKUP(EDATE(B143,-12),Database!$A:$AS,MATCH($T$1,Database!$A$1:$AS$1,),)))))/(((VLOOKUP(EDATE(B143,-12),Database!$A:$AS,MATCH($T$1,Database!$A$1:$AS$1,),))))</f>
        <v/>
      </c>
      <c r="U143" s="13">
        <f>((((VLOOKUP(B143,Database!$A:$AS,MATCH($U$1,Database!$A$1:$AS$1,),))))-(((VLOOKUP(EDATE(B143,-12),Database!$A:$AS,MATCH($U$1,Database!$A$1:$AS$1,),)))))/(((VLOOKUP(EDATE(B143,-12),Database!$A:$AS,MATCH($U$1,Database!$A$1:$AS$1,),))))</f>
        <v/>
      </c>
      <c r="V143" s="13">
        <f>((((VLOOKUP(B143,Database!$A:$AS,MATCH($V$1,Database!$A$1:$AS$1,),))))-(((VLOOKUP(EDATE(B143,-12),Database!$A:$AS,MATCH($V$1,Database!$A$1:$AS$1,),)))))/(((VLOOKUP(EDATE(B143,-12),Database!$A:$AS,MATCH($V$1,Database!$A$1:$AS$1,),))))</f>
        <v/>
      </c>
    </row>
    <row r="144" customFormat="1" s="94">
      <c r="A144" s="44" t="n"/>
      <c r="B144" s="85" t="n">
        <v>36526</v>
      </c>
      <c r="C144" s="13">
        <f>((((VLOOKUP(B144,Database!$A:$AS,MATCH($C$1,Database!$A$1:$AS$1,),))))-(((VLOOKUP(EDATE(B144,-12),Database!$A:$AS,MATCH($C$1,Database!$A$1:$AS$1,),)))))/(((VLOOKUP(EDATE(B144,-12),Database!$A:$AS,MATCH($C$1,Database!$A$1:$AS$1,),))))</f>
        <v/>
      </c>
      <c r="D144" s="13">
        <f>((((VLOOKUP(B144,Database!$A:$AS,MATCH($D$1,Database!$A$1:$AS$1,),))))-(((VLOOKUP(EDATE(B144,-12),Database!$A:$AS,MATCH($D$1,Database!$A$1:$AS$1,),)))))/(((VLOOKUP(EDATE(B144,-12),Database!$A:$AS,MATCH($D$1,Database!$A$1:$AS$1,),))))</f>
        <v/>
      </c>
      <c r="E144" s="13">
        <f>((((VLOOKUP(B144,Database!$A:$AS,MATCH($E$1,Database!$A$1:$AS$1,),))))-(((VLOOKUP(EDATE(B144,-12),Database!$A:$AS,MATCH($E$1,Database!$A$1:$AS$1,),)))))/(((VLOOKUP(EDATE(B144,-12),Database!$A:$AS,MATCH($E$1,Database!$A$1:$AS$1,),))))</f>
        <v/>
      </c>
      <c r="F144" s="13">
        <f>((((VLOOKUP(B144,Database!$A:$AS,MATCH($F$1,Database!$A$1:$AS$1,),))))-(((VLOOKUP(EDATE(B144,-12),Database!$A:$AS,MATCH($F$1,Database!$A$1:$AS$1,),)))))/(((VLOOKUP(EDATE(B144,-12),Database!$A:$AS,MATCH($F$1,Database!$A$1:$AS$1,),))))</f>
        <v/>
      </c>
      <c r="G144" s="13">
        <f>((((VLOOKUP(B144,Database!$A:$AS,MATCH($G$1,Database!$A$1:$AS$1,),))))-(((VLOOKUP(EDATE(B144,-12),Database!$A:$AS,MATCH($G$1,Database!$A$1:$AS$1,),)))))/(((VLOOKUP(EDATE(B144,-12),Database!$A:$AS,MATCH($G$1,Database!$A$1:$AS$1,),))))</f>
        <v/>
      </c>
      <c r="H144" s="13">
        <f>((((VLOOKUP(B144,Database!$A:$AS,MATCH($H$1,Database!$A$1:$AS$1,),))))-(((VLOOKUP(EDATE(B144,-12),Database!$A:$AS,MATCH($H$1,Database!$A$1:$AS$1,),)))))/(((VLOOKUP(EDATE(B144,-12),Database!$A:$AS,MATCH($H$1,Database!$A$1:$AS$1,),))))</f>
        <v/>
      </c>
      <c r="I144" s="13">
        <f>((((VLOOKUP(B144,Database!$A:$AS,MATCH($I$1,Database!$A$1:$AS$1,),))))-(((VLOOKUP(EDATE(B144,-12),Database!$A:$AS,MATCH($I$1,Database!$A$1:$AS$1,),)))))/(((VLOOKUP(EDATE(B144,-12),Database!$A:$AS,MATCH($I$1,Database!$A$1:$AS$1,),))))</f>
        <v/>
      </c>
      <c r="J144" s="13">
        <f>((((VLOOKUP(B144,Database!$A:$AS,MATCH($J$1,Database!$A$1:$AS$1,),))))-(((VLOOKUP(EDATE(B144,-12),Database!$A:$AS,MATCH($J$1,Database!$A$1:$AS$1,),)))))/(((VLOOKUP(EDATE(B144,-12),Database!$A:$AS,MATCH($J$1,Database!$A$1:$AS$1,),))))</f>
        <v/>
      </c>
      <c r="K144" s="13">
        <f>((((VLOOKUP(B144,Database!$A:$AS,MATCH($K$1,Database!$A$1:$AS$1,),))))-(((VLOOKUP(EDATE(B144,-12),Database!$A:$AS,MATCH($K$1,Database!$A$1:$AS$1,),)))))/(((VLOOKUP(EDATE(B144,-12),Database!$A:$AS,MATCH($K$1,Database!$A$1:$AS$1,),))))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((((VLOOKUP(B144,Database!$A:$AS,MATCH($O$1,Database!$A$1:$AS$1,),))))-(((VLOOKUP(EDATE(B144,-12),Database!$A:$AS,MATCH($O$1,Database!$A$1:$AS$1,),)))))/(((VLOOKUP(EDATE(B144,-12),Database!$A:$AS,MATCH($O$1,Database!$A$1:$AS$1,),))))</f>
        <v/>
      </c>
      <c r="P144" s="13">
        <f>((((VLOOKUP(B144,Database!$A:$AS,MATCH($P$1,Database!$A$1:$AS$1,),))))-(((VLOOKUP(EDATE(B144,-12),Database!$A:$AS,MATCH($P$1,Database!$A$1:$AS$1,),)))))/(((VLOOKUP(EDATE(B144,-12),Database!$A:$AS,MATCH($P$1,Database!$A$1:$AS$1,),))))</f>
        <v/>
      </c>
      <c r="Q144" s="13">
        <f>((((VLOOKUP(B144,Database!$A:$AS,MATCH($Q$1,Database!$A$1:$AS$1,),))))-(((VLOOKUP(EDATE(B144,-12),Database!$A:$AS,MATCH($Q$1,Database!$A$1:$AS$1,),)))))/(((VLOOKUP(EDATE(B144,-12),Database!$A:$AS,MATCH($Q$1,Database!$A$1:$AS$1,),))))</f>
        <v/>
      </c>
      <c r="R144" s="13">
        <f>((((VLOOKUP(B144,Database!$A:$AS,MATCH($R$1,Database!$A$1:$AS$1,),))))-(((VLOOKUP(EDATE(B144,-12),Database!$A:$AS,MATCH($R$1,Database!$A$1:$AS$1,),)))))/(((VLOOKUP(EDATE(B144,-12),Database!$A:$AS,MATCH($R$1,Database!$A$1:$AS$1,),))))</f>
        <v/>
      </c>
      <c r="S144" s="13">
        <f>((((VLOOKUP(B144,Database!$A:$AS,MATCH($S$1,Database!$A$1:$AS$1,),))))-(((VLOOKUP(EDATE(B144,-12),Database!$A:$AS,MATCH($S$1,Database!$A$1:$AS$1,),)))))/(((VLOOKUP(EDATE(B144,-12),Database!$A:$AS,MATCH($S$1,Database!$A$1:$AS$1,),))))</f>
        <v/>
      </c>
      <c r="T144" s="13">
        <f>((((VLOOKUP(B144,Database!$A:$AS,MATCH($T$1,Database!$A$1:$AS$1,),))))-(((VLOOKUP(EDATE(B144,-12),Database!$A:$AS,MATCH($T$1,Database!$A$1:$AS$1,),)))))/(((VLOOKUP(EDATE(B144,-12),Database!$A:$AS,MATCH($T$1,Database!$A$1:$AS$1,),))))</f>
        <v/>
      </c>
      <c r="U144" s="13">
        <f>((((VLOOKUP(B144,Database!$A:$AS,MATCH($U$1,Database!$A$1:$AS$1,),))))-(((VLOOKUP(EDATE(B144,-12),Database!$A:$AS,MATCH($U$1,Database!$A$1:$AS$1,),)))))/(((VLOOKUP(EDATE(B144,-12),Database!$A:$AS,MATCH($U$1,Database!$A$1:$AS$1,),))))</f>
        <v/>
      </c>
      <c r="V144" s="13">
        <f>((((VLOOKUP(B144,Database!$A:$AS,MATCH($V$1,Database!$A$1:$AS$1,),))))-(((VLOOKUP(EDATE(B144,-12),Database!$A:$AS,MATCH($V$1,Database!$A$1:$AS$1,),)))))/(((VLOOKUP(EDATE(B144,-12),Database!$A:$AS,MATCH($V$1,Database!$A$1:$AS$1,),))))</f>
        <v/>
      </c>
    </row>
    <row r="145" customFormat="1" s="94">
      <c r="A145" s="44" t="n"/>
      <c r="B145" s="85" t="n">
        <v>36557</v>
      </c>
      <c r="C145" s="13">
        <f>((((VLOOKUP(B145,Database!$A:$AS,MATCH($C$1,Database!$A$1:$AS$1,),))))-(((VLOOKUP(EDATE(B145,-12),Database!$A:$AS,MATCH($C$1,Database!$A$1:$AS$1,),)))))/(((VLOOKUP(EDATE(B145,-12),Database!$A:$AS,MATCH($C$1,Database!$A$1:$AS$1,),))))</f>
        <v/>
      </c>
      <c r="D145" s="13">
        <f>((((VLOOKUP(B145,Database!$A:$AS,MATCH($D$1,Database!$A$1:$AS$1,),))))-(((VLOOKUP(EDATE(B145,-12),Database!$A:$AS,MATCH($D$1,Database!$A$1:$AS$1,),)))))/(((VLOOKUP(EDATE(B145,-12),Database!$A:$AS,MATCH($D$1,Database!$A$1:$AS$1,),))))</f>
        <v/>
      </c>
      <c r="E145" s="13">
        <f>((((VLOOKUP(B145,Database!$A:$AS,MATCH($E$1,Database!$A$1:$AS$1,),))))-(((VLOOKUP(EDATE(B145,-12),Database!$A:$AS,MATCH($E$1,Database!$A$1:$AS$1,),)))))/(((VLOOKUP(EDATE(B145,-12),Database!$A:$AS,MATCH($E$1,Database!$A$1:$AS$1,),))))</f>
        <v/>
      </c>
      <c r="F145" s="13">
        <f>((((VLOOKUP(B145,Database!$A:$AS,MATCH($F$1,Database!$A$1:$AS$1,),))))-(((VLOOKUP(EDATE(B145,-12),Database!$A:$AS,MATCH($F$1,Database!$A$1:$AS$1,),)))))/(((VLOOKUP(EDATE(B145,-12),Database!$A:$AS,MATCH($F$1,Database!$A$1:$AS$1,),))))</f>
        <v/>
      </c>
      <c r="G145" s="13">
        <f>((((VLOOKUP(B145,Database!$A:$AS,MATCH($G$1,Database!$A$1:$AS$1,),))))-(((VLOOKUP(EDATE(B145,-12),Database!$A:$AS,MATCH($G$1,Database!$A$1:$AS$1,),)))))/(((VLOOKUP(EDATE(B145,-12),Database!$A:$AS,MATCH($G$1,Database!$A$1:$AS$1,),))))</f>
        <v/>
      </c>
      <c r="H145" s="13">
        <f>((((VLOOKUP(B145,Database!$A:$AS,MATCH($H$1,Database!$A$1:$AS$1,),))))-(((VLOOKUP(EDATE(B145,-12),Database!$A:$AS,MATCH($H$1,Database!$A$1:$AS$1,),)))))/(((VLOOKUP(EDATE(B145,-12),Database!$A:$AS,MATCH($H$1,Database!$A$1:$AS$1,),))))</f>
        <v/>
      </c>
      <c r="I145" s="13">
        <f>((((VLOOKUP(B145,Database!$A:$AS,MATCH($I$1,Database!$A$1:$AS$1,),))))-(((VLOOKUP(EDATE(B145,-12),Database!$A:$AS,MATCH($I$1,Database!$A$1:$AS$1,),)))))/(((VLOOKUP(EDATE(B145,-12),Database!$A:$AS,MATCH($I$1,Database!$A$1:$AS$1,),))))</f>
        <v/>
      </c>
      <c r="J145" s="13">
        <f>((((VLOOKUP(B145,Database!$A:$AS,MATCH($J$1,Database!$A$1:$AS$1,),))))-(((VLOOKUP(EDATE(B145,-12),Database!$A:$AS,MATCH($J$1,Database!$A$1:$AS$1,),)))))/(((VLOOKUP(EDATE(B145,-12),Database!$A:$AS,MATCH($J$1,Database!$A$1:$AS$1,),))))</f>
        <v/>
      </c>
      <c r="K145" s="13">
        <f>((((VLOOKUP(B145,Database!$A:$AS,MATCH($K$1,Database!$A$1:$AS$1,),))))-(((VLOOKUP(EDATE(B145,-12),Database!$A:$AS,MATCH($K$1,Database!$A$1:$AS$1,),)))))/(((VLOOKUP(EDATE(B145,-12),Database!$A:$AS,MATCH($K$1,Database!$A$1:$AS$1,),))))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((((VLOOKUP(B145,Database!$A:$AS,MATCH($O$1,Database!$A$1:$AS$1,),))))-(((VLOOKUP(EDATE(B145,-12),Database!$A:$AS,MATCH($O$1,Database!$A$1:$AS$1,),)))))/(((VLOOKUP(EDATE(B145,-12),Database!$A:$AS,MATCH($O$1,Database!$A$1:$AS$1,),))))</f>
        <v/>
      </c>
      <c r="P145" s="13">
        <f>((((VLOOKUP(B145,Database!$A:$AS,MATCH($P$1,Database!$A$1:$AS$1,),))))-(((VLOOKUP(EDATE(B145,-12),Database!$A:$AS,MATCH($P$1,Database!$A$1:$AS$1,),)))))/(((VLOOKUP(EDATE(B145,-12),Database!$A:$AS,MATCH($P$1,Database!$A$1:$AS$1,),))))</f>
        <v/>
      </c>
      <c r="Q145" s="13">
        <f>((((VLOOKUP(B145,Database!$A:$AS,MATCH($Q$1,Database!$A$1:$AS$1,),))))-(((VLOOKUP(EDATE(B145,-12),Database!$A:$AS,MATCH($Q$1,Database!$A$1:$AS$1,),)))))/(((VLOOKUP(EDATE(B145,-12),Database!$A:$AS,MATCH($Q$1,Database!$A$1:$AS$1,),))))</f>
        <v/>
      </c>
      <c r="R145" s="13">
        <f>((((VLOOKUP(B145,Database!$A:$AS,MATCH($R$1,Database!$A$1:$AS$1,),))))-(((VLOOKUP(EDATE(B145,-12),Database!$A:$AS,MATCH($R$1,Database!$A$1:$AS$1,),)))))/(((VLOOKUP(EDATE(B145,-12),Database!$A:$AS,MATCH($R$1,Database!$A$1:$AS$1,),))))</f>
        <v/>
      </c>
      <c r="S145" s="13">
        <f>((((VLOOKUP(B145,Database!$A:$AS,MATCH($S$1,Database!$A$1:$AS$1,),))))-(((VLOOKUP(EDATE(B145,-12),Database!$A:$AS,MATCH($S$1,Database!$A$1:$AS$1,),)))))/(((VLOOKUP(EDATE(B145,-12),Database!$A:$AS,MATCH($S$1,Database!$A$1:$AS$1,),))))</f>
        <v/>
      </c>
      <c r="T145" s="13">
        <f>((((VLOOKUP(B145,Database!$A:$AS,MATCH($T$1,Database!$A$1:$AS$1,),))))-(((VLOOKUP(EDATE(B145,-12),Database!$A:$AS,MATCH($T$1,Database!$A$1:$AS$1,),)))))/(((VLOOKUP(EDATE(B145,-12),Database!$A:$AS,MATCH($T$1,Database!$A$1:$AS$1,),))))</f>
        <v/>
      </c>
      <c r="U145" s="13">
        <f>((((VLOOKUP(B145,Database!$A:$AS,MATCH($U$1,Database!$A$1:$AS$1,),))))-(((VLOOKUP(EDATE(B145,-12),Database!$A:$AS,MATCH($U$1,Database!$A$1:$AS$1,),)))))/(((VLOOKUP(EDATE(B145,-12),Database!$A:$AS,MATCH($U$1,Database!$A$1:$AS$1,),))))</f>
        <v/>
      </c>
      <c r="V145" s="13">
        <f>((((VLOOKUP(B145,Database!$A:$AS,MATCH($V$1,Database!$A$1:$AS$1,),))))-(((VLOOKUP(EDATE(B145,-12),Database!$A:$AS,MATCH($V$1,Database!$A$1:$AS$1,),)))))/(((VLOOKUP(EDATE(B145,-12),Database!$A:$AS,MATCH($V$1,Database!$A$1:$AS$1,),))))</f>
        <v/>
      </c>
    </row>
    <row r="146" customFormat="1" s="94">
      <c r="A146" s="44" t="n"/>
      <c r="B146" s="85" t="n">
        <v>36586</v>
      </c>
      <c r="C146" s="13">
        <f>((((VLOOKUP(B146,Database!$A:$AS,MATCH($C$1,Database!$A$1:$AS$1,),))))-(((VLOOKUP(EDATE(B146,-12),Database!$A:$AS,MATCH($C$1,Database!$A$1:$AS$1,),)))))/(((VLOOKUP(EDATE(B146,-12),Database!$A:$AS,MATCH($C$1,Database!$A$1:$AS$1,),))))</f>
        <v/>
      </c>
      <c r="D146" s="13">
        <f>((((VLOOKUP(B146,Database!$A:$AS,MATCH($D$1,Database!$A$1:$AS$1,),))))-(((VLOOKUP(EDATE(B146,-12),Database!$A:$AS,MATCH($D$1,Database!$A$1:$AS$1,),)))))/(((VLOOKUP(EDATE(B146,-12),Database!$A:$AS,MATCH($D$1,Database!$A$1:$AS$1,),))))</f>
        <v/>
      </c>
      <c r="E146" s="13">
        <f>((((VLOOKUP(B146,Database!$A:$AS,MATCH($E$1,Database!$A$1:$AS$1,),))))-(((VLOOKUP(EDATE(B146,-12),Database!$A:$AS,MATCH($E$1,Database!$A$1:$AS$1,),)))))/(((VLOOKUP(EDATE(B146,-12),Database!$A:$AS,MATCH($E$1,Database!$A$1:$AS$1,),))))</f>
        <v/>
      </c>
      <c r="F146" s="13">
        <f>((((VLOOKUP(B146,Database!$A:$AS,MATCH($F$1,Database!$A$1:$AS$1,),))))-(((VLOOKUP(EDATE(B146,-12),Database!$A:$AS,MATCH($F$1,Database!$A$1:$AS$1,),)))))/(((VLOOKUP(EDATE(B146,-12),Database!$A:$AS,MATCH($F$1,Database!$A$1:$AS$1,),))))</f>
        <v/>
      </c>
      <c r="G146" s="13">
        <f>((((VLOOKUP(B146,Database!$A:$AS,MATCH($G$1,Database!$A$1:$AS$1,),))))-(((VLOOKUP(EDATE(B146,-12),Database!$A:$AS,MATCH($G$1,Database!$A$1:$AS$1,),)))))/(((VLOOKUP(EDATE(B146,-12),Database!$A:$AS,MATCH($G$1,Database!$A$1:$AS$1,),))))</f>
        <v/>
      </c>
      <c r="H146" s="13">
        <f>((((VLOOKUP(B146,Database!$A:$AS,MATCH($H$1,Database!$A$1:$AS$1,),))))-(((VLOOKUP(EDATE(B146,-12),Database!$A:$AS,MATCH($H$1,Database!$A$1:$AS$1,),)))))/(((VLOOKUP(EDATE(B146,-12),Database!$A:$AS,MATCH($H$1,Database!$A$1:$AS$1,),))))</f>
        <v/>
      </c>
      <c r="I146" s="13">
        <f>((((VLOOKUP(B146,Database!$A:$AS,MATCH($I$1,Database!$A$1:$AS$1,),))))-(((VLOOKUP(EDATE(B146,-12),Database!$A:$AS,MATCH($I$1,Database!$A$1:$AS$1,),)))))/(((VLOOKUP(EDATE(B146,-12),Database!$A:$AS,MATCH($I$1,Database!$A$1:$AS$1,),))))</f>
        <v/>
      </c>
      <c r="J146" s="13">
        <f>((((VLOOKUP(B146,Database!$A:$AS,MATCH($J$1,Database!$A$1:$AS$1,),))))-(((VLOOKUP(EDATE(B146,-12),Database!$A:$AS,MATCH($J$1,Database!$A$1:$AS$1,),)))))/(((VLOOKUP(EDATE(B146,-12),Database!$A:$AS,MATCH($J$1,Database!$A$1:$AS$1,),))))</f>
        <v/>
      </c>
      <c r="K146" s="13">
        <f>((((VLOOKUP(B146,Database!$A:$AS,MATCH($K$1,Database!$A$1:$AS$1,),))))-(((VLOOKUP(EDATE(B146,-12),Database!$A:$AS,MATCH($K$1,Database!$A$1:$AS$1,),)))))/(((VLOOKUP(EDATE(B146,-12),Database!$A:$AS,MATCH($K$1,Database!$A$1:$AS$1,),))))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((((VLOOKUP(B146,Database!$A:$AS,MATCH($O$1,Database!$A$1:$AS$1,),))))-(((VLOOKUP(EDATE(B146,-12),Database!$A:$AS,MATCH($O$1,Database!$A$1:$AS$1,),)))))/(((VLOOKUP(EDATE(B146,-12),Database!$A:$AS,MATCH($O$1,Database!$A$1:$AS$1,),))))</f>
        <v/>
      </c>
      <c r="P146" s="13">
        <f>((((VLOOKUP(B146,Database!$A:$AS,MATCH($P$1,Database!$A$1:$AS$1,),))))-(((VLOOKUP(EDATE(B146,-12),Database!$A:$AS,MATCH($P$1,Database!$A$1:$AS$1,),)))))/(((VLOOKUP(EDATE(B146,-12),Database!$A:$AS,MATCH($P$1,Database!$A$1:$AS$1,),))))</f>
        <v/>
      </c>
      <c r="Q146" s="13">
        <f>((((VLOOKUP(B146,Database!$A:$AS,MATCH($Q$1,Database!$A$1:$AS$1,),))))-(((VLOOKUP(EDATE(B146,-12),Database!$A:$AS,MATCH($Q$1,Database!$A$1:$AS$1,),)))))/(((VLOOKUP(EDATE(B146,-12),Database!$A:$AS,MATCH($Q$1,Database!$A$1:$AS$1,),))))</f>
        <v/>
      </c>
      <c r="R146" s="13">
        <f>((((VLOOKUP(B146,Database!$A:$AS,MATCH($R$1,Database!$A$1:$AS$1,),))))-(((VLOOKUP(EDATE(B146,-12),Database!$A:$AS,MATCH($R$1,Database!$A$1:$AS$1,),)))))/(((VLOOKUP(EDATE(B146,-12),Database!$A:$AS,MATCH($R$1,Database!$A$1:$AS$1,),))))</f>
        <v/>
      </c>
      <c r="S146" s="13">
        <f>((((VLOOKUP(B146,Database!$A:$AS,MATCH($S$1,Database!$A$1:$AS$1,),))))-(((VLOOKUP(EDATE(B146,-12),Database!$A:$AS,MATCH($S$1,Database!$A$1:$AS$1,),)))))/(((VLOOKUP(EDATE(B146,-12),Database!$A:$AS,MATCH($S$1,Database!$A$1:$AS$1,),))))</f>
        <v/>
      </c>
      <c r="T146" s="13">
        <f>((((VLOOKUP(B146,Database!$A:$AS,MATCH($T$1,Database!$A$1:$AS$1,),))))-(((VLOOKUP(EDATE(B146,-12),Database!$A:$AS,MATCH($T$1,Database!$A$1:$AS$1,),)))))/(((VLOOKUP(EDATE(B146,-12),Database!$A:$AS,MATCH($T$1,Database!$A$1:$AS$1,),))))</f>
        <v/>
      </c>
      <c r="U146" s="13">
        <f>((((VLOOKUP(B146,Database!$A:$AS,MATCH($U$1,Database!$A$1:$AS$1,),))))-(((VLOOKUP(EDATE(B146,-12),Database!$A:$AS,MATCH($U$1,Database!$A$1:$AS$1,),)))))/(((VLOOKUP(EDATE(B146,-12),Database!$A:$AS,MATCH($U$1,Database!$A$1:$AS$1,),))))</f>
        <v/>
      </c>
      <c r="V146" s="13">
        <f>((((VLOOKUP(B146,Database!$A:$AS,MATCH($V$1,Database!$A$1:$AS$1,),))))-(((VLOOKUP(EDATE(B146,-12),Database!$A:$AS,MATCH($V$1,Database!$A$1:$AS$1,),)))))/(((VLOOKUP(EDATE(B146,-12),Database!$A:$AS,MATCH($V$1,Database!$A$1:$AS$1,),))))</f>
        <v/>
      </c>
    </row>
    <row r="147" customFormat="1" s="94">
      <c r="A147" s="44" t="n"/>
      <c r="B147" s="85" t="n">
        <v>36617</v>
      </c>
      <c r="C147" s="13">
        <f>((((VLOOKUP(B147,Database!$A:$AS,MATCH($C$1,Database!$A$1:$AS$1,),))))-(((VLOOKUP(EDATE(B147,-12),Database!$A:$AS,MATCH($C$1,Database!$A$1:$AS$1,),)))))/(((VLOOKUP(EDATE(B147,-12),Database!$A:$AS,MATCH($C$1,Database!$A$1:$AS$1,),))))</f>
        <v/>
      </c>
      <c r="D147" s="13">
        <f>((((VLOOKUP(B147,Database!$A:$AS,MATCH($D$1,Database!$A$1:$AS$1,),))))-(((VLOOKUP(EDATE(B147,-12),Database!$A:$AS,MATCH($D$1,Database!$A$1:$AS$1,),)))))/(((VLOOKUP(EDATE(B147,-12),Database!$A:$AS,MATCH($D$1,Database!$A$1:$AS$1,),))))</f>
        <v/>
      </c>
      <c r="E147" s="13">
        <f>((((VLOOKUP(B147,Database!$A:$AS,MATCH($E$1,Database!$A$1:$AS$1,),))))-(((VLOOKUP(EDATE(B147,-12),Database!$A:$AS,MATCH($E$1,Database!$A$1:$AS$1,),)))))/(((VLOOKUP(EDATE(B147,-12),Database!$A:$AS,MATCH($E$1,Database!$A$1:$AS$1,),))))</f>
        <v/>
      </c>
      <c r="F147" s="13">
        <f>((((VLOOKUP(B147,Database!$A:$AS,MATCH($F$1,Database!$A$1:$AS$1,),))))-(((VLOOKUP(EDATE(B147,-12),Database!$A:$AS,MATCH($F$1,Database!$A$1:$AS$1,),)))))/(((VLOOKUP(EDATE(B147,-12),Database!$A:$AS,MATCH($F$1,Database!$A$1:$AS$1,),))))</f>
        <v/>
      </c>
      <c r="G147" s="13">
        <f>((((VLOOKUP(B147,Database!$A:$AS,MATCH($G$1,Database!$A$1:$AS$1,),))))-(((VLOOKUP(EDATE(B147,-12),Database!$A:$AS,MATCH($G$1,Database!$A$1:$AS$1,),)))))/(((VLOOKUP(EDATE(B147,-12),Database!$A:$AS,MATCH($G$1,Database!$A$1:$AS$1,),))))</f>
        <v/>
      </c>
      <c r="H147" s="13">
        <f>((((VLOOKUP(B147,Database!$A:$AS,MATCH($H$1,Database!$A$1:$AS$1,),))))-(((VLOOKUP(EDATE(B147,-12),Database!$A:$AS,MATCH($H$1,Database!$A$1:$AS$1,),)))))/(((VLOOKUP(EDATE(B147,-12),Database!$A:$AS,MATCH($H$1,Database!$A$1:$AS$1,),))))</f>
        <v/>
      </c>
      <c r="I147" s="13">
        <f>((((VLOOKUP(B147,Database!$A:$AS,MATCH($I$1,Database!$A$1:$AS$1,),))))-(((VLOOKUP(EDATE(B147,-12),Database!$A:$AS,MATCH($I$1,Database!$A$1:$AS$1,),)))))/(((VLOOKUP(EDATE(B147,-12),Database!$A:$AS,MATCH($I$1,Database!$A$1:$AS$1,),))))</f>
        <v/>
      </c>
      <c r="J147" s="13">
        <f>((((VLOOKUP(B147,Database!$A:$AS,MATCH($J$1,Database!$A$1:$AS$1,),))))-(((VLOOKUP(EDATE(B147,-12),Database!$A:$AS,MATCH($J$1,Database!$A$1:$AS$1,),)))))/(((VLOOKUP(EDATE(B147,-12),Database!$A:$AS,MATCH($J$1,Database!$A$1:$AS$1,),))))</f>
        <v/>
      </c>
      <c r="K147" s="13">
        <f>((((VLOOKUP(B147,Database!$A:$AS,MATCH($K$1,Database!$A$1:$AS$1,),))))-(((VLOOKUP(EDATE(B147,-12),Database!$A:$AS,MATCH($K$1,Database!$A$1:$AS$1,),)))))/(((VLOOKUP(EDATE(B147,-12),Database!$A:$AS,MATCH($K$1,Database!$A$1:$AS$1,),))))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((((VLOOKUP(B147,Database!$A:$AS,MATCH($O$1,Database!$A$1:$AS$1,),))))-(((VLOOKUP(EDATE(B147,-12),Database!$A:$AS,MATCH($O$1,Database!$A$1:$AS$1,),)))))/(((VLOOKUP(EDATE(B147,-12),Database!$A:$AS,MATCH($O$1,Database!$A$1:$AS$1,),))))</f>
        <v/>
      </c>
      <c r="P147" s="13">
        <f>((((VLOOKUP(B147,Database!$A:$AS,MATCH($P$1,Database!$A$1:$AS$1,),))))-(((VLOOKUP(EDATE(B147,-12),Database!$A:$AS,MATCH($P$1,Database!$A$1:$AS$1,),)))))/(((VLOOKUP(EDATE(B147,-12),Database!$A:$AS,MATCH($P$1,Database!$A$1:$AS$1,),))))</f>
        <v/>
      </c>
      <c r="Q147" s="13">
        <f>((((VLOOKUP(B147,Database!$A:$AS,MATCH($Q$1,Database!$A$1:$AS$1,),))))-(((VLOOKUP(EDATE(B147,-12),Database!$A:$AS,MATCH($Q$1,Database!$A$1:$AS$1,),)))))/(((VLOOKUP(EDATE(B147,-12),Database!$A:$AS,MATCH($Q$1,Database!$A$1:$AS$1,),))))</f>
        <v/>
      </c>
      <c r="R147" s="13">
        <f>((((VLOOKUP(B147,Database!$A:$AS,MATCH($R$1,Database!$A$1:$AS$1,),))))-(((VLOOKUP(EDATE(B147,-12),Database!$A:$AS,MATCH($R$1,Database!$A$1:$AS$1,),)))))/(((VLOOKUP(EDATE(B147,-12),Database!$A:$AS,MATCH($R$1,Database!$A$1:$AS$1,),))))</f>
        <v/>
      </c>
      <c r="S147" s="13">
        <f>((((VLOOKUP(B147,Database!$A:$AS,MATCH($S$1,Database!$A$1:$AS$1,),))))-(((VLOOKUP(EDATE(B147,-12),Database!$A:$AS,MATCH($S$1,Database!$A$1:$AS$1,),)))))/(((VLOOKUP(EDATE(B147,-12),Database!$A:$AS,MATCH($S$1,Database!$A$1:$AS$1,),))))</f>
        <v/>
      </c>
      <c r="T147" s="13">
        <f>((((VLOOKUP(B147,Database!$A:$AS,MATCH($T$1,Database!$A$1:$AS$1,),))))-(((VLOOKUP(EDATE(B147,-12),Database!$A:$AS,MATCH($T$1,Database!$A$1:$AS$1,),)))))/(((VLOOKUP(EDATE(B147,-12),Database!$A:$AS,MATCH($T$1,Database!$A$1:$AS$1,),))))</f>
        <v/>
      </c>
      <c r="U147" s="13">
        <f>((((VLOOKUP(B147,Database!$A:$AS,MATCH($U$1,Database!$A$1:$AS$1,),))))-(((VLOOKUP(EDATE(B147,-12),Database!$A:$AS,MATCH($U$1,Database!$A$1:$AS$1,),)))))/(((VLOOKUP(EDATE(B147,-12),Database!$A:$AS,MATCH($U$1,Database!$A$1:$AS$1,),))))</f>
        <v/>
      </c>
      <c r="V147" s="13">
        <f>((((VLOOKUP(B147,Database!$A:$AS,MATCH($V$1,Database!$A$1:$AS$1,),))))-(((VLOOKUP(EDATE(B147,-12),Database!$A:$AS,MATCH($V$1,Database!$A$1:$AS$1,),)))))/(((VLOOKUP(EDATE(B147,-12),Database!$A:$AS,MATCH($V$1,Database!$A$1:$AS$1,),))))</f>
        <v/>
      </c>
    </row>
    <row r="148" customFormat="1" s="94">
      <c r="A148" s="44" t="n"/>
      <c r="B148" s="85" t="n">
        <v>36647</v>
      </c>
      <c r="C148" s="13">
        <f>((((VLOOKUP(B148,Database!$A:$AS,MATCH($C$1,Database!$A$1:$AS$1,),))))-(((VLOOKUP(EDATE(B148,-12),Database!$A:$AS,MATCH($C$1,Database!$A$1:$AS$1,),)))))/(((VLOOKUP(EDATE(B148,-12),Database!$A:$AS,MATCH($C$1,Database!$A$1:$AS$1,),))))</f>
        <v/>
      </c>
      <c r="D148" s="13">
        <f>((((VLOOKUP(B148,Database!$A:$AS,MATCH($D$1,Database!$A$1:$AS$1,),))))-(((VLOOKUP(EDATE(B148,-12),Database!$A:$AS,MATCH($D$1,Database!$A$1:$AS$1,),)))))/(((VLOOKUP(EDATE(B148,-12),Database!$A:$AS,MATCH($D$1,Database!$A$1:$AS$1,),))))</f>
        <v/>
      </c>
      <c r="E148" s="13">
        <f>((((VLOOKUP(B148,Database!$A:$AS,MATCH($E$1,Database!$A$1:$AS$1,),))))-(((VLOOKUP(EDATE(B148,-12),Database!$A:$AS,MATCH($E$1,Database!$A$1:$AS$1,),)))))/(((VLOOKUP(EDATE(B148,-12),Database!$A:$AS,MATCH($E$1,Database!$A$1:$AS$1,),))))</f>
        <v/>
      </c>
      <c r="F148" s="13">
        <f>((((VLOOKUP(B148,Database!$A:$AS,MATCH($F$1,Database!$A$1:$AS$1,),))))-(((VLOOKUP(EDATE(B148,-12),Database!$A:$AS,MATCH($F$1,Database!$A$1:$AS$1,),)))))/(((VLOOKUP(EDATE(B148,-12),Database!$A:$AS,MATCH($F$1,Database!$A$1:$AS$1,),))))</f>
        <v/>
      </c>
      <c r="G148" s="13">
        <f>((((VLOOKUP(B148,Database!$A:$AS,MATCH($G$1,Database!$A$1:$AS$1,),))))-(((VLOOKUP(EDATE(B148,-12),Database!$A:$AS,MATCH($G$1,Database!$A$1:$AS$1,),)))))/(((VLOOKUP(EDATE(B148,-12),Database!$A:$AS,MATCH($G$1,Database!$A$1:$AS$1,),))))</f>
        <v/>
      </c>
      <c r="H148" s="13">
        <f>((((VLOOKUP(B148,Database!$A:$AS,MATCH($H$1,Database!$A$1:$AS$1,),))))-(((VLOOKUP(EDATE(B148,-12),Database!$A:$AS,MATCH($H$1,Database!$A$1:$AS$1,),)))))/(((VLOOKUP(EDATE(B148,-12),Database!$A:$AS,MATCH($H$1,Database!$A$1:$AS$1,),))))</f>
        <v/>
      </c>
      <c r="I148" s="13">
        <f>((((VLOOKUP(B148,Database!$A:$AS,MATCH($I$1,Database!$A$1:$AS$1,),))))-(((VLOOKUP(EDATE(B148,-12),Database!$A:$AS,MATCH($I$1,Database!$A$1:$AS$1,),)))))/(((VLOOKUP(EDATE(B148,-12),Database!$A:$AS,MATCH($I$1,Database!$A$1:$AS$1,),))))</f>
        <v/>
      </c>
      <c r="J148" s="13">
        <f>((((VLOOKUP(B148,Database!$A:$AS,MATCH($J$1,Database!$A$1:$AS$1,),))))-(((VLOOKUP(EDATE(B148,-12),Database!$A:$AS,MATCH($J$1,Database!$A$1:$AS$1,),)))))/(((VLOOKUP(EDATE(B148,-12),Database!$A:$AS,MATCH($J$1,Database!$A$1:$AS$1,),))))</f>
        <v/>
      </c>
      <c r="K148" s="13">
        <f>((((VLOOKUP(B148,Database!$A:$AS,MATCH($K$1,Database!$A$1:$AS$1,),))))-(((VLOOKUP(EDATE(B148,-12),Database!$A:$AS,MATCH($K$1,Database!$A$1:$AS$1,),)))))/(((VLOOKUP(EDATE(B148,-12),Database!$A:$AS,MATCH($K$1,Database!$A$1:$AS$1,),))))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((((VLOOKUP(B148,Database!$A:$AS,MATCH($O$1,Database!$A$1:$AS$1,),))))-(((VLOOKUP(EDATE(B148,-12),Database!$A:$AS,MATCH($O$1,Database!$A$1:$AS$1,),)))))/(((VLOOKUP(EDATE(B148,-12),Database!$A:$AS,MATCH($O$1,Database!$A$1:$AS$1,),))))</f>
        <v/>
      </c>
      <c r="P148" s="13">
        <f>((((VLOOKUP(B148,Database!$A:$AS,MATCH($P$1,Database!$A$1:$AS$1,),))))-(((VLOOKUP(EDATE(B148,-12),Database!$A:$AS,MATCH($P$1,Database!$A$1:$AS$1,),)))))/(((VLOOKUP(EDATE(B148,-12),Database!$A:$AS,MATCH($P$1,Database!$A$1:$AS$1,),))))</f>
        <v/>
      </c>
      <c r="Q148" s="13">
        <f>((((VLOOKUP(B148,Database!$A:$AS,MATCH($Q$1,Database!$A$1:$AS$1,),))))-(((VLOOKUP(EDATE(B148,-12),Database!$A:$AS,MATCH($Q$1,Database!$A$1:$AS$1,),)))))/(((VLOOKUP(EDATE(B148,-12),Database!$A:$AS,MATCH($Q$1,Database!$A$1:$AS$1,),))))</f>
        <v/>
      </c>
      <c r="R148" s="13">
        <f>((((VLOOKUP(B148,Database!$A:$AS,MATCH($R$1,Database!$A$1:$AS$1,),))))-(((VLOOKUP(EDATE(B148,-12),Database!$A:$AS,MATCH($R$1,Database!$A$1:$AS$1,),)))))/(((VLOOKUP(EDATE(B148,-12),Database!$A:$AS,MATCH($R$1,Database!$A$1:$AS$1,),))))</f>
        <v/>
      </c>
      <c r="S148" s="13">
        <f>((((VLOOKUP(B148,Database!$A:$AS,MATCH($S$1,Database!$A$1:$AS$1,),))))-(((VLOOKUP(EDATE(B148,-12),Database!$A:$AS,MATCH($S$1,Database!$A$1:$AS$1,),)))))/(((VLOOKUP(EDATE(B148,-12),Database!$A:$AS,MATCH($S$1,Database!$A$1:$AS$1,),))))</f>
        <v/>
      </c>
      <c r="T148" s="13">
        <f>((((VLOOKUP(B148,Database!$A:$AS,MATCH($T$1,Database!$A$1:$AS$1,),))))-(((VLOOKUP(EDATE(B148,-12),Database!$A:$AS,MATCH($T$1,Database!$A$1:$AS$1,),)))))/(((VLOOKUP(EDATE(B148,-12),Database!$A:$AS,MATCH($T$1,Database!$A$1:$AS$1,),))))</f>
        <v/>
      </c>
      <c r="U148" s="13">
        <f>((((VLOOKUP(B148,Database!$A:$AS,MATCH($U$1,Database!$A$1:$AS$1,),))))-(((VLOOKUP(EDATE(B148,-12),Database!$A:$AS,MATCH($U$1,Database!$A$1:$AS$1,),)))))/(((VLOOKUP(EDATE(B148,-12),Database!$A:$AS,MATCH($U$1,Database!$A$1:$AS$1,),))))</f>
        <v/>
      </c>
      <c r="V148" s="13">
        <f>((((VLOOKUP(B148,Database!$A:$AS,MATCH($V$1,Database!$A$1:$AS$1,),))))-(((VLOOKUP(EDATE(B148,-12),Database!$A:$AS,MATCH($V$1,Database!$A$1:$AS$1,),)))))/(((VLOOKUP(EDATE(B148,-12),Database!$A:$AS,MATCH($V$1,Database!$A$1:$AS$1,),))))</f>
        <v/>
      </c>
    </row>
    <row r="149" customFormat="1" s="94">
      <c r="A149" s="44" t="n"/>
      <c r="B149" s="85" t="n">
        <v>36678</v>
      </c>
      <c r="C149" s="13">
        <f>((((VLOOKUP(B149,Database!$A:$AS,MATCH($C$1,Database!$A$1:$AS$1,),))))-(((VLOOKUP(EDATE(B149,-12),Database!$A:$AS,MATCH($C$1,Database!$A$1:$AS$1,),)))))/(((VLOOKUP(EDATE(B149,-12),Database!$A:$AS,MATCH($C$1,Database!$A$1:$AS$1,),))))</f>
        <v/>
      </c>
      <c r="D149" s="13">
        <f>((((VLOOKUP(B149,Database!$A:$AS,MATCH($D$1,Database!$A$1:$AS$1,),))))-(((VLOOKUP(EDATE(B149,-12),Database!$A:$AS,MATCH($D$1,Database!$A$1:$AS$1,),)))))/(((VLOOKUP(EDATE(B149,-12),Database!$A:$AS,MATCH($D$1,Database!$A$1:$AS$1,),))))</f>
        <v/>
      </c>
      <c r="E149" s="13">
        <f>((((VLOOKUP(B149,Database!$A:$AS,MATCH($E$1,Database!$A$1:$AS$1,),))))-(((VLOOKUP(EDATE(B149,-12),Database!$A:$AS,MATCH($E$1,Database!$A$1:$AS$1,),)))))/(((VLOOKUP(EDATE(B149,-12),Database!$A:$AS,MATCH($E$1,Database!$A$1:$AS$1,),))))</f>
        <v/>
      </c>
      <c r="F149" s="13">
        <f>((((VLOOKUP(B149,Database!$A:$AS,MATCH($F$1,Database!$A$1:$AS$1,),))))-(((VLOOKUP(EDATE(B149,-12),Database!$A:$AS,MATCH($F$1,Database!$A$1:$AS$1,),)))))/(((VLOOKUP(EDATE(B149,-12),Database!$A:$AS,MATCH($F$1,Database!$A$1:$AS$1,),))))</f>
        <v/>
      </c>
      <c r="G149" s="13">
        <f>((((VLOOKUP(B149,Database!$A:$AS,MATCH($G$1,Database!$A$1:$AS$1,),))))-(((VLOOKUP(EDATE(B149,-12),Database!$A:$AS,MATCH($G$1,Database!$A$1:$AS$1,),)))))/(((VLOOKUP(EDATE(B149,-12),Database!$A:$AS,MATCH($G$1,Database!$A$1:$AS$1,),))))</f>
        <v/>
      </c>
      <c r="H149" s="13">
        <f>((((VLOOKUP(B149,Database!$A:$AS,MATCH($H$1,Database!$A$1:$AS$1,),))))-(((VLOOKUP(EDATE(B149,-12),Database!$A:$AS,MATCH($H$1,Database!$A$1:$AS$1,),)))))/(((VLOOKUP(EDATE(B149,-12),Database!$A:$AS,MATCH($H$1,Database!$A$1:$AS$1,),))))</f>
        <v/>
      </c>
      <c r="I149" s="13">
        <f>((((VLOOKUP(B149,Database!$A:$AS,MATCH($I$1,Database!$A$1:$AS$1,),))))-(((VLOOKUP(EDATE(B149,-12),Database!$A:$AS,MATCH($I$1,Database!$A$1:$AS$1,),)))))/(((VLOOKUP(EDATE(B149,-12),Database!$A:$AS,MATCH($I$1,Database!$A$1:$AS$1,),))))</f>
        <v/>
      </c>
      <c r="J149" s="13">
        <f>((((VLOOKUP(B149,Database!$A:$AS,MATCH($J$1,Database!$A$1:$AS$1,),))))-(((VLOOKUP(EDATE(B149,-12),Database!$A:$AS,MATCH($J$1,Database!$A$1:$AS$1,),)))))/(((VLOOKUP(EDATE(B149,-12),Database!$A:$AS,MATCH($J$1,Database!$A$1:$AS$1,),))))</f>
        <v/>
      </c>
      <c r="K149" s="13">
        <f>((((VLOOKUP(B149,Database!$A:$AS,MATCH($K$1,Database!$A$1:$AS$1,),))))-(((VLOOKUP(EDATE(B149,-12),Database!$A:$AS,MATCH($K$1,Database!$A$1:$AS$1,),)))))/(((VLOOKUP(EDATE(B149,-12),Database!$A:$AS,MATCH($K$1,Database!$A$1:$AS$1,),))))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((((VLOOKUP(B149,Database!$A:$AS,MATCH($O$1,Database!$A$1:$AS$1,),))))-(((VLOOKUP(EDATE(B149,-12),Database!$A:$AS,MATCH($O$1,Database!$A$1:$AS$1,),)))))/(((VLOOKUP(EDATE(B149,-12),Database!$A:$AS,MATCH($O$1,Database!$A$1:$AS$1,),))))</f>
        <v/>
      </c>
      <c r="P149" s="13">
        <f>((((VLOOKUP(B149,Database!$A:$AS,MATCH($P$1,Database!$A$1:$AS$1,),))))-(((VLOOKUP(EDATE(B149,-12),Database!$A:$AS,MATCH($P$1,Database!$A$1:$AS$1,),)))))/(((VLOOKUP(EDATE(B149,-12),Database!$A:$AS,MATCH($P$1,Database!$A$1:$AS$1,),))))</f>
        <v/>
      </c>
      <c r="Q149" s="13">
        <f>((((VLOOKUP(B149,Database!$A:$AS,MATCH($Q$1,Database!$A$1:$AS$1,),))))-(((VLOOKUP(EDATE(B149,-12),Database!$A:$AS,MATCH($Q$1,Database!$A$1:$AS$1,),)))))/(((VLOOKUP(EDATE(B149,-12),Database!$A:$AS,MATCH($Q$1,Database!$A$1:$AS$1,),))))</f>
        <v/>
      </c>
      <c r="R149" s="13">
        <f>((((VLOOKUP(B149,Database!$A:$AS,MATCH($R$1,Database!$A$1:$AS$1,),))))-(((VLOOKUP(EDATE(B149,-12),Database!$A:$AS,MATCH($R$1,Database!$A$1:$AS$1,),)))))/(((VLOOKUP(EDATE(B149,-12),Database!$A:$AS,MATCH($R$1,Database!$A$1:$AS$1,),))))</f>
        <v/>
      </c>
      <c r="S149" s="13">
        <f>((((VLOOKUP(B149,Database!$A:$AS,MATCH($S$1,Database!$A$1:$AS$1,),))))-(((VLOOKUP(EDATE(B149,-12),Database!$A:$AS,MATCH($S$1,Database!$A$1:$AS$1,),)))))/(((VLOOKUP(EDATE(B149,-12),Database!$A:$AS,MATCH($S$1,Database!$A$1:$AS$1,),))))</f>
        <v/>
      </c>
      <c r="T149" s="13">
        <f>((((VLOOKUP(B149,Database!$A:$AS,MATCH($T$1,Database!$A$1:$AS$1,),))))-(((VLOOKUP(EDATE(B149,-12),Database!$A:$AS,MATCH($T$1,Database!$A$1:$AS$1,),)))))/(((VLOOKUP(EDATE(B149,-12),Database!$A:$AS,MATCH($T$1,Database!$A$1:$AS$1,),))))</f>
        <v/>
      </c>
      <c r="U149" s="13">
        <f>((((VLOOKUP(B149,Database!$A:$AS,MATCH($U$1,Database!$A$1:$AS$1,),))))-(((VLOOKUP(EDATE(B149,-12),Database!$A:$AS,MATCH($U$1,Database!$A$1:$AS$1,),)))))/(((VLOOKUP(EDATE(B149,-12),Database!$A:$AS,MATCH($U$1,Database!$A$1:$AS$1,),))))</f>
        <v/>
      </c>
      <c r="V149" s="13">
        <f>((((VLOOKUP(B149,Database!$A:$AS,MATCH($V$1,Database!$A$1:$AS$1,),))))-(((VLOOKUP(EDATE(B149,-12),Database!$A:$AS,MATCH($V$1,Database!$A$1:$AS$1,),)))))/(((VLOOKUP(EDATE(B149,-12),Database!$A:$AS,MATCH($V$1,Database!$A$1:$AS$1,),))))</f>
        <v/>
      </c>
    </row>
    <row r="150" customFormat="1" s="94">
      <c r="A150" s="44" t="n"/>
      <c r="B150" s="85" t="n">
        <v>36708</v>
      </c>
      <c r="C150" s="13">
        <f>((((VLOOKUP(B150,Database!$A:$AS,MATCH($C$1,Database!$A$1:$AS$1,),))))-(((VLOOKUP(EDATE(B150,-12),Database!$A:$AS,MATCH($C$1,Database!$A$1:$AS$1,),)))))/(((VLOOKUP(EDATE(B150,-12),Database!$A:$AS,MATCH($C$1,Database!$A$1:$AS$1,),))))</f>
        <v/>
      </c>
      <c r="D150" s="13">
        <f>((((VLOOKUP(B150,Database!$A:$AS,MATCH($D$1,Database!$A$1:$AS$1,),))))-(((VLOOKUP(EDATE(B150,-12),Database!$A:$AS,MATCH($D$1,Database!$A$1:$AS$1,),)))))/(((VLOOKUP(EDATE(B150,-12),Database!$A:$AS,MATCH($D$1,Database!$A$1:$AS$1,),))))</f>
        <v/>
      </c>
      <c r="E150" s="13">
        <f>((((VLOOKUP(B150,Database!$A:$AS,MATCH($E$1,Database!$A$1:$AS$1,),))))-(((VLOOKUP(EDATE(B150,-12),Database!$A:$AS,MATCH($E$1,Database!$A$1:$AS$1,),)))))/(((VLOOKUP(EDATE(B150,-12),Database!$A:$AS,MATCH($E$1,Database!$A$1:$AS$1,),))))</f>
        <v/>
      </c>
      <c r="F150" s="13">
        <f>((((VLOOKUP(B150,Database!$A:$AS,MATCH($F$1,Database!$A$1:$AS$1,),))))-(((VLOOKUP(EDATE(B150,-12),Database!$A:$AS,MATCH($F$1,Database!$A$1:$AS$1,),)))))/(((VLOOKUP(EDATE(B150,-12),Database!$A:$AS,MATCH($F$1,Database!$A$1:$AS$1,),))))</f>
        <v/>
      </c>
      <c r="G150" s="13">
        <f>((((VLOOKUP(B150,Database!$A:$AS,MATCH($G$1,Database!$A$1:$AS$1,),))))-(((VLOOKUP(EDATE(B150,-12),Database!$A:$AS,MATCH($G$1,Database!$A$1:$AS$1,),)))))/(((VLOOKUP(EDATE(B150,-12),Database!$A:$AS,MATCH($G$1,Database!$A$1:$AS$1,),))))</f>
        <v/>
      </c>
      <c r="H150" s="13">
        <f>((((VLOOKUP(B150,Database!$A:$AS,MATCH($H$1,Database!$A$1:$AS$1,),))))-(((VLOOKUP(EDATE(B150,-12),Database!$A:$AS,MATCH($H$1,Database!$A$1:$AS$1,),)))))/(((VLOOKUP(EDATE(B150,-12),Database!$A:$AS,MATCH($H$1,Database!$A$1:$AS$1,),))))</f>
        <v/>
      </c>
      <c r="I150" s="13">
        <f>((((VLOOKUP(B150,Database!$A:$AS,MATCH($I$1,Database!$A$1:$AS$1,),))))-(((VLOOKUP(EDATE(B150,-12),Database!$A:$AS,MATCH($I$1,Database!$A$1:$AS$1,),)))))/(((VLOOKUP(EDATE(B150,-12),Database!$A:$AS,MATCH($I$1,Database!$A$1:$AS$1,),))))</f>
        <v/>
      </c>
      <c r="J150" s="13">
        <f>((((VLOOKUP(B150,Database!$A:$AS,MATCH($J$1,Database!$A$1:$AS$1,),))))-(((VLOOKUP(EDATE(B150,-12),Database!$A:$AS,MATCH($J$1,Database!$A$1:$AS$1,),)))))/(((VLOOKUP(EDATE(B150,-12),Database!$A:$AS,MATCH($J$1,Database!$A$1:$AS$1,),))))</f>
        <v/>
      </c>
      <c r="K150" s="13">
        <f>((((VLOOKUP(B150,Database!$A:$AS,MATCH($K$1,Database!$A$1:$AS$1,),))))-(((VLOOKUP(EDATE(B150,-12),Database!$A:$AS,MATCH($K$1,Database!$A$1:$AS$1,),)))))/(((VLOOKUP(EDATE(B150,-12),Database!$A:$AS,MATCH($K$1,Database!$A$1:$AS$1,),))))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((((VLOOKUP(B150,Database!$A:$AS,MATCH($O$1,Database!$A$1:$AS$1,),))))-(((VLOOKUP(EDATE(B150,-12),Database!$A:$AS,MATCH($O$1,Database!$A$1:$AS$1,),)))))/(((VLOOKUP(EDATE(B150,-12),Database!$A:$AS,MATCH($O$1,Database!$A$1:$AS$1,),))))</f>
        <v/>
      </c>
      <c r="P150" s="13">
        <f>((((VLOOKUP(B150,Database!$A:$AS,MATCH($P$1,Database!$A$1:$AS$1,),))))-(((VLOOKUP(EDATE(B150,-12),Database!$A:$AS,MATCH($P$1,Database!$A$1:$AS$1,),)))))/(((VLOOKUP(EDATE(B150,-12),Database!$A:$AS,MATCH($P$1,Database!$A$1:$AS$1,),))))</f>
        <v/>
      </c>
      <c r="Q150" s="13">
        <f>((((VLOOKUP(B150,Database!$A:$AS,MATCH($Q$1,Database!$A$1:$AS$1,),))))-(((VLOOKUP(EDATE(B150,-12),Database!$A:$AS,MATCH($Q$1,Database!$A$1:$AS$1,),)))))/(((VLOOKUP(EDATE(B150,-12),Database!$A:$AS,MATCH($Q$1,Database!$A$1:$AS$1,),))))</f>
        <v/>
      </c>
      <c r="R150" s="13">
        <f>((((VLOOKUP(B150,Database!$A:$AS,MATCH($R$1,Database!$A$1:$AS$1,),))))-(((VLOOKUP(EDATE(B150,-12),Database!$A:$AS,MATCH($R$1,Database!$A$1:$AS$1,),)))))/(((VLOOKUP(EDATE(B150,-12),Database!$A:$AS,MATCH($R$1,Database!$A$1:$AS$1,),))))</f>
        <v/>
      </c>
      <c r="S150" s="13">
        <f>((((VLOOKUP(B150,Database!$A:$AS,MATCH($S$1,Database!$A$1:$AS$1,),))))-(((VLOOKUP(EDATE(B150,-12),Database!$A:$AS,MATCH($S$1,Database!$A$1:$AS$1,),)))))/(((VLOOKUP(EDATE(B150,-12),Database!$A:$AS,MATCH($S$1,Database!$A$1:$AS$1,),))))</f>
        <v/>
      </c>
      <c r="T150" s="13">
        <f>((((VLOOKUP(B150,Database!$A:$AS,MATCH($T$1,Database!$A$1:$AS$1,),))))-(((VLOOKUP(EDATE(B150,-12),Database!$A:$AS,MATCH($T$1,Database!$A$1:$AS$1,),)))))/(((VLOOKUP(EDATE(B150,-12),Database!$A:$AS,MATCH($T$1,Database!$A$1:$AS$1,),))))</f>
        <v/>
      </c>
      <c r="U150" s="13">
        <f>((((VLOOKUP(B150,Database!$A:$AS,MATCH($U$1,Database!$A$1:$AS$1,),))))-(((VLOOKUP(EDATE(B150,-12),Database!$A:$AS,MATCH($U$1,Database!$A$1:$AS$1,),)))))/(((VLOOKUP(EDATE(B150,-12),Database!$A:$AS,MATCH($U$1,Database!$A$1:$AS$1,),))))</f>
        <v/>
      </c>
      <c r="V150" s="13">
        <f>((((VLOOKUP(B150,Database!$A:$AS,MATCH($V$1,Database!$A$1:$AS$1,),))))-(((VLOOKUP(EDATE(B150,-12),Database!$A:$AS,MATCH($V$1,Database!$A$1:$AS$1,),)))))/(((VLOOKUP(EDATE(B150,-12),Database!$A:$AS,MATCH($V$1,Database!$A$1:$AS$1,),))))</f>
        <v/>
      </c>
    </row>
    <row r="151" customFormat="1" s="94">
      <c r="A151" s="44" t="n"/>
      <c r="B151" s="85" t="n">
        <v>36739</v>
      </c>
      <c r="C151" s="13">
        <f>((((VLOOKUP(B151,Database!$A:$AS,MATCH($C$1,Database!$A$1:$AS$1,),))))-(((VLOOKUP(EDATE(B151,-12),Database!$A:$AS,MATCH($C$1,Database!$A$1:$AS$1,),)))))/(((VLOOKUP(EDATE(B151,-12),Database!$A:$AS,MATCH($C$1,Database!$A$1:$AS$1,),))))</f>
        <v/>
      </c>
      <c r="D151" s="13">
        <f>((((VLOOKUP(B151,Database!$A:$AS,MATCH($D$1,Database!$A$1:$AS$1,),))))-(((VLOOKUP(EDATE(B151,-12),Database!$A:$AS,MATCH($D$1,Database!$A$1:$AS$1,),)))))/(((VLOOKUP(EDATE(B151,-12),Database!$A:$AS,MATCH($D$1,Database!$A$1:$AS$1,),))))</f>
        <v/>
      </c>
      <c r="E151" s="13">
        <f>((((VLOOKUP(B151,Database!$A:$AS,MATCH($E$1,Database!$A$1:$AS$1,),))))-(((VLOOKUP(EDATE(B151,-12),Database!$A:$AS,MATCH($E$1,Database!$A$1:$AS$1,),)))))/(((VLOOKUP(EDATE(B151,-12),Database!$A:$AS,MATCH($E$1,Database!$A$1:$AS$1,),))))</f>
        <v/>
      </c>
      <c r="F151" s="13">
        <f>((((VLOOKUP(B151,Database!$A:$AS,MATCH($F$1,Database!$A$1:$AS$1,),))))-(((VLOOKUP(EDATE(B151,-12),Database!$A:$AS,MATCH($F$1,Database!$A$1:$AS$1,),)))))/(((VLOOKUP(EDATE(B151,-12),Database!$A:$AS,MATCH($F$1,Database!$A$1:$AS$1,),))))</f>
        <v/>
      </c>
      <c r="G151" s="13">
        <f>((((VLOOKUP(B151,Database!$A:$AS,MATCH($G$1,Database!$A$1:$AS$1,),))))-(((VLOOKUP(EDATE(B151,-12),Database!$A:$AS,MATCH($G$1,Database!$A$1:$AS$1,),)))))/(((VLOOKUP(EDATE(B151,-12),Database!$A:$AS,MATCH($G$1,Database!$A$1:$AS$1,),))))</f>
        <v/>
      </c>
      <c r="H151" s="13">
        <f>((((VLOOKUP(B151,Database!$A:$AS,MATCH($H$1,Database!$A$1:$AS$1,),))))-(((VLOOKUP(EDATE(B151,-12),Database!$A:$AS,MATCH($H$1,Database!$A$1:$AS$1,),)))))/(((VLOOKUP(EDATE(B151,-12),Database!$A:$AS,MATCH($H$1,Database!$A$1:$AS$1,),))))</f>
        <v/>
      </c>
      <c r="I151" s="13">
        <f>((((VLOOKUP(B151,Database!$A:$AS,MATCH($I$1,Database!$A$1:$AS$1,),))))-(((VLOOKUP(EDATE(B151,-12),Database!$A:$AS,MATCH($I$1,Database!$A$1:$AS$1,),)))))/(((VLOOKUP(EDATE(B151,-12),Database!$A:$AS,MATCH($I$1,Database!$A$1:$AS$1,),))))</f>
        <v/>
      </c>
      <c r="J151" s="13">
        <f>((((VLOOKUP(B151,Database!$A:$AS,MATCH($J$1,Database!$A$1:$AS$1,),))))-(((VLOOKUP(EDATE(B151,-12),Database!$A:$AS,MATCH($J$1,Database!$A$1:$AS$1,),)))))/(((VLOOKUP(EDATE(B151,-12),Database!$A:$AS,MATCH($J$1,Database!$A$1:$AS$1,),))))</f>
        <v/>
      </c>
      <c r="K151" s="13">
        <f>((((VLOOKUP(B151,Database!$A:$AS,MATCH($K$1,Database!$A$1:$AS$1,),))))-(((VLOOKUP(EDATE(B151,-12),Database!$A:$AS,MATCH($K$1,Database!$A$1:$AS$1,),)))))/(((VLOOKUP(EDATE(B151,-12),Database!$A:$AS,MATCH($K$1,Database!$A$1:$AS$1,),))))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((((VLOOKUP(B151,Database!$A:$AS,MATCH($O$1,Database!$A$1:$AS$1,),))))-(((VLOOKUP(EDATE(B151,-12),Database!$A:$AS,MATCH($O$1,Database!$A$1:$AS$1,),)))))/(((VLOOKUP(EDATE(B151,-12),Database!$A:$AS,MATCH($O$1,Database!$A$1:$AS$1,),))))</f>
        <v/>
      </c>
      <c r="P151" s="13">
        <f>((((VLOOKUP(B151,Database!$A:$AS,MATCH($P$1,Database!$A$1:$AS$1,),))))-(((VLOOKUP(EDATE(B151,-12),Database!$A:$AS,MATCH($P$1,Database!$A$1:$AS$1,),)))))/(((VLOOKUP(EDATE(B151,-12),Database!$A:$AS,MATCH($P$1,Database!$A$1:$AS$1,),))))</f>
        <v/>
      </c>
      <c r="Q151" s="13">
        <f>((((VLOOKUP(B151,Database!$A:$AS,MATCH($Q$1,Database!$A$1:$AS$1,),))))-(((VLOOKUP(EDATE(B151,-12),Database!$A:$AS,MATCH($Q$1,Database!$A$1:$AS$1,),)))))/(((VLOOKUP(EDATE(B151,-12),Database!$A:$AS,MATCH($Q$1,Database!$A$1:$AS$1,),))))</f>
        <v/>
      </c>
      <c r="R151" s="13">
        <f>((((VLOOKUP(B151,Database!$A:$AS,MATCH($R$1,Database!$A$1:$AS$1,),))))-(((VLOOKUP(EDATE(B151,-12),Database!$A:$AS,MATCH($R$1,Database!$A$1:$AS$1,),)))))/(((VLOOKUP(EDATE(B151,-12),Database!$A:$AS,MATCH($R$1,Database!$A$1:$AS$1,),))))</f>
        <v/>
      </c>
      <c r="S151" s="13">
        <f>((((VLOOKUP(B151,Database!$A:$AS,MATCH($S$1,Database!$A$1:$AS$1,),))))-(((VLOOKUP(EDATE(B151,-12),Database!$A:$AS,MATCH($S$1,Database!$A$1:$AS$1,),)))))/(((VLOOKUP(EDATE(B151,-12),Database!$A:$AS,MATCH($S$1,Database!$A$1:$AS$1,),))))</f>
        <v/>
      </c>
      <c r="T151" s="13">
        <f>((((VLOOKUP(B151,Database!$A:$AS,MATCH($T$1,Database!$A$1:$AS$1,),))))-(((VLOOKUP(EDATE(B151,-12),Database!$A:$AS,MATCH($T$1,Database!$A$1:$AS$1,),)))))/(((VLOOKUP(EDATE(B151,-12),Database!$A:$AS,MATCH($T$1,Database!$A$1:$AS$1,),))))</f>
        <v/>
      </c>
      <c r="U151" s="13">
        <f>((((VLOOKUP(B151,Database!$A:$AS,MATCH($U$1,Database!$A$1:$AS$1,),))))-(((VLOOKUP(EDATE(B151,-12),Database!$A:$AS,MATCH($U$1,Database!$A$1:$AS$1,),)))))/(((VLOOKUP(EDATE(B151,-12),Database!$A:$AS,MATCH($U$1,Database!$A$1:$AS$1,),))))</f>
        <v/>
      </c>
      <c r="V151" s="13">
        <f>((((VLOOKUP(B151,Database!$A:$AS,MATCH($V$1,Database!$A$1:$AS$1,),))))-(((VLOOKUP(EDATE(B151,-12),Database!$A:$AS,MATCH($V$1,Database!$A$1:$AS$1,),)))))/(((VLOOKUP(EDATE(B151,-12),Database!$A:$AS,MATCH($V$1,Database!$A$1:$AS$1,),))))</f>
        <v/>
      </c>
    </row>
    <row r="152" customFormat="1" s="94">
      <c r="A152" s="44" t="n"/>
      <c r="B152" s="85" t="n">
        <v>36770</v>
      </c>
      <c r="C152" s="13">
        <f>((((VLOOKUP(B152,Database!$A:$AS,MATCH($C$1,Database!$A$1:$AS$1,),))))-(((VLOOKUP(EDATE(B152,-12),Database!$A:$AS,MATCH($C$1,Database!$A$1:$AS$1,),)))))/(((VLOOKUP(EDATE(B152,-12),Database!$A:$AS,MATCH($C$1,Database!$A$1:$AS$1,),))))</f>
        <v/>
      </c>
      <c r="D152" s="13">
        <f>((((VLOOKUP(B152,Database!$A:$AS,MATCH($D$1,Database!$A$1:$AS$1,),))))-(((VLOOKUP(EDATE(B152,-12),Database!$A:$AS,MATCH($D$1,Database!$A$1:$AS$1,),)))))/(((VLOOKUP(EDATE(B152,-12),Database!$A:$AS,MATCH($D$1,Database!$A$1:$AS$1,),))))</f>
        <v/>
      </c>
      <c r="E152" s="13">
        <f>((((VLOOKUP(B152,Database!$A:$AS,MATCH($E$1,Database!$A$1:$AS$1,),))))-(((VLOOKUP(EDATE(B152,-12),Database!$A:$AS,MATCH($E$1,Database!$A$1:$AS$1,),)))))/(((VLOOKUP(EDATE(B152,-12),Database!$A:$AS,MATCH($E$1,Database!$A$1:$AS$1,),))))</f>
        <v/>
      </c>
      <c r="F152" s="13">
        <f>((((VLOOKUP(B152,Database!$A:$AS,MATCH($F$1,Database!$A$1:$AS$1,),))))-(((VLOOKUP(EDATE(B152,-12),Database!$A:$AS,MATCH($F$1,Database!$A$1:$AS$1,),)))))/(((VLOOKUP(EDATE(B152,-12),Database!$A:$AS,MATCH($F$1,Database!$A$1:$AS$1,),))))</f>
        <v/>
      </c>
      <c r="G152" s="13">
        <f>((((VLOOKUP(B152,Database!$A:$AS,MATCH($G$1,Database!$A$1:$AS$1,),))))-(((VLOOKUP(EDATE(B152,-12),Database!$A:$AS,MATCH($G$1,Database!$A$1:$AS$1,),)))))/(((VLOOKUP(EDATE(B152,-12),Database!$A:$AS,MATCH($G$1,Database!$A$1:$AS$1,),))))</f>
        <v/>
      </c>
      <c r="H152" s="13">
        <f>((((VLOOKUP(B152,Database!$A:$AS,MATCH($H$1,Database!$A$1:$AS$1,),))))-(((VLOOKUP(EDATE(B152,-12),Database!$A:$AS,MATCH($H$1,Database!$A$1:$AS$1,),)))))/(((VLOOKUP(EDATE(B152,-12),Database!$A:$AS,MATCH($H$1,Database!$A$1:$AS$1,),))))</f>
        <v/>
      </c>
      <c r="I152" s="13">
        <f>((((VLOOKUP(B152,Database!$A:$AS,MATCH($I$1,Database!$A$1:$AS$1,),))))-(((VLOOKUP(EDATE(B152,-12),Database!$A:$AS,MATCH($I$1,Database!$A$1:$AS$1,),)))))/(((VLOOKUP(EDATE(B152,-12),Database!$A:$AS,MATCH($I$1,Database!$A$1:$AS$1,),))))</f>
        <v/>
      </c>
      <c r="J152" s="13">
        <f>((((VLOOKUP(B152,Database!$A:$AS,MATCH($J$1,Database!$A$1:$AS$1,),))))-(((VLOOKUP(EDATE(B152,-12),Database!$A:$AS,MATCH($J$1,Database!$A$1:$AS$1,),)))))/(((VLOOKUP(EDATE(B152,-12),Database!$A:$AS,MATCH($J$1,Database!$A$1:$AS$1,),))))</f>
        <v/>
      </c>
      <c r="K152" s="13">
        <f>((((VLOOKUP(B152,Database!$A:$AS,MATCH($K$1,Database!$A$1:$AS$1,),))))-(((VLOOKUP(EDATE(B152,-12),Database!$A:$AS,MATCH($K$1,Database!$A$1:$AS$1,),)))))/(((VLOOKUP(EDATE(B152,-12),Database!$A:$AS,MATCH($K$1,Database!$A$1:$AS$1,),))))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((((VLOOKUP(B152,Database!$A:$AS,MATCH($O$1,Database!$A$1:$AS$1,),))))-(((VLOOKUP(EDATE(B152,-12),Database!$A:$AS,MATCH($O$1,Database!$A$1:$AS$1,),)))))/(((VLOOKUP(EDATE(B152,-12),Database!$A:$AS,MATCH($O$1,Database!$A$1:$AS$1,),))))</f>
        <v/>
      </c>
      <c r="P152" s="13">
        <f>((((VLOOKUP(B152,Database!$A:$AS,MATCH($P$1,Database!$A$1:$AS$1,),))))-(((VLOOKUP(EDATE(B152,-12),Database!$A:$AS,MATCH($P$1,Database!$A$1:$AS$1,),)))))/(((VLOOKUP(EDATE(B152,-12),Database!$A:$AS,MATCH($P$1,Database!$A$1:$AS$1,),))))</f>
        <v/>
      </c>
      <c r="Q152" s="13">
        <f>((((VLOOKUP(B152,Database!$A:$AS,MATCH($Q$1,Database!$A$1:$AS$1,),))))-(((VLOOKUP(EDATE(B152,-12),Database!$A:$AS,MATCH($Q$1,Database!$A$1:$AS$1,),)))))/(((VLOOKUP(EDATE(B152,-12),Database!$A:$AS,MATCH($Q$1,Database!$A$1:$AS$1,),))))</f>
        <v/>
      </c>
      <c r="R152" s="13">
        <f>((((VLOOKUP(B152,Database!$A:$AS,MATCH($R$1,Database!$A$1:$AS$1,),))))-(((VLOOKUP(EDATE(B152,-12),Database!$A:$AS,MATCH($R$1,Database!$A$1:$AS$1,),)))))/(((VLOOKUP(EDATE(B152,-12),Database!$A:$AS,MATCH($R$1,Database!$A$1:$AS$1,),))))</f>
        <v/>
      </c>
      <c r="S152" s="13">
        <f>((((VLOOKUP(B152,Database!$A:$AS,MATCH($S$1,Database!$A$1:$AS$1,),))))-(((VLOOKUP(EDATE(B152,-12),Database!$A:$AS,MATCH($S$1,Database!$A$1:$AS$1,),)))))/(((VLOOKUP(EDATE(B152,-12),Database!$A:$AS,MATCH($S$1,Database!$A$1:$AS$1,),))))</f>
        <v/>
      </c>
      <c r="T152" s="13">
        <f>((((VLOOKUP(B152,Database!$A:$AS,MATCH($T$1,Database!$A$1:$AS$1,),))))-(((VLOOKUP(EDATE(B152,-12),Database!$A:$AS,MATCH($T$1,Database!$A$1:$AS$1,),)))))/(((VLOOKUP(EDATE(B152,-12),Database!$A:$AS,MATCH($T$1,Database!$A$1:$AS$1,),))))</f>
        <v/>
      </c>
      <c r="U152" s="13">
        <f>((((VLOOKUP(B152,Database!$A:$AS,MATCH($U$1,Database!$A$1:$AS$1,),))))-(((VLOOKUP(EDATE(B152,-12),Database!$A:$AS,MATCH($U$1,Database!$A$1:$AS$1,),)))))/(((VLOOKUP(EDATE(B152,-12),Database!$A:$AS,MATCH($U$1,Database!$A$1:$AS$1,),))))</f>
        <v/>
      </c>
      <c r="V152" s="13">
        <f>((((VLOOKUP(B152,Database!$A:$AS,MATCH($V$1,Database!$A$1:$AS$1,),))))-(((VLOOKUP(EDATE(B152,-12),Database!$A:$AS,MATCH($V$1,Database!$A$1:$AS$1,),)))))/(((VLOOKUP(EDATE(B152,-12),Database!$A:$AS,MATCH($V$1,Database!$A$1:$AS$1,),))))</f>
        <v/>
      </c>
    </row>
    <row r="153" customFormat="1" s="94">
      <c r="A153" s="44" t="n"/>
      <c r="B153" s="85" t="n">
        <v>36800</v>
      </c>
      <c r="C153" s="13">
        <f>((((VLOOKUP(B153,Database!$A:$AS,MATCH($C$1,Database!$A$1:$AS$1,),))))-(((VLOOKUP(EDATE(B153,-12),Database!$A:$AS,MATCH($C$1,Database!$A$1:$AS$1,),)))))/(((VLOOKUP(EDATE(B153,-12),Database!$A:$AS,MATCH($C$1,Database!$A$1:$AS$1,),))))</f>
        <v/>
      </c>
      <c r="D153" s="13">
        <f>((((VLOOKUP(B153,Database!$A:$AS,MATCH($D$1,Database!$A$1:$AS$1,),))))-(((VLOOKUP(EDATE(B153,-12),Database!$A:$AS,MATCH($D$1,Database!$A$1:$AS$1,),)))))/(((VLOOKUP(EDATE(B153,-12),Database!$A:$AS,MATCH($D$1,Database!$A$1:$AS$1,),))))</f>
        <v/>
      </c>
      <c r="E153" s="13">
        <f>((((VLOOKUP(B153,Database!$A:$AS,MATCH($E$1,Database!$A$1:$AS$1,),))))-(((VLOOKUP(EDATE(B153,-12),Database!$A:$AS,MATCH($E$1,Database!$A$1:$AS$1,),)))))/(((VLOOKUP(EDATE(B153,-12),Database!$A:$AS,MATCH($E$1,Database!$A$1:$AS$1,),))))</f>
        <v/>
      </c>
      <c r="F153" s="13">
        <f>((((VLOOKUP(B153,Database!$A:$AS,MATCH($F$1,Database!$A$1:$AS$1,),))))-(((VLOOKUP(EDATE(B153,-12),Database!$A:$AS,MATCH($F$1,Database!$A$1:$AS$1,),)))))/(((VLOOKUP(EDATE(B153,-12),Database!$A:$AS,MATCH($F$1,Database!$A$1:$AS$1,),))))</f>
        <v/>
      </c>
      <c r="G153" s="13">
        <f>((((VLOOKUP(B153,Database!$A:$AS,MATCH($G$1,Database!$A$1:$AS$1,),))))-(((VLOOKUP(EDATE(B153,-12),Database!$A:$AS,MATCH($G$1,Database!$A$1:$AS$1,),)))))/(((VLOOKUP(EDATE(B153,-12),Database!$A:$AS,MATCH($G$1,Database!$A$1:$AS$1,),))))</f>
        <v/>
      </c>
      <c r="H153" s="13">
        <f>((((VLOOKUP(B153,Database!$A:$AS,MATCH($H$1,Database!$A$1:$AS$1,),))))-(((VLOOKUP(EDATE(B153,-12),Database!$A:$AS,MATCH($H$1,Database!$A$1:$AS$1,),)))))/(((VLOOKUP(EDATE(B153,-12),Database!$A:$AS,MATCH($H$1,Database!$A$1:$AS$1,),))))</f>
        <v/>
      </c>
      <c r="I153" s="13">
        <f>((((VLOOKUP(B153,Database!$A:$AS,MATCH($I$1,Database!$A$1:$AS$1,),))))-(((VLOOKUP(EDATE(B153,-12),Database!$A:$AS,MATCH($I$1,Database!$A$1:$AS$1,),)))))/(((VLOOKUP(EDATE(B153,-12),Database!$A:$AS,MATCH($I$1,Database!$A$1:$AS$1,),))))</f>
        <v/>
      </c>
      <c r="J153" s="13">
        <f>((((VLOOKUP(B153,Database!$A:$AS,MATCH($J$1,Database!$A$1:$AS$1,),))))-(((VLOOKUP(EDATE(B153,-12),Database!$A:$AS,MATCH($J$1,Database!$A$1:$AS$1,),)))))/(((VLOOKUP(EDATE(B153,-12),Database!$A:$AS,MATCH($J$1,Database!$A$1:$AS$1,),))))</f>
        <v/>
      </c>
      <c r="K153" s="13">
        <f>((((VLOOKUP(B153,Database!$A:$AS,MATCH($K$1,Database!$A$1:$AS$1,),))))-(((VLOOKUP(EDATE(B153,-12),Database!$A:$AS,MATCH($K$1,Database!$A$1:$AS$1,),)))))/(((VLOOKUP(EDATE(B153,-12),Database!$A:$AS,MATCH($K$1,Database!$A$1:$AS$1,),))))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((((VLOOKUP(B153,Database!$A:$AS,MATCH($O$1,Database!$A$1:$AS$1,),))))-(((VLOOKUP(EDATE(B153,-12),Database!$A:$AS,MATCH($O$1,Database!$A$1:$AS$1,),)))))/(((VLOOKUP(EDATE(B153,-12),Database!$A:$AS,MATCH($O$1,Database!$A$1:$AS$1,),))))</f>
        <v/>
      </c>
      <c r="P153" s="13">
        <f>((((VLOOKUP(B153,Database!$A:$AS,MATCH($P$1,Database!$A$1:$AS$1,),))))-(((VLOOKUP(EDATE(B153,-12),Database!$A:$AS,MATCH($P$1,Database!$A$1:$AS$1,),)))))/(((VLOOKUP(EDATE(B153,-12),Database!$A:$AS,MATCH($P$1,Database!$A$1:$AS$1,),))))</f>
        <v/>
      </c>
      <c r="Q153" s="13">
        <f>((((VLOOKUP(B153,Database!$A:$AS,MATCH($Q$1,Database!$A$1:$AS$1,),))))-(((VLOOKUP(EDATE(B153,-12),Database!$A:$AS,MATCH($Q$1,Database!$A$1:$AS$1,),)))))/(((VLOOKUP(EDATE(B153,-12),Database!$A:$AS,MATCH($Q$1,Database!$A$1:$AS$1,),))))</f>
        <v/>
      </c>
      <c r="R153" s="13">
        <f>((((VLOOKUP(B153,Database!$A:$AS,MATCH($R$1,Database!$A$1:$AS$1,),))))-(((VLOOKUP(EDATE(B153,-12),Database!$A:$AS,MATCH($R$1,Database!$A$1:$AS$1,),)))))/(((VLOOKUP(EDATE(B153,-12),Database!$A:$AS,MATCH($R$1,Database!$A$1:$AS$1,),))))</f>
        <v/>
      </c>
      <c r="S153" s="13">
        <f>((((VLOOKUP(B153,Database!$A:$AS,MATCH($S$1,Database!$A$1:$AS$1,),))))-(((VLOOKUP(EDATE(B153,-12),Database!$A:$AS,MATCH($S$1,Database!$A$1:$AS$1,),)))))/(((VLOOKUP(EDATE(B153,-12),Database!$A:$AS,MATCH($S$1,Database!$A$1:$AS$1,),))))</f>
        <v/>
      </c>
      <c r="T153" s="13">
        <f>((((VLOOKUP(B153,Database!$A:$AS,MATCH($T$1,Database!$A$1:$AS$1,),))))-(((VLOOKUP(EDATE(B153,-12),Database!$A:$AS,MATCH($T$1,Database!$A$1:$AS$1,),)))))/(((VLOOKUP(EDATE(B153,-12),Database!$A:$AS,MATCH($T$1,Database!$A$1:$AS$1,),))))</f>
        <v/>
      </c>
      <c r="U153" s="13">
        <f>((((VLOOKUP(B153,Database!$A:$AS,MATCH($U$1,Database!$A$1:$AS$1,),))))-(((VLOOKUP(EDATE(B153,-12),Database!$A:$AS,MATCH($U$1,Database!$A$1:$AS$1,),)))))/(((VLOOKUP(EDATE(B153,-12),Database!$A:$AS,MATCH($U$1,Database!$A$1:$AS$1,),))))</f>
        <v/>
      </c>
      <c r="V153" s="13">
        <f>((((VLOOKUP(B153,Database!$A:$AS,MATCH($V$1,Database!$A$1:$AS$1,),))))-(((VLOOKUP(EDATE(B153,-12),Database!$A:$AS,MATCH($V$1,Database!$A$1:$AS$1,),)))))/(((VLOOKUP(EDATE(B153,-12),Database!$A:$AS,MATCH($V$1,Database!$A$1:$AS$1,),))))</f>
        <v/>
      </c>
    </row>
    <row r="154" customFormat="1" s="94">
      <c r="A154" s="44" t="n"/>
      <c r="B154" s="85" t="n">
        <v>36831</v>
      </c>
      <c r="C154" s="13">
        <f>((((VLOOKUP(B154,Database!$A:$AS,MATCH($C$1,Database!$A$1:$AS$1,),))))-(((VLOOKUP(EDATE(B154,-12),Database!$A:$AS,MATCH($C$1,Database!$A$1:$AS$1,),)))))/(((VLOOKUP(EDATE(B154,-12),Database!$A:$AS,MATCH($C$1,Database!$A$1:$AS$1,),))))</f>
        <v/>
      </c>
      <c r="D154" s="13">
        <f>((((VLOOKUP(B154,Database!$A:$AS,MATCH($D$1,Database!$A$1:$AS$1,),))))-(((VLOOKUP(EDATE(B154,-12),Database!$A:$AS,MATCH($D$1,Database!$A$1:$AS$1,),)))))/(((VLOOKUP(EDATE(B154,-12),Database!$A:$AS,MATCH($D$1,Database!$A$1:$AS$1,),))))</f>
        <v/>
      </c>
      <c r="E154" s="13">
        <f>((((VLOOKUP(B154,Database!$A:$AS,MATCH($E$1,Database!$A$1:$AS$1,),))))-(((VLOOKUP(EDATE(B154,-12),Database!$A:$AS,MATCH($E$1,Database!$A$1:$AS$1,),)))))/(((VLOOKUP(EDATE(B154,-12),Database!$A:$AS,MATCH($E$1,Database!$A$1:$AS$1,),))))</f>
        <v/>
      </c>
      <c r="F154" s="13">
        <f>((((VLOOKUP(B154,Database!$A:$AS,MATCH($F$1,Database!$A$1:$AS$1,),))))-(((VLOOKUP(EDATE(B154,-12),Database!$A:$AS,MATCH($F$1,Database!$A$1:$AS$1,),)))))/(((VLOOKUP(EDATE(B154,-12),Database!$A:$AS,MATCH($F$1,Database!$A$1:$AS$1,),))))</f>
        <v/>
      </c>
      <c r="G154" s="13">
        <f>((((VLOOKUP(B154,Database!$A:$AS,MATCH($G$1,Database!$A$1:$AS$1,),))))-(((VLOOKUP(EDATE(B154,-12),Database!$A:$AS,MATCH($G$1,Database!$A$1:$AS$1,),)))))/(((VLOOKUP(EDATE(B154,-12),Database!$A:$AS,MATCH($G$1,Database!$A$1:$AS$1,),))))</f>
        <v/>
      </c>
      <c r="H154" s="13">
        <f>((((VLOOKUP(B154,Database!$A:$AS,MATCH($H$1,Database!$A$1:$AS$1,),))))-(((VLOOKUP(EDATE(B154,-12),Database!$A:$AS,MATCH($H$1,Database!$A$1:$AS$1,),)))))/(((VLOOKUP(EDATE(B154,-12),Database!$A:$AS,MATCH($H$1,Database!$A$1:$AS$1,),))))</f>
        <v/>
      </c>
      <c r="I154" s="13">
        <f>((((VLOOKUP(B154,Database!$A:$AS,MATCH($I$1,Database!$A$1:$AS$1,),))))-(((VLOOKUP(EDATE(B154,-12),Database!$A:$AS,MATCH($I$1,Database!$A$1:$AS$1,),)))))/(((VLOOKUP(EDATE(B154,-12),Database!$A:$AS,MATCH($I$1,Database!$A$1:$AS$1,),))))</f>
        <v/>
      </c>
      <c r="J154" s="13">
        <f>((((VLOOKUP(B154,Database!$A:$AS,MATCH($J$1,Database!$A$1:$AS$1,),))))-(((VLOOKUP(EDATE(B154,-12),Database!$A:$AS,MATCH($J$1,Database!$A$1:$AS$1,),)))))/(((VLOOKUP(EDATE(B154,-12),Database!$A:$AS,MATCH($J$1,Database!$A$1:$AS$1,),))))</f>
        <v/>
      </c>
      <c r="K154" s="13">
        <f>((((VLOOKUP(B154,Database!$A:$AS,MATCH($K$1,Database!$A$1:$AS$1,),))))-(((VLOOKUP(EDATE(B154,-12),Database!$A:$AS,MATCH($K$1,Database!$A$1:$AS$1,),)))))/(((VLOOKUP(EDATE(B154,-12),Database!$A:$AS,MATCH($K$1,Database!$A$1:$AS$1,),))))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((((VLOOKUP(B154,Database!$A:$AS,MATCH($O$1,Database!$A$1:$AS$1,),))))-(((VLOOKUP(EDATE(B154,-12),Database!$A:$AS,MATCH($O$1,Database!$A$1:$AS$1,),)))))/(((VLOOKUP(EDATE(B154,-12),Database!$A:$AS,MATCH($O$1,Database!$A$1:$AS$1,),))))</f>
        <v/>
      </c>
      <c r="P154" s="13">
        <f>((((VLOOKUP(B154,Database!$A:$AS,MATCH($P$1,Database!$A$1:$AS$1,),))))-(((VLOOKUP(EDATE(B154,-12),Database!$A:$AS,MATCH($P$1,Database!$A$1:$AS$1,),)))))/(((VLOOKUP(EDATE(B154,-12),Database!$A:$AS,MATCH($P$1,Database!$A$1:$AS$1,),))))</f>
        <v/>
      </c>
      <c r="Q154" s="13">
        <f>((((VLOOKUP(B154,Database!$A:$AS,MATCH($Q$1,Database!$A$1:$AS$1,),))))-(((VLOOKUP(EDATE(B154,-12),Database!$A:$AS,MATCH($Q$1,Database!$A$1:$AS$1,),)))))/(((VLOOKUP(EDATE(B154,-12),Database!$A:$AS,MATCH($Q$1,Database!$A$1:$AS$1,),))))</f>
        <v/>
      </c>
      <c r="R154" s="13">
        <f>((((VLOOKUP(B154,Database!$A:$AS,MATCH($R$1,Database!$A$1:$AS$1,),))))-(((VLOOKUP(EDATE(B154,-12),Database!$A:$AS,MATCH($R$1,Database!$A$1:$AS$1,),)))))/(((VLOOKUP(EDATE(B154,-12),Database!$A:$AS,MATCH($R$1,Database!$A$1:$AS$1,),))))</f>
        <v/>
      </c>
      <c r="S154" s="13">
        <f>((((VLOOKUP(B154,Database!$A:$AS,MATCH($S$1,Database!$A$1:$AS$1,),))))-(((VLOOKUP(EDATE(B154,-12),Database!$A:$AS,MATCH($S$1,Database!$A$1:$AS$1,),)))))/(((VLOOKUP(EDATE(B154,-12),Database!$A:$AS,MATCH($S$1,Database!$A$1:$AS$1,),))))</f>
        <v/>
      </c>
      <c r="T154" s="13">
        <f>((((VLOOKUP(B154,Database!$A:$AS,MATCH($T$1,Database!$A$1:$AS$1,),))))-(((VLOOKUP(EDATE(B154,-12),Database!$A:$AS,MATCH($T$1,Database!$A$1:$AS$1,),)))))/(((VLOOKUP(EDATE(B154,-12),Database!$A:$AS,MATCH($T$1,Database!$A$1:$AS$1,),))))</f>
        <v/>
      </c>
      <c r="U154" s="13">
        <f>((((VLOOKUP(B154,Database!$A:$AS,MATCH($U$1,Database!$A$1:$AS$1,),))))-(((VLOOKUP(EDATE(B154,-12),Database!$A:$AS,MATCH($U$1,Database!$A$1:$AS$1,),)))))/(((VLOOKUP(EDATE(B154,-12),Database!$A:$AS,MATCH($U$1,Database!$A$1:$AS$1,),))))</f>
        <v/>
      </c>
      <c r="V154" s="13">
        <f>((((VLOOKUP(B154,Database!$A:$AS,MATCH($V$1,Database!$A$1:$AS$1,),))))-(((VLOOKUP(EDATE(B154,-12),Database!$A:$AS,MATCH($V$1,Database!$A$1:$AS$1,),)))))/(((VLOOKUP(EDATE(B154,-12),Database!$A:$AS,MATCH($V$1,Database!$A$1:$AS$1,),))))</f>
        <v/>
      </c>
    </row>
    <row r="155" customFormat="1" s="94">
      <c r="A155" s="44" t="n"/>
      <c r="B155" s="85" t="n">
        <v>36861</v>
      </c>
      <c r="C155" s="13">
        <f>((((VLOOKUP(B155,Database!$A:$AS,MATCH($C$1,Database!$A$1:$AS$1,),))))-(((VLOOKUP(EDATE(B155,-12),Database!$A:$AS,MATCH($C$1,Database!$A$1:$AS$1,),)))))/(((VLOOKUP(EDATE(B155,-12),Database!$A:$AS,MATCH($C$1,Database!$A$1:$AS$1,),))))</f>
        <v/>
      </c>
      <c r="D155" s="13">
        <f>((((VLOOKUP(B155,Database!$A:$AS,MATCH($D$1,Database!$A$1:$AS$1,),))))-(((VLOOKUP(EDATE(B155,-12),Database!$A:$AS,MATCH($D$1,Database!$A$1:$AS$1,),)))))/(((VLOOKUP(EDATE(B155,-12),Database!$A:$AS,MATCH($D$1,Database!$A$1:$AS$1,),))))</f>
        <v/>
      </c>
      <c r="E155" s="13">
        <f>((((VLOOKUP(B155,Database!$A:$AS,MATCH($E$1,Database!$A$1:$AS$1,),))))-(((VLOOKUP(EDATE(B155,-12),Database!$A:$AS,MATCH($E$1,Database!$A$1:$AS$1,),)))))/(((VLOOKUP(EDATE(B155,-12),Database!$A:$AS,MATCH($E$1,Database!$A$1:$AS$1,),))))</f>
        <v/>
      </c>
      <c r="F155" s="13">
        <f>((((VLOOKUP(B155,Database!$A:$AS,MATCH($F$1,Database!$A$1:$AS$1,),))))-(((VLOOKUP(EDATE(B155,-12),Database!$A:$AS,MATCH($F$1,Database!$A$1:$AS$1,),)))))/(((VLOOKUP(EDATE(B155,-12),Database!$A:$AS,MATCH($F$1,Database!$A$1:$AS$1,),))))</f>
        <v/>
      </c>
      <c r="G155" s="13">
        <f>((((VLOOKUP(B155,Database!$A:$AS,MATCH($G$1,Database!$A$1:$AS$1,),))))-(((VLOOKUP(EDATE(B155,-12),Database!$A:$AS,MATCH($G$1,Database!$A$1:$AS$1,),)))))/(((VLOOKUP(EDATE(B155,-12),Database!$A:$AS,MATCH($G$1,Database!$A$1:$AS$1,),))))</f>
        <v/>
      </c>
      <c r="H155" s="13">
        <f>((((VLOOKUP(B155,Database!$A:$AS,MATCH($H$1,Database!$A$1:$AS$1,),))))-(((VLOOKUP(EDATE(B155,-12),Database!$A:$AS,MATCH($H$1,Database!$A$1:$AS$1,),)))))/(((VLOOKUP(EDATE(B155,-12),Database!$A:$AS,MATCH($H$1,Database!$A$1:$AS$1,),))))</f>
        <v/>
      </c>
      <c r="I155" s="13">
        <f>((((VLOOKUP(B155,Database!$A:$AS,MATCH($I$1,Database!$A$1:$AS$1,),))))-(((VLOOKUP(EDATE(B155,-12),Database!$A:$AS,MATCH($I$1,Database!$A$1:$AS$1,),)))))/(((VLOOKUP(EDATE(B155,-12),Database!$A:$AS,MATCH($I$1,Database!$A$1:$AS$1,),))))</f>
        <v/>
      </c>
      <c r="J155" s="13">
        <f>((((VLOOKUP(B155,Database!$A:$AS,MATCH($J$1,Database!$A$1:$AS$1,),))))-(((VLOOKUP(EDATE(B155,-12),Database!$A:$AS,MATCH($J$1,Database!$A$1:$AS$1,),)))))/(((VLOOKUP(EDATE(B155,-12),Database!$A:$AS,MATCH($J$1,Database!$A$1:$AS$1,),))))</f>
        <v/>
      </c>
      <c r="K155" s="13">
        <f>((((VLOOKUP(B155,Database!$A:$AS,MATCH($K$1,Database!$A$1:$AS$1,),))))-(((VLOOKUP(EDATE(B155,-12),Database!$A:$AS,MATCH($K$1,Database!$A$1:$AS$1,),)))))/(((VLOOKUP(EDATE(B155,-12),Database!$A:$AS,MATCH($K$1,Database!$A$1:$AS$1,),))))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((((VLOOKUP(B155,Database!$A:$AS,MATCH($O$1,Database!$A$1:$AS$1,),))))-(((VLOOKUP(EDATE(B155,-12),Database!$A:$AS,MATCH($O$1,Database!$A$1:$AS$1,),)))))/(((VLOOKUP(EDATE(B155,-12),Database!$A:$AS,MATCH($O$1,Database!$A$1:$AS$1,),))))</f>
        <v/>
      </c>
      <c r="P155" s="13">
        <f>((((VLOOKUP(B155,Database!$A:$AS,MATCH($P$1,Database!$A$1:$AS$1,),))))-(((VLOOKUP(EDATE(B155,-12),Database!$A:$AS,MATCH($P$1,Database!$A$1:$AS$1,),)))))/(((VLOOKUP(EDATE(B155,-12),Database!$A:$AS,MATCH($P$1,Database!$A$1:$AS$1,),))))</f>
        <v/>
      </c>
      <c r="Q155" s="13">
        <f>((((VLOOKUP(B155,Database!$A:$AS,MATCH($Q$1,Database!$A$1:$AS$1,),))))-(((VLOOKUP(EDATE(B155,-12),Database!$A:$AS,MATCH($Q$1,Database!$A$1:$AS$1,),)))))/(((VLOOKUP(EDATE(B155,-12),Database!$A:$AS,MATCH($Q$1,Database!$A$1:$AS$1,),))))</f>
        <v/>
      </c>
      <c r="R155" s="13">
        <f>((((VLOOKUP(B155,Database!$A:$AS,MATCH($R$1,Database!$A$1:$AS$1,),))))-(((VLOOKUP(EDATE(B155,-12),Database!$A:$AS,MATCH($R$1,Database!$A$1:$AS$1,),)))))/(((VLOOKUP(EDATE(B155,-12),Database!$A:$AS,MATCH($R$1,Database!$A$1:$AS$1,),))))</f>
        <v/>
      </c>
      <c r="S155" s="13">
        <f>((((VLOOKUP(B155,Database!$A:$AS,MATCH($S$1,Database!$A$1:$AS$1,),))))-(((VLOOKUP(EDATE(B155,-12),Database!$A:$AS,MATCH($S$1,Database!$A$1:$AS$1,),)))))/(((VLOOKUP(EDATE(B155,-12),Database!$A:$AS,MATCH($S$1,Database!$A$1:$AS$1,),))))</f>
        <v/>
      </c>
      <c r="T155" s="13">
        <f>((((VLOOKUP(B155,Database!$A:$AS,MATCH($T$1,Database!$A$1:$AS$1,),))))-(((VLOOKUP(EDATE(B155,-12),Database!$A:$AS,MATCH($T$1,Database!$A$1:$AS$1,),)))))/(((VLOOKUP(EDATE(B155,-12),Database!$A:$AS,MATCH($T$1,Database!$A$1:$AS$1,),))))</f>
        <v/>
      </c>
      <c r="U155" s="13">
        <f>((((VLOOKUP(B155,Database!$A:$AS,MATCH($U$1,Database!$A$1:$AS$1,),))))-(((VLOOKUP(EDATE(B155,-12),Database!$A:$AS,MATCH($U$1,Database!$A$1:$AS$1,),)))))/(((VLOOKUP(EDATE(B155,-12),Database!$A:$AS,MATCH($U$1,Database!$A$1:$AS$1,),))))</f>
        <v/>
      </c>
      <c r="V155" s="13">
        <f>((((VLOOKUP(B155,Database!$A:$AS,MATCH($V$1,Database!$A$1:$AS$1,),))))-(((VLOOKUP(EDATE(B155,-12),Database!$A:$AS,MATCH($V$1,Database!$A$1:$AS$1,),)))))/(((VLOOKUP(EDATE(B155,-12),Database!$A:$AS,MATCH($V$1,Database!$A$1:$AS$1,),))))</f>
        <v/>
      </c>
    </row>
    <row r="156" customFormat="1" s="94">
      <c r="A156" s="44" t="n"/>
      <c r="B156" s="85" t="n">
        <v>36892</v>
      </c>
      <c r="C156" s="13">
        <f>((((VLOOKUP(B156,Database!$A:$AS,MATCH($C$1,Database!$A$1:$AS$1,),))))-(((VLOOKUP(EDATE(B156,-12),Database!$A:$AS,MATCH($C$1,Database!$A$1:$AS$1,),)))))/(((VLOOKUP(EDATE(B156,-12),Database!$A:$AS,MATCH($C$1,Database!$A$1:$AS$1,),))))</f>
        <v/>
      </c>
      <c r="D156" s="13">
        <f>((((VLOOKUP(B156,Database!$A:$AS,MATCH($D$1,Database!$A$1:$AS$1,),))))-(((VLOOKUP(EDATE(B156,-12),Database!$A:$AS,MATCH($D$1,Database!$A$1:$AS$1,),)))))/(((VLOOKUP(EDATE(B156,-12),Database!$A:$AS,MATCH($D$1,Database!$A$1:$AS$1,),))))</f>
        <v/>
      </c>
      <c r="E156" s="13">
        <f>((((VLOOKUP(B156,Database!$A:$AS,MATCH($E$1,Database!$A$1:$AS$1,),))))-(((VLOOKUP(EDATE(B156,-12),Database!$A:$AS,MATCH($E$1,Database!$A$1:$AS$1,),)))))/(((VLOOKUP(EDATE(B156,-12),Database!$A:$AS,MATCH($E$1,Database!$A$1:$AS$1,),))))</f>
        <v/>
      </c>
      <c r="F156" s="13">
        <f>((((VLOOKUP(B156,Database!$A:$AS,MATCH($F$1,Database!$A$1:$AS$1,),))))-(((VLOOKUP(EDATE(B156,-12),Database!$A:$AS,MATCH($F$1,Database!$A$1:$AS$1,),)))))/(((VLOOKUP(EDATE(B156,-12),Database!$A:$AS,MATCH($F$1,Database!$A$1:$AS$1,),))))</f>
        <v/>
      </c>
      <c r="G156" s="13">
        <f>((((VLOOKUP(B156,Database!$A:$AS,MATCH($G$1,Database!$A$1:$AS$1,),))))-(((VLOOKUP(EDATE(B156,-12),Database!$A:$AS,MATCH($G$1,Database!$A$1:$AS$1,),)))))/(((VLOOKUP(EDATE(B156,-12),Database!$A:$AS,MATCH($G$1,Database!$A$1:$AS$1,),))))</f>
        <v/>
      </c>
      <c r="H156" s="13">
        <f>((((VLOOKUP(B156,Database!$A:$AS,MATCH($H$1,Database!$A$1:$AS$1,),))))-(((VLOOKUP(EDATE(B156,-12),Database!$A:$AS,MATCH($H$1,Database!$A$1:$AS$1,),)))))/(((VLOOKUP(EDATE(B156,-12),Database!$A:$AS,MATCH($H$1,Database!$A$1:$AS$1,),))))</f>
        <v/>
      </c>
      <c r="I156" s="13">
        <f>((((VLOOKUP(B156,Database!$A:$AS,MATCH($I$1,Database!$A$1:$AS$1,),))))-(((VLOOKUP(EDATE(B156,-12),Database!$A:$AS,MATCH($I$1,Database!$A$1:$AS$1,),)))))/(((VLOOKUP(EDATE(B156,-12),Database!$A:$AS,MATCH($I$1,Database!$A$1:$AS$1,),))))</f>
        <v/>
      </c>
      <c r="J156" s="13">
        <f>((((VLOOKUP(B156,Database!$A:$AS,MATCH($J$1,Database!$A$1:$AS$1,),))))-(((VLOOKUP(EDATE(B156,-12),Database!$A:$AS,MATCH($J$1,Database!$A$1:$AS$1,),)))))/(((VLOOKUP(EDATE(B156,-12),Database!$A:$AS,MATCH($J$1,Database!$A$1:$AS$1,),))))</f>
        <v/>
      </c>
      <c r="K156" s="13">
        <f>((((VLOOKUP(B156,Database!$A:$AS,MATCH($K$1,Database!$A$1:$AS$1,),))))-(((VLOOKUP(EDATE(B156,-12),Database!$A:$AS,MATCH($K$1,Database!$A$1:$AS$1,),)))))/(((VLOOKUP(EDATE(B156,-12),Database!$A:$AS,MATCH($K$1,Database!$A$1:$AS$1,),))))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((((VLOOKUP(B156,Database!$A:$AS,MATCH($O$1,Database!$A$1:$AS$1,),))))-(((VLOOKUP(EDATE(B156,-12),Database!$A:$AS,MATCH($O$1,Database!$A$1:$AS$1,),)))))/(((VLOOKUP(EDATE(B156,-12),Database!$A:$AS,MATCH($O$1,Database!$A$1:$AS$1,),))))</f>
        <v/>
      </c>
      <c r="P156" s="13">
        <f>((((VLOOKUP(B156,Database!$A:$AS,MATCH($P$1,Database!$A$1:$AS$1,),))))-(((VLOOKUP(EDATE(B156,-12),Database!$A:$AS,MATCH($P$1,Database!$A$1:$AS$1,),)))))/(((VLOOKUP(EDATE(B156,-12),Database!$A:$AS,MATCH($P$1,Database!$A$1:$AS$1,),))))</f>
        <v/>
      </c>
      <c r="Q156" s="13">
        <f>((((VLOOKUP(B156,Database!$A:$AS,MATCH($Q$1,Database!$A$1:$AS$1,),))))-(((VLOOKUP(EDATE(B156,-12),Database!$A:$AS,MATCH($Q$1,Database!$A$1:$AS$1,),)))))/(((VLOOKUP(EDATE(B156,-12),Database!$A:$AS,MATCH($Q$1,Database!$A$1:$AS$1,),))))</f>
        <v/>
      </c>
      <c r="R156" s="13">
        <f>((((VLOOKUP(B156,Database!$A:$AS,MATCH($R$1,Database!$A$1:$AS$1,),))))-(((VLOOKUP(EDATE(B156,-12),Database!$A:$AS,MATCH($R$1,Database!$A$1:$AS$1,),)))))/(((VLOOKUP(EDATE(B156,-12),Database!$A:$AS,MATCH($R$1,Database!$A$1:$AS$1,),))))</f>
        <v/>
      </c>
      <c r="S156" s="13">
        <f>((((VLOOKUP(B156,Database!$A:$AS,MATCH($S$1,Database!$A$1:$AS$1,),))))-(((VLOOKUP(EDATE(B156,-12),Database!$A:$AS,MATCH($S$1,Database!$A$1:$AS$1,),)))))/(((VLOOKUP(EDATE(B156,-12),Database!$A:$AS,MATCH($S$1,Database!$A$1:$AS$1,),))))</f>
        <v/>
      </c>
      <c r="T156" s="13">
        <f>((((VLOOKUP(B156,Database!$A:$AS,MATCH($T$1,Database!$A$1:$AS$1,),))))-(((VLOOKUP(EDATE(B156,-12),Database!$A:$AS,MATCH($T$1,Database!$A$1:$AS$1,),)))))/(((VLOOKUP(EDATE(B156,-12),Database!$A:$AS,MATCH($T$1,Database!$A$1:$AS$1,),))))</f>
        <v/>
      </c>
      <c r="U156" s="13">
        <f>((((VLOOKUP(B156,Database!$A:$AS,MATCH($U$1,Database!$A$1:$AS$1,),))))-(((VLOOKUP(EDATE(B156,-12),Database!$A:$AS,MATCH($U$1,Database!$A$1:$AS$1,),)))))/(((VLOOKUP(EDATE(B156,-12),Database!$A:$AS,MATCH($U$1,Database!$A$1:$AS$1,),))))</f>
        <v/>
      </c>
      <c r="V156" s="13">
        <f>((((VLOOKUP(B156,Database!$A:$AS,MATCH($V$1,Database!$A$1:$AS$1,),))))-(((VLOOKUP(EDATE(B156,-12),Database!$A:$AS,MATCH($V$1,Database!$A$1:$AS$1,),)))))/(((VLOOKUP(EDATE(B156,-12),Database!$A:$AS,MATCH($V$1,Database!$A$1:$AS$1,),))))</f>
        <v/>
      </c>
    </row>
    <row r="157" customFormat="1" s="94">
      <c r="A157" s="44" t="n"/>
      <c r="B157" s="85" t="n">
        <v>36923</v>
      </c>
      <c r="C157" s="13">
        <f>((((VLOOKUP(B157,Database!$A:$AS,MATCH($C$1,Database!$A$1:$AS$1,),))))-(((VLOOKUP(EDATE(B157,-12),Database!$A:$AS,MATCH($C$1,Database!$A$1:$AS$1,),)))))/(((VLOOKUP(EDATE(B157,-12),Database!$A:$AS,MATCH($C$1,Database!$A$1:$AS$1,),))))</f>
        <v/>
      </c>
      <c r="D157" s="13">
        <f>((((VLOOKUP(B157,Database!$A:$AS,MATCH($D$1,Database!$A$1:$AS$1,),))))-(((VLOOKUP(EDATE(B157,-12),Database!$A:$AS,MATCH($D$1,Database!$A$1:$AS$1,),)))))/(((VLOOKUP(EDATE(B157,-12),Database!$A:$AS,MATCH($D$1,Database!$A$1:$AS$1,),))))</f>
        <v/>
      </c>
      <c r="E157" s="13">
        <f>((((VLOOKUP(B157,Database!$A:$AS,MATCH($E$1,Database!$A$1:$AS$1,),))))-(((VLOOKUP(EDATE(B157,-12),Database!$A:$AS,MATCH($E$1,Database!$A$1:$AS$1,),)))))/(((VLOOKUP(EDATE(B157,-12),Database!$A:$AS,MATCH($E$1,Database!$A$1:$AS$1,),))))</f>
        <v/>
      </c>
      <c r="F157" s="13">
        <f>((((VLOOKUP(B157,Database!$A:$AS,MATCH($F$1,Database!$A$1:$AS$1,),))))-(((VLOOKUP(EDATE(B157,-12),Database!$A:$AS,MATCH($F$1,Database!$A$1:$AS$1,),)))))/(((VLOOKUP(EDATE(B157,-12),Database!$A:$AS,MATCH($F$1,Database!$A$1:$AS$1,),))))</f>
        <v/>
      </c>
      <c r="G157" s="13">
        <f>((((VLOOKUP(B157,Database!$A:$AS,MATCH($G$1,Database!$A$1:$AS$1,),))))-(((VLOOKUP(EDATE(B157,-12),Database!$A:$AS,MATCH($G$1,Database!$A$1:$AS$1,),)))))/(((VLOOKUP(EDATE(B157,-12),Database!$A:$AS,MATCH($G$1,Database!$A$1:$AS$1,),))))</f>
        <v/>
      </c>
      <c r="H157" s="13">
        <f>((((VLOOKUP(B157,Database!$A:$AS,MATCH($H$1,Database!$A$1:$AS$1,),))))-(((VLOOKUP(EDATE(B157,-12),Database!$A:$AS,MATCH($H$1,Database!$A$1:$AS$1,),)))))/(((VLOOKUP(EDATE(B157,-12),Database!$A:$AS,MATCH($H$1,Database!$A$1:$AS$1,),))))</f>
        <v/>
      </c>
      <c r="I157" s="13">
        <f>((((VLOOKUP(B157,Database!$A:$AS,MATCH($I$1,Database!$A$1:$AS$1,),))))-(((VLOOKUP(EDATE(B157,-12),Database!$A:$AS,MATCH($I$1,Database!$A$1:$AS$1,),)))))/(((VLOOKUP(EDATE(B157,-12),Database!$A:$AS,MATCH($I$1,Database!$A$1:$AS$1,),))))</f>
        <v/>
      </c>
      <c r="J157" s="13">
        <f>((((VLOOKUP(B157,Database!$A:$AS,MATCH($J$1,Database!$A$1:$AS$1,),))))-(((VLOOKUP(EDATE(B157,-12),Database!$A:$AS,MATCH($J$1,Database!$A$1:$AS$1,),)))))/(((VLOOKUP(EDATE(B157,-12),Database!$A:$AS,MATCH($J$1,Database!$A$1:$AS$1,),))))</f>
        <v/>
      </c>
      <c r="K157" s="13">
        <f>((((VLOOKUP(B157,Database!$A:$AS,MATCH($K$1,Database!$A$1:$AS$1,),))))-(((VLOOKUP(EDATE(B157,-12),Database!$A:$AS,MATCH($K$1,Database!$A$1:$AS$1,),)))))/(((VLOOKUP(EDATE(B157,-12),Database!$A:$AS,MATCH($K$1,Database!$A$1:$AS$1,),))))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((((VLOOKUP(B157,Database!$A:$AS,MATCH($O$1,Database!$A$1:$AS$1,),))))-(((VLOOKUP(EDATE(B157,-12),Database!$A:$AS,MATCH($O$1,Database!$A$1:$AS$1,),)))))/(((VLOOKUP(EDATE(B157,-12),Database!$A:$AS,MATCH($O$1,Database!$A$1:$AS$1,),))))</f>
        <v/>
      </c>
      <c r="P157" s="13">
        <f>((((VLOOKUP(B157,Database!$A:$AS,MATCH($P$1,Database!$A$1:$AS$1,),))))-(((VLOOKUP(EDATE(B157,-12),Database!$A:$AS,MATCH($P$1,Database!$A$1:$AS$1,),)))))/(((VLOOKUP(EDATE(B157,-12),Database!$A:$AS,MATCH($P$1,Database!$A$1:$AS$1,),))))</f>
        <v/>
      </c>
      <c r="Q157" s="13">
        <f>((((VLOOKUP(B157,Database!$A:$AS,MATCH($Q$1,Database!$A$1:$AS$1,),))))-(((VLOOKUP(EDATE(B157,-12),Database!$A:$AS,MATCH($Q$1,Database!$A$1:$AS$1,),)))))/(((VLOOKUP(EDATE(B157,-12),Database!$A:$AS,MATCH($Q$1,Database!$A$1:$AS$1,),))))</f>
        <v/>
      </c>
      <c r="R157" s="13">
        <f>((((VLOOKUP(B157,Database!$A:$AS,MATCH($R$1,Database!$A$1:$AS$1,),))))-(((VLOOKUP(EDATE(B157,-12),Database!$A:$AS,MATCH($R$1,Database!$A$1:$AS$1,),)))))/(((VLOOKUP(EDATE(B157,-12),Database!$A:$AS,MATCH($R$1,Database!$A$1:$AS$1,),))))</f>
        <v/>
      </c>
      <c r="S157" s="13">
        <f>((((VLOOKUP(B157,Database!$A:$AS,MATCH($S$1,Database!$A$1:$AS$1,),))))-(((VLOOKUP(EDATE(B157,-12),Database!$A:$AS,MATCH($S$1,Database!$A$1:$AS$1,),)))))/(((VLOOKUP(EDATE(B157,-12),Database!$A:$AS,MATCH($S$1,Database!$A$1:$AS$1,),))))</f>
        <v/>
      </c>
      <c r="T157" s="13">
        <f>((((VLOOKUP(B157,Database!$A:$AS,MATCH($T$1,Database!$A$1:$AS$1,),))))-(((VLOOKUP(EDATE(B157,-12),Database!$A:$AS,MATCH($T$1,Database!$A$1:$AS$1,),)))))/(((VLOOKUP(EDATE(B157,-12),Database!$A:$AS,MATCH($T$1,Database!$A$1:$AS$1,),))))</f>
        <v/>
      </c>
      <c r="U157" s="13">
        <f>((((VLOOKUP(B157,Database!$A:$AS,MATCH($U$1,Database!$A$1:$AS$1,),))))-(((VLOOKUP(EDATE(B157,-12),Database!$A:$AS,MATCH($U$1,Database!$A$1:$AS$1,),)))))/(((VLOOKUP(EDATE(B157,-12),Database!$A:$AS,MATCH($U$1,Database!$A$1:$AS$1,),))))</f>
        <v/>
      </c>
      <c r="V157" s="13">
        <f>((((VLOOKUP(B157,Database!$A:$AS,MATCH($V$1,Database!$A$1:$AS$1,),))))-(((VLOOKUP(EDATE(B157,-12),Database!$A:$AS,MATCH($V$1,Database!$A$1:$AS$1,),)))))/(((VLOOKUP(EDATE(B157,-12),Database!$A:$AS,MATCH($V$1,Database!$A$1:$AS$1,),))))</f>
        <v/>
      </c>
    </row>
    <row r="158" customFormat="1" s="94">
      <c r="A158" s="44" t="n"/>
      <c r="B158" s="85" t="n">
        <v>36951</v>
      </c>
      <c r="C158" s="13">
        <f>((((VLOOKUP(B158,Database!$A:$AS,MATCH($C$1,Database!$A$1:$AS$1,),))))-(((VLOOKUP(EDATE(B158,-12),Database!$A:$AS,MATCH($C$1,Database!$A$1:$AS$1,),)))))/(((VLOOKUP(EDATE(B158,-12),Database!$A:$AS,MATCH($C$1,Database!$A$1:$AS$1,),))))</f>
        <v/>
      </c>
      <c r="D158" s="13">
        <f>((((VLOOKUP(B158,Database!$A:$AS,MATCH($D$1,Database!$A$1:$AS$1,),))))-(((VLOOKUP(EDATE(B158,-12),Database!$A:$AS,MATCH($D$1,Database!$A$1:$AS$1,),)))))/(((VLOOKUP(EDATE(B158,-12),Database!$A:$AS,MATCH($D$1,Database!$A$1:$AS$1,),))))</f>
        <v/>
      </c>
      <c r="E158" s="13">
        <f>((((VLOOKUP(B158,Database!$A:$AS,MATCH($E$1,Database!$A$1:$AS$1,),))))-(((VLOOKUP(EDATE(B158,-12),Database!$A:$AS,MATCH($E$1,Database!$A$1:$AS$1,),)))))/(((VLOOKUP(EDATE(B158,-12),Database!$A:$AS,MATCH($E$1,Database!$A$1:$AS$1,),))))</f>
        <v/>
      </c>
      <c r="F158" s="13">
        <f>((((VLOOKUP(B158,Database!$A:$AS,MATCH($F$1,Database!$A$1:$AS$1,),))))-(((VLOOKUP(EDATE(B158,-12),Database!$A:$AS,MATCH($F$1,Database!$A$1:$AS$1,),)))))/(((VLOOKUP(EDATE(B158,-12),Database!$A:$AS,MATCH($F$1,Database!$A$1:$AS$1,),))))</f>
        <v/>
      </c>
      <c r="G158" s="13">
        <f>((((VLOOKUP(B158,Database!$A:$AS,MATCH($G$1,Database!$A$1:$AS$1,),))))-(((VLOOKUP(EDATE(B158,-12),Database!$A:$AS,MATCH($G$1,Database!$A$1:$AS$1,),)))))/(((VLOOKUP(EDATE(B158,-12),Database!$A:$AS,MATCH($G$1,Database!$A$1:$AS$1,),))))</f>
        <v/>
      </c>
      <c r="H158" s="13">
        <f>((((VLOOKUP(B158,Database!$A:$AS,MATCH($H$1,Database!$A$1:$AS$1,),))))-(((VLOOKUP(EDATE(B158,-12),Database!$A:$AS,MATCH($H$1,Database!$A$1:$AS$1,),)))))/(((VLOOKUP(EDATE(B158,-12),Database!$A:$AS,MATCH($H$1,Database!$A$1:$AS$1,),))))</f>
        <v/>
      </c>
      <c r="I158" s="13">
        <f>((((VLOOKUP(B158,Database!$A:$AS,MATCH($I$1,Database!$A$1:$AS$1,),))))-(((VLOOKUP(EDATE(B158,-12),Database!$A:$AS,MATCH($I$1,Database!$A$1:$AS$1,),)))))/(((VLOOKUP(EDATE(B158,-12),Database!$A:$AS,MATCH($I$1,Database!$A$1:$AS$1,),))))</f>
        <v/>
      </c>
      <c r="J158" s="13">
        <f>((((VLOOKUP(B158,Database!$A:$AS,MATCH($J$1,Database!$A$1:$AS$1,),))))-(((VLOOKUP(EDATE(B158,-12),Database!$A:$AS,MATCH($J$1,Database!$A$1:$AS$1,),)))))/(((VLOOKUP(EDATE(B158,-12),Database!$A:$AS,MATCH($J$1,Database!$A$1:$AS$1,),))))</f>
        <v/>
      </c>
      <c r="K158" s="13">
        <f>((((VLOOKUP(B158,Database!$A:$AS,MATCH($K$1,Database!$A$1:$AS$1,),))))-(((VLOOKUP(EDATE(B158,-12),Database!$A:$AS,MATCH($K$1,Database!$A$1:$AS$1,),)))))/(((VLOOKUP(EDATE(B158,-12),Database!$A:$AS,MATCH($K$1,Database!$A$1:$AS$1,),))))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((((VLOOKUP(B158,Database!$A:$AS,MATCH($O$1,Database!$A$1:$AS$1,),))))-(((VLOOKUP(EDATE(B158,-12),Database!$A:$AS,MATCH($O$1,Database!$A$1:$AS$1,),)))))/(((VLOOKUP(EDATE(B158,-12),Database!$A:$AS,MATCH($O$1,Database!$A$1:$AS$1,),))))</f>
        <v/>
      </c>
      <c r="P158" s="13">
        <f>((((VLOOKUP(B158,Database!$A:$AS,MATCH($P$1,Database!$A$1:$AS$1,),))))-(((VLOOKUP(EDATE(B158,-12),Database!$A:$AS,MATCH($P$1,Database!$A$1:$AS$1,),)))))/(((VLOOKUP(EDATE(B158,-12),Database!$A:$AS,MATCH($P$1,Database!$A$1:$AS$1,),))))</f>
        <v/>
      </c>
      <c r="Q158" s="13">
        <f>((((VLOOKUP(B158,Database!$A:$AS,MATCH($Q$1,Database!$A$1:$AS$1,),))))-(((VLOOKUP(EDATE(B158,-12),Database!$A:$AS,MATCH($Q$1,Database!$A$1:$AS$1,),)))))/(((VLOOKUP(EDATE(B158,-12),Database!$A:$AS,MATCH($Q$1,Database!$A$1:$AS$1,),))))</f>
        <v/>
      </c>
      <c r="R158" s="13">
        <f>((((VLOOKUP(B158,Database!$A:$AS,MATCH($R$1,Database!$A$1:$AS$1,),))))-(((VLOOKUP(EDATE(B158,-12),Database!$A:$AS,MATCH($R$1,Database!$A$1:$AS$1,),)))))/(((VLOOKUP(EDATE(B158,-12),Database!$A:$AS,MATCH($R$1,Database!$A$1:$AS$1,),))))</f>
        <v/>
      </c>
      <c r="S158" s="13">
        <f>((((VLOOKUP(B158,Database!$A:$AS,MATCH($S$1,Database!$A$1:$AS$1,),))))-(((VLOOKUP(EDATE(B158,-12),Database!$A:$AS,MATCH($S$1,Database!$A$1:$AS$1,),)))))/(((VLOOKUP(EDATE(B158,-12),Database!$A:$AS,MATCH($S$1,Database!$A$1:$AS$1,),))))</f>
        <v/>
      </c>
      <c r="T158" s="13">
        <f>((((VLOOKUP(B158,Database!$A:$AS,MATCH($T$1,Database!$A$1:$AS$1,),))))-(((VLOOKUP(EDATE(B158,-12),Database!$A:$AS,MATCH($T$1,Database!$A$1:$AS$1,),)))))/(((VLOOKUP(EDATE(B158,-12),Database!$A:$AS,MATCH($T$1,Database!$A$1:$AS$1,),))))</f>
        <v/>
      </c>
      <c r="U158" s="13">
        <f>((((VLOOKUP(B158,Database!$A:$AS,MATCH($U$1,Database!$A$1:$AS$1,),))))-(((VLOOKUP(EDATE(B158,-12),Database!$A:$AS,MATCH($U$1,Database!$A$1:$AS$1,),)))))/(((VLOOKUP(EDATE(B158,-12),Database!$A:$AS,MATCH($U$1,Database!$A$1:$AS$1,),))))</f>
        <v/>
      </c>
      <c r="V158" s="13">
        <f>((((VLOOKUP(B158,Database!$A:$AS,MATCH($V$1,Database!$A$1:$AS$1,),))))-(((VLOOKUP(EDATE(B158,-12),Database!$A:$AS,MATCH($V$1,Database!$A$1:$AS$1,),)))))/(((VLOOKUP(EDATE(B158,-12),Database!$A:$AS,MATCH($V$1,Database!$A$1:$AS$1,),))))</f>
        <v/>
      </c>
    </row>
    <row r="159" customFormat="1" s="94">
      <c r="A159" s="44" t="n"/>
      <c r="B159" s="85" t="n">
        <v>36982</v>
      </c>
      <c r="C159" s="13">
        <f>((((VLOOKUP(B159,Database!$A:$AS,MATCH($C$1,Database!$A$1:$AS$1,),))))-(((VLOOKUP(EDATE(B159,-12),Database!$A:$AS,MATCH($C$1,Database!$A$1:$AS$1,),)))))/(((VLOOKUP(EDATE(B159,-12),Database!$A:$AS,MATCH($C$1,Database!$A$1:$AS$1,),))))</f>
        <v/>
      </c>
      <c r="D159" s="13">
        <f>((((VLOOKUP(B159,Database!$A:$AS,MATCH($D$1,Database!$A$1:$AS$1,),))))-(((VLOOKUP(EDATE(B159,-12),Database!$A:$AS,MATCH($D$1,Database!$A$1:$AS$1,),)))))/(((VLOOKUP(EDATE(B159,-12),Database!$A:$AS,MATCH($D$1,Database!$A$1:$AS$1,),))))</f>
        <v/>
      </c>
      <c r="E159" s="13">
        <f>((((VLOOKUP(B159,Database!$A:$AS,MATCH($E$1,Database!$A$1:$AS$1,),))))-(((VLOOKUP(EDATE(B159,-12),Database!$A:$AS,MATCH($E$1,Database!$A$1:$AS$1,),)))))/(((VLOOKUP(EDATE(B159,-12),Database!$A:$AS,MATCH($E$1,Database!$A$1:$AS$1,),))))</f>
        <v/>
      </c>
      <c r="F159" s="13">
        <f>((((VLOOKUP(B159,Database!$A:$AS,MATCH($F$1,Database!$A$1:$AS$1,),))))-(((VLOOKUP(EDATE(B159,-12),Database!$A:$AS,MATCH($F$1,Database!$A$1:$AS$1,),)))))/(((VLOOKUP(EDATE(B159,-12),Database!$A:$AS,MATCH($F$1,Database!$A$1:$AS$1,),))))</f>
        <v/>
      </c>
      <c r="G159" s="13">
        <f>((((VLOOKUP(B159,Database!$A:$AS,MATCH($G$1,Database!$A$1:$AS$1,),))))-(((VLOOKUP(EDATE(B159,-12),Database!$A:$AS,MATCH($G$1,Database!$A$1:$AS$1,),)))))/(((VLOOKUP(EDATE(B159,-12),Database!$A:$AS,MATCH($G$1,Database!$A$1:$AS$1,),))))</f>
        <v/>
      </c>
      <c r="H159" s="13">
        <f>((((VLOOKUP(B159,Database!$A:$AS,MATCH($H$1,Database!$A$1:$AS$1,),))))-(((VLOOKUP(EDATE(B159,-12),Database!$A:$AS,MATCH($H$1,Database!$A$1:$AS$1,),)))))/(((VLOOKUP(EDATE(B159,-12),Database!$A:$AS,MATCH($H$1,Database!$A$1:$AS$1,),))))</f>
        <v/>
      </c>
      <c r="I159" s="13">
        <f>((((VLOOKUP(B159,Database!$A:$AS,MATCH($I$1,Database!$A$1:$AS$1,),))))-(((VLOOKUP(EDATE(B159,-12),Database!$A:$AS,MATCH($I$1,Database!$A$1:$AS$1,),)))))/(((VLOOKUP(EDATE(B159,-12),Database!$A:$AS,MATCH($I$1,Database!$A$1:$AS$1,),))))</f>
        <v/>
      </c>
      <c r="J159" s="13">
        <f>((((VLOOKUP(B159,Database!$A:$AS,MATCH($J$1,Database!$A$1:$AS$1,),))))-(((VLOOKUP(EDATE(B159,-12),Database!$A:$AS,MATCH($J$1,Database!$A$1:$AS$1,),)))))/(((VLOOKUP(EDATE(B159,-12),Database!$A:$AS,MATCH($J$1,Database!$A$1:$AS$1,),))))</f>
        <v/>
      </c>
      <c r="K159" s="13">
        <f>((((VLOOKUP(B159,Database!$A:$AS,MATCH($K$1,Database!$A$1:$AS$1,),))))-(((VLOOKUP(EDATE(B159,-12),Database!$A:$AS,MATCH($K$1,Database!$A$1:$AS$1,),)))))/(((VLOOKUP(EDATE(B159,-12),Database!$A:$AS,MATCH($K$1,Database!$A$1:$AS$1,),))))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((((VLOOKUP(B159,Database!$A:$AS,MATCH($O$1,Database!$A$1:$AS$1,),))))-(((VLOOKUP(EDATE(B159,-12),Database!$A:$AS,MATCH($O$1,Database!$A$1:$AS$1,),)))))/(((VLOOKUP(EDATE(B159,-12),Database!$A:$AS,MATCH($O$1,Database!$A$1:$AS$1,),))))</f>
        <v/>
      </c>
      <c r="P159" s="13">
        <f>((((VLOOKUP(B159,Database!$A:$AS,MATCH($P$1,Database!$A$1:$AS$1,),))))-(((VLOOKUP(EDATE(B159,-12),Database!$A:$AS,MATCH($P$1,Database!$A$1:$AS$1,),)))))/(((VLOOKUP(EDATE(B159,-12),Database!$A:$AS,MATCH($P$1,Database!$A$1:$AS$1,),))))</f>
        <v/>
      </c>
      <c r="Q159" s="13">
        <f>((((VLOOKUP(B159,Database!$A:$AS,MATCH($Q$1,Database!$A$1:$AS$1,),))))-(((VLOOKUP(EDATE(B159,-12),Database!$A:$AS,MATCH($Q$1,Database!$A$1:$AS$1,),)))))/(((VLOOKUP(EDATE(B159,-12),Database!$A:$AS,MATCH($Q$1,Database!$A$1:$AS$1,),))))</f>
        <v/>
      </c>
      <c r="R159" s="13">
        <f>((((VLOOKUP(B159,Database!$A:$AS,MATCH($R$1,Database!$A$1:$AS$1,),))))-(((VLOOKUP(EDATE(B159,-12),Database!$A:$AS,MATCH($R$1,Database!$A$1:$AS$1,),)))))/(((VLOOKUP(EDATE(B159,-12),Database!$A:$AS,MATCH($R$1,Database!$A$1:$AS$1,),))))</f>
        <v/>
      </c>
      <c r="S159" s="13">
        <f>((((VLOOKUP(B159,Database!$A:$AS,MATCH($S$1,Database!$A$1:$AS$1,),))))-(((VLOOKUP(EDATE(B159,-12),Database!$A:$AS,MATCH($S$1,Database!$A$1:$AS$1,),)))))/(((VLOOKUP(EDATE(B159,-12),Database!$A:$AS,MATCH($S$1,Database!$A$1:$AS$1,),))))</f>
        <v/>
      </c>
      <c r="T159" s="13">
        <f>((((VLOOKUP(B159,Database!$A:$AS,MATCH($T$1,Database!$A$1:$AS$1,),))))-(((VLOOKUP(EDATE(B159,-12),Database!$A:$AS,MATCH($T$1,Database!$A$1:$AS$1,),)))))/(((VLOOKUP(EDATE(B159,-12),Database!$A:$AS,MATCH($T$1,Database!$A$1:$AS$1,),))))</f>
        <v/>
      </c>
      <c r="U159" s="13">
        <f>((((VLOOKUP(B159,Database!$A:$AS,MATCH($U$1,Database!$A$1:$AS$1,),))))-(((VLOOKUP(EDATE(B159,-12),Database!$A:$AS,MATCH($U$1,Database!$A$1:$AS$1,),)))))/(((VLOOKUP(EDATE(B159,-12),Database!$A:$AS,MATCH($U$1,Database!$A$1:$AS$1,),))))</f>
        <v/>
      </c>
      <c r="V159" s="13">
        <f>((((VLOOKUP(B159,Database!$A:$AS,MATCH($V$1,Database!$A$1:$AS$1,),))))-(((VLOOKUP(EDATE(B159,-12),Database!$A:$AS,MATCH($V$1,Database!$A$1:$AS$1,),)))))/(((VLOOKUP(EDATE(B159,-12),Database!$A:$AS,MATCH($V$1,Database!$A$1:$AS$1,),))))</f>
        <v/>
      </c>
    </row>
    <row r="160" customFormat="1" s="94">
      <c r="A160" s="44" t="n"/>
      <c r="B160" s="85" t="n">
        <v>37012</v>
      </c>
      <c r="C160" s="13">
        <f>((((VLOOKUP(B160,Database!$A:$AS,MATCH($C$1,Database!$A$1:$AS$1,),))))-(((VLOOKUP(EDATE(B160,-12),Database!$A:$AS,MATCH($C$1,Database!$A$1:$AS$1,),)))))/(((VLOOKUP(EDATE(B160,-12),Database!$A:$AS,MATCH($C$1,Database!$A$1:$AS$1,),))))</f>
        <v/>
      </c>
      <c r="D160" s="13">
        <f>((((VLOOKUP(B160,Database!$A:$AS,MATCH($D$1,Database!$A$1:$AS$1,),))))-(((VLOOKUP(EDATE(B160,-12),Database!$A:$AS,MATCH($D$1,Database!$A$1:$AS$1,),)))))/(((VLOOKUP(EDATE(B160,-12),Database!$A:$AS,MATCH($D$1,Database!$A$1:$AS$1,),))))</f>
        <v/>
      </c>
      <c r="E160" s="13">
        <f>((((VLOOKUP(B160,Database!$A:$AS,MATCH($E$1,Database!$A$1:$AS$1,),))))-(((VLOOKUP(EDATE(B160,-12),Database!$A:$AS,MATCH($E$1,Database!$A$1:$AS$1,),)))))/(((VLOOKUP(EDATE(B160,-12),Database!$A:$AS,MATCH($E$1,Database!$A$1:$AS$1,),))))</f>
        <v/>
      </c>
      <c r="F160" s="13">
        <f>((((VLOOKUP(B160,Database!$A:$AS,MATCH($F$1,Database!$A$1:$AS$1,),))))-(((VLOOKUP(EDATE(B160,-12),Database!$A:$AS,MATCH($F$1,Database!$A$1:$AS$1,),)))))/(((VLOOKUP(EDATE(B160,-12),Database!$A:$AS,MATCH($F$1,Database!$A$1:$AS$1,),))))</f>
        <v/>
      </c>
      <c r="G160" s="13">
        <f>((((VLOOKUP(B160,Database!$A:$AS,MATCH($G$1,Database!$A$1:$AS$1,),))))-(((VLOOKUP(EDATE(B160,-12),Database!$A:$AS,MATCH($G$1,Database!$A$1:$AS$1,),)))))/(((VLOOKUP(EDATE(B160,-12),Database!$A:$AS,MATCH($G$1,Database!$A$1:$AS$1,),))))</f>
        <v/>
      </c>
      <c r="H160" s="13">
        <f>((((VLOOKUP(B160,Database!$A:$AS,MATCH($H$1,Database!$A$1:$AS$1,),))))-(((VLOOKUP(EDATE(B160,-12),Database!$A:$AS,MATCH($H$1,Database!$A$1:$AS$1,),)))))/(((VLOOKUP(EDATE(B160,-12),Database!$A:$AS,MATCH($H$1,Database!$A$1:$AS$1,),))))</f>
        <v/>
      </c>
      <c r="I160" s="13">
        <f>((((VLOOKUP(B160,Database!$A:$AS,MATCH($I$1,Database!$A$1:$AS$1,),))))-(((VLOOKUP(EDATE(B160,-12),Database!$A:$AS,MATCH($I$1,Database!$A$1:$AS$1,),)))))/(((VLOOKUP(EDATE(B160,-12),Database!$A:$AS,MATCH($I$1,Database!$A$1:$AS$1,),))))</f>
        <v/>
      </c>
      <c r="J160" s="13">
        <f>((((VLOOKUP(B160,Database!$A:$AS,MATCH($J$1,Database!$A$1:$AS$1,),))))-(((VLOOKUP(EDATE(B160,-12),Database!$A:$AS,MATCH($J$1,Database!$A$1:$AS$1,),)))))/(((VLOOKUP(EDATE(B160,-12),Database!$A:$AS,MATCH($J$1,Database!$A$1:$AS$1,),))))</f>
        <v/>
      </c>
      <c r="K160" s="13">
        <f>((((VLOOKUP(B160,Database!$A:$AS,MATCH($K$1,Database!$A$1:$AS$1,),))))-(((VLOOKUP(EDATE(B160,-12),Database!$A:$AS,MATCH($K$1,Database!$A$1:$AS$1,),)))))/(((VLOOKUP(EDATE(B160,-12),Database!$A:$AS,MATCH($K$1,Database!$A$1:$AS$1,),))))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((((VLOOKUP(B160,Database!$A:$AS,MATCH($O$1,Database!$A$1:$AS$1,),))))-(((VLOOKUP(EDATE(B160,-12),Database!$A:$AS,MATCH($O$1,Database!$A$1:$AS$1,),)))))/(((VLOOKUP(EDATE(B160,-12),Database!$A:$AS,MATCH($O$1,Database!$A$1:$AS$1,),))))</f>
        <v/>
      </c>
      <c r="P160" s="13">
        <f>((((VLOOKUP(B160,Database!$A:$AS,MATCH($P$1,Database!$A$1:$AS$1,),))))-(((VLOOKUP(EDATE(B160,-12),Database!$A:$AS,MATCH($P$1,Database!$A$1:$AS$1,),)))))/(((VLOOKUP(EDATE(B160,-12),Database!$A:$AS,MATCH($P$1,Database!$A$1:$AS$1,),))))</f>
        <v/>
      </c>
      <c r="Q160" s="13">
        <f>((((VLOOKUP(B160,Database!$A:$AS,MATCH($Q$1,Database!$A$1:$AS$1,),))))-(((VLOOKUP(EDATE(B160,-12),Database!$A:$AS,MATCH($Q$1,Database!$A$1:$AS$1,),)))))/(((VLOOKUP(EDATE(B160,-12),Database!$A:$AS,MATCH($Q$1,Database!$A$1:$AS$1,),))))</f>
        <v/>
      </c>
      <c r="R160" s="13">
        <f>((((VLOOKUP(B160,Database!$A:$AS,MATCH($R$1,Database!$A$1:$AS$1,),))))-(((VLOOKUP(EDATE(B160,-12),Database!$A:$AS,MATCH($R$1,Database!$A$1:$AS$1,),)))))/(((VLOOKUP(EDATE(B160,-12),Database!$A:$AS,MATCH($R$1,Database!$A$1:$AS$1,),))))</f>
        <v/>
      </c>
      <c r="S160" s="13">
        <f>((((VLOOKUP(B160,Database!$A:$AS,MATCH($S$1,Database!$A$1:$AS$1,),))))-(((VLOOKUP(EDATE(B160,-12),Database!$A:$AS,MATCH($S$1,Database!$A$1:$AS$1,),)))))/(((VLOOKUP(EDATE(B160,-12),Database!$A:$AS,MATCH($S$1,Database!$A$1:$AS$1,),))))</f>
        <v/>
      </c>
      <c r="T160" s="13">
        <f>((((VLOOKUP(B160,Database!$A:$AS,MATCH($T$1,Database!$A$1:$AS$1,),))))-(((VLOOKUP(EDATE(B160,-12),Database!$A:$AS,MATCH($T$1,Database!$A$1:$AS$1,),)))))/(((VLOOKUP(EDATE(B160,-12),Database!$A:$AS,MATCH($T$1,Database!$A$1:$AS$1,),))))</f>
        <v/>
      </c>
      <c r="U160" s="13">
        <f>((((VLOOKUP(B160,Database!$A:$AS,MATCH($U$1,Database!$A$1:$AS$1,),))))-(((VLOOKUP(EDATE(B160,-12),Database!$A:$AS,MATCH($U$1,Database!$A$1:$AS$1,),)))))/(((VLOOKUP(EDATE(B160,-12),Database!$A:$AS,MATCH($U$1,Database!$A$1:$AS$1,),))))</f>
        <v/>
      </c>
      <c r="V160" s="13">
        <f>((((VLOOKUP(B160,Database!$A:$AS,MATCH($V$1,Database!$A$1:$AS$1,),))))-(((VLOOKUP(EDATE(B160,-12),Database!$A:$AS,MATCH($V$1,Database!$A$1:$AS$1,),)))))/(((VLOOKUP(EDATE(B160,-12),Database!$A:$AS,MATCH($V$1,Database!$A$1:$AS$1,),))))</f>
        <v/>
      </c>
    </row>
    <row r="161" customFormat="1" s="94">
      <c r="A161" s="44" t="n"/>
      <c r="B161" s="85" t="n">
        <v>37043</v>
      </c>
      <c r="C161" s="13">
        <f>((((VLOOKUP(B161,Database!$A:$AS,MATCH($C$1,Database!$A$1:$AS$1,),))))-(((VLOOKUP(EDATE(B161,-12),Database!$A:$AS,MATCH($C$1,Database!$A$1:$AS$1,),)))))/(((VLOOKUP(EDATE(B161,-12),Database!$A:$AS,MATCH($C$1,Database!$A$1:$AS$1,),))))</f>
        <v/>
      </c>
      <c r="D161" s="13">
        <f>((((VLOOKUP(B161,Database!$A:$AS,MATCH($D$1,Database!$A$1:$AS$1,),))))-(((VLOOKUP(EDATE(B161,-12),Database!$A:$AS,MATCH($D$1,Database!$A$1:$AS$1,),)))))/(((VLOOKUP(EDATE(B161,-12),Database!$A:$AS,MATCH($D$1,Database!$A$1:$AS$1,),))))</f>
        <v/>
      </c>
      <c r="E161" s="13">
        <f>((((VLOOKUP(B161,Database!$A:$AS,MATCH($E$1,Database!$A$1:$AS$1,),))))-(((VLOOKUP(EDATE(B161,-12),Database!$A:$AS,MATCH($E$1,Database!$A$1:$AS$1,),)))))/(((VLOOKUP(EDATE(B161,-12),Database!$A:$AS,MATCH($E$1,Database!$A$1:$AS$1,),))))</f>
        <v/>
      </c>
      <c r="F161" s="13">
        <f>((((VLOOKUP(B161,Database!$A:$AS,MATCH($F$1,Database!$A$1:$AS$1,),))))-(((VLOOKUP(EDATE(B161,-12),Database!$A:$AS,MATCH($F$1,Database!$A$1:$AS$1,),)))))/(((VLOOKUP(EDATE(B161,-12),Database!$A:$AS,MATCH($F$1,Database!$A$1:$AS$1,),))))</f>
        <v/>
      </c>
      <c r="G161" s="13">
        <f>((((VLOOKUP(B161,Database!$A:$AS,MATCH($G$1,Database!$A$1:$AS$1,),))))-(((VLOOKUP(EDATE(B161,-12),Database!$A:$AS,MATCH($G$1,Database!$A$1:$AS$1,),)))))/(((VLOOKUP(EDATE(B161,-12),Database!$A:$AS,MATCH($G$1,Database!$A$1:$AS$1,),))))</f>
        <v/>
      </c>
      <c r="H161" s="13">
        <f>((((VLOOKUP(B161,Database!$A:$AS,MATCH($H$1,Database!$A$1:$AS$1,),))))-(((VLOOKUP(EDATE(B161,-12),Database!$A:$AS,MATCH($H$1,Database!$A$1:$AS$1,),)))))/(((VLOOKUP(EDATE(B161,-12),Database!$A:$AS,MATCH($H$1,Database!$A$1:$AS$1,),))))</f>
        <v/>
      </c>
      <c r="I161" s="13">
        <f>((((VLOOKUP(B161,Database!$A:$AS,MATCH($I$1,Database!$A$1:$AS$1,),))))-(((VLOOKUP(EDATE(B161,-12),Database!$A:$AS,MATCH($I$1,Database!$A$1:$AS$1,),)))))/(((VLOOKUP(EDATE(B161,-12),Database!$A:$AS,MATCH($I$1,Database!$A$1:$AS$1,),))))</f>
        <v/>
      </c>
      <c r="J161" s="13">
        <f>((((VLOOKUP(B161,Database!$A:$AS,MATCH($J$1,Database!$A$1:$AS$1,),))))-(((VLOOKUP(EDATE(B161,-12),Database!$A:$AS,MATCH($J$1,Database!$A$1:$AS$1,),)))))/(((VLOOKUP(EDATE(B161,-12),Database!$A:$AS,MATCH($J$1,Database!$A$1:$AS$1,),))))</f>
        <v/>
      </c>
      <c r="K161" s="13">
        <f>((((VLOOKUP(B161,Database!$A:$AS,MATCH($K$1,Database!$A$1:$AS$1,),))))-(((VLOOKUP(EDATE(B161,-12),Database!$A:$AS,MATCH($K$1,Database!$A$1:$AS$1,),)))))/(((VLOOKUP(EDATE(B161,-12),Database!$A:$AS,MATCH($K$1,Database!$A$1:$AS$1,),))))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((((VLOOKUP(B161,Database!$A:$AS,MATCH($O$1,Database!$A$1:$AS$1,),))))-(((VLOOKUP(EDATE(B161,-12),Database!$A:$AS,MATCH($O$1,Database!$A$1:$AS$1,),)))))/(((VLOOKUP(EDATE(B161,-12),Database!$A:$AS,MATCH($O$1,Database!$A$1:$AS$1,),))))</f>
        <v/>
      </c>
      <c r="P161" s="13">
        <f>((((VLOOKUP(B161,Database!$A:$AS,MATCH($P$1,Database!$A$1:$AS$1,),))))-(((VLOOKUP(EDATE(B161,-12),Database!$A:$AS,MATCH($P$1,Database!$A$1:$AS$1,),)))))/(((VLOOKUP(EDATE(B161,-12),Database!$A:$AS,MATCH($P$1,Database!$A$1:$AS$1,),))))</f>
        <v/>
      </c>
      <c r="Q161" s="13">
        <f>((((VLOOKUP(B161,Database!$A:$AS,MATCH($Q$1,Database!$A$1:$AS$1,),))))-(((VLOOKUP(EDATE(B161,-12),Database!$A:$AS,MATCH($Q$1,Database!$A$1:$AS$1,),)))))/(((VLOOKUP(EDATE(B161,-12),Database!$A:$AS,MATCH($Q$1,Database!$A$1:$AS$1,),))))</f>
        <v/>
      </c>
      <c r="R161" s="13">
        <f>((((VLOOKUP(B161,Database!$A:$AS,MATCH($R$1,Database!$A$1:$AS$1,),))))-(((VLOOKUP(EDATE(B161,-12),Database!$A:$AS,MATCH($R$1,Database!$A$1:$AS$1,),)))))/(((VLOOKUP(EDATE(B161,-12),Database!$A:$AS,MATCH($R$1,Database!$A$1:$AS$1,),))))</f>
        <v/>
      </c>
      <c r="S161" s="13">
        <f>((((VLOOKUP(B161,Database!$A:$AS,MATCH($S$1,Database!$A$1:$AS$1,),))))-(((VLOOKUP(EDATE(B161,-12),Database!$A:$AS,MATCH($S$1,Database!$A$1:$AS$1,),)))))/(((VLOOKUP(EDATE(B161,-12),Database!$A:$AS,MATCH($S$1,Database!$A$1:$AS$1,),))))</f>
        <v/>
      </c>
      <c r="T161" s="13">
        <f>((((VLOOKUP(B161,Database!$A:$AS,MATCH($T$1,Database!$A$1:$AS$1,),))))-(((VLOOKUP(EDATE(B161,-12),Database!$A:$AS,MATCH($T$1,Database!$A$1:$AS$1,),)))))/(((VLOOKUP(EDATE(B161,-12),Database!$A:$AS,MATCH($T$1,Database!$A$1:$AS$1,),))))</f>
        <v/>
      </c>
      <c r="U161" s="13">
        <f>((((VLOOKUP(B161,Database!$A:$AS,MATCH($U$1,Database!$A$1:$AS$1,),))))-(((VLOOKUP(EDATE(B161,-12),Database!$A:$AS,MATCH($U$1,Database!$A$1:$AS$1,),)))))/(((VLOOKUP(EDATE(B161,-12),Database!$A:$AS,MATCH($U$1,Database!$A$1:$AS$1,),))))</f>
        <v/>
      </c>
      <c r="V161" s="13">
        <f>((((VLOOKUP(B161,Database!$A:$AS,MATCH($V$1,Database!$A$1:$AS$1,),))))-(((VLOOKUP(EDATE(B161,-12),Database!$A:$AS,MATCH($V$1,Database!$A$1:$AS$1,),)))))/(((VLOOKUP(EDATE(B161,-12),Database!$A:$AS,MATCH($V$1,Database!$A$1:$AS$1,),))))</f>
        <v/>
      </c>
    </row>
    <row r="162" customFormat="1" s="94">
      <c r="A162" s="44" t="n"/>
      <c r="B162" s="85" t="n">
        <v>37073</v>
      </c>
      <c r="C162" s="13">
        <f>((((VLOOKUP(B162,Database!$A:$AS,MATCH($C$1,Database!$A$1:$AS$1,),))))-(((VLOOKUP(EDATE(B162,-12),Database!$A:$AS,MATCH($C$1,Database!$A$1:$AS$1,),)))))/(((VLOOKUP(EDATE(B162,-12),Database!$A:$AS,MATCH($C$1,Database!$A$1:$AS$1,),))))</f>
        <v/>
      </c>
      <c r="D162" s="13">
        <f>((((VLOOKUP(B162,Database!$A:$AS,MATCH($D$1,Database!$A$1:$AS$1,),))))-(((VLOOKUP(EDATE(B162,-12),Database!$A:$AS,MATCH($D$1,Database!$A$1:$AS$1,),)))))/(((VLOOKUP(EDATE(B162,-12),Database!$A:$AS,MATCH($D$1,Database!$A$1:$AS$1,),))))</f>
        <v/>
      </c>
      <c r="E162" s="13">
        <f>((((VLOOKUP(B162,Database!$A:$AS,MATCH($E$1,Database!$A$1:$AS$1,),))))-(((VLOOKUP(EDATE(B162,-12),Database!$A:$AS,MATCH($E$1,Database!$A$1:$AS$1,),)))))/(((VLOOKUP(EDATE(B162,-12),Database!$A:$AS,MATCH($E$1,Database!$A$1:$AS$1,),))))</f>
        <v/>
      </c>
      <c r="F162" s="13">
        <f>((((VLOOKUP(B162,Database!$A:$AS,MATCH($F$1,Database!$A$1:$AS$1,),))))-(((VLOOKUP(EDATE(B162,-12),Database!$A:$AS,MATCH($F$1,Database!$A$1:$AS$1,),)))))/(((VLOOKUP(EDATE(B162,-12),Database!$A:$AS,MATCH($F$1,Database!$A$1:$AS$1,),))))</f>
        <v/>
      </c>
      <c r="G162" s="13">
        <f>((((VLOOKUP(B162,Database!$A:$AS,MATCH($G$1,Database!$A$1:$AS$1,),))))-(((VLOOKUP(EDATE(B162,-12),Database!$A:$AS,MATCH($G$1,Database!$A$1:$AS$1,),)))))/(((VLOOKUP(EDATE(B162,-12),Database!$A:$AS,MATCH($G$1,Database!$A$1:$AS$1,),))))</f>
        <v/>
      </c>
      <c r="H162" s="13">
        <f>((((VLOOKUP(B162,Database!$A:$AS,MATCH($H$1,Database!$A$1:$AS$1,),))))-(((VLOOKUP(EDATE(B162,-12),Database!$A:$AS,MATCH($H$1,Database!$A$1:$AS$1,),)))))/(((VLOOKUP(EDATE(B162,-12),Database!$A:$AS,MATCH($H$1,Database!$A$1:$AS$1,),))))</f>
        <v/>
      </c>
      <c r="I162" s="13">
        <f>((((VLOOKUP(B162,Database!$A:$AS,MATCH($I$1,Database!$A$1:$AS$1,),))))-(((VLOOKUP(EDATE(B162,-12),Database!$A:$AS,MATCH($I$1,Database!$A$1:$AS$1,),)))))/(((VLOOKUP(EDATE(B162,-12),Database!$A:$AS,MATCH($I$1,Database!$A$1:$AS$1,),))))</f>
        <v/>
      </c>
      <c r="J162" s="13">
        <f>((((VLOOKUP(B162,Database!$A:$AS,MATCH($J$1,Database!$A$1:$AS$1,),))))-(((VLOOKUP(EDATE(B162,-12),Database!$A:$AS,MATCH($J$1,Database!$A$1:$AS$1,),)))))/(((VLOOKUP(EDATE(B162,-12),Database!$A:$AS,MATCH($J$1,Database!$A$1:$AS$1,),))))</f>
        <v/>
      </c>
      <c r="K162" s="13">
        <f>((((VLOOKUP(B162,Database!$A:$AS,MATCH($K$1,Database!$A$1:$AS$1,),))))-(((VLOOKUP(EDATE(B162,-12),Database!$A:$AS,MATCH($K$1,Database!$A$1:$AS$1,),)))))/(((VLOOKUP(EDATE(B162,-12),Database!$A:$AS,MATCH($K$1,Database!$A$1:$AS$1,),))))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((((VLOOKUP(B162,Database!$A:$AS,MATCH($O$1,Database!$A$1:$AS$1,),))))-(((VLOOKUP(EDATE(B162,-12),Database!$A:$AS,MATCH($O$1,Database!$A$1:$AS$1,),)))))/(((VLOOKUP(EDATE(B162,-12),Database!$A:$AS,MATCH($O$1,Database!$A$1:$AS$1,),))))</f>
        <v/>
      </c>
      <c r="P162" s="13">
        <f>((((VLOOKUP(B162,Database!$A:$AS,MATCH($P$1,Database!$A$1:$AS$1,),))))-(((VLOOKUP(EDATE(B162,-12),Database!$A:$AS,MATCH($P$1,Database!$A$1:$AS$1,),)))))/(((VLOOKUP(EDATE(B162,-12),Database!$A:$AS,MATCH($P$1,Database!$A$1:$AS$1,),))))</f>
        <v/>
      </c>
      <c r="Q162" s="13">
        <f>((((VLOOKUP(B162,Database!$A:$AS,MATCH($Q$1,Database!$A$1:$AS$1,),))))-(((VLOOKUP(EDATE(B162,-12),Database!$A:$AS,MATCH($Q$1,Database!$A$1:$AS$1,),)))))/(((VLOOKUP(EDATE(B162,-12),Database!$A:$AS,MATCH($Q$1,Database!$A$1:$AS$1,),))))</f>
        <v/>
      </c>
      <c r="R162" s="13">
        <f>((((VLOOKUP(B162,Database!$A:$AS,MATCH($R$1,Database!$A$1:$AS$1,),))))-(((VLOOKUP(EDATE(B162,-12),Database!$A:$AS,MATCH($R$1,Database!$A$1:$AS$1,),)))))/(((VLOOKUP(EDATE(B162,-12),Database!$A:$AS,MATCH($R$1,Database!$A$1:$AS$1,),))))</f>
        <v/>
      </c>
      <c r="S162" s="13">
        <f>((((VLOOKUP(B162,Database!$A:$AS,MATCH($S$1,Database!$A$1:$AS$1,),))))-(((VLOOKUP(EDATE(B162,-12),Database!$A:$AS,MATCH($S$1,Database!$A$1:$AS$1,),)))))/(((VLOOKUP(EDATE(B162,-12),Database!$A:$AS,MATCH($S$1,Database!$A$1:$AS$1,),))))</f>
        <v/>
      </c>
      <c r="T162" s="13">
        <f>((((VLOOKUP(B162,Database!$A:$AS,MATCH($T$1,Database!$A$1:$AS$1,),))))-(((VLOOKUP(EDATE(B162,-12),Database!$A:$AS,MATCH($T$1,Database!$A$1:$AS$1,),)))))/(((VLOOKUP(EDATE(B162,-12),Database!$A:$AS,MATCH($T$1,Database!$A$1:$AS$1,),))))</f>
        <v/>
      </c>
      <c r="U162" s="13">
        <f>((((VLOOKUP(B162,Database!$A:$AS,MATCH($U$1,Database!$A$1:$AS$1,),))))-(((VLOOKUP(EDATE(B162,-12),Database!$A:$AS,MATCH($U$1,Database!$A$1:$AS$1,),)))))/(((VLOOKUP(EDATE(B162,-12),Database!$A:$AS,MATCH($U$1,Database!$A$1:$AS$1,),))))</f>
        <v/>
      </c>
      <c r="V162" s="13">
        <f>((((VLOOKUP(B162,Database!$A:$AS,MATCH($V$1,Database!$A$1:$AS$1,),))))-(((VLOOKUP(EDATE(B162,-12),Database!$A:$AS,MATCH($V$1,Database!$A$1:$AS$1,),)))))/(((VLOOKUP(EDATE(B162,-12),Database!$A:$AS,MATCH($V$1,Database!$A$1:$AS$1,),))))</f>
        <v/>
      </c>
    </row>
    <row r="163" customFormat="1" s="94">
      <c r="A163" s="44" t="n"/>
      <c r="B163" s="85" t="n">
        <v>37104</v>
      </c>
      <c r="C163" s="13">
        <f>((((VLOOKUP(B163,Database!$A:$AS,MATCH($C$1,Database!$A$1:$AS$1,),))))-(((VLOOKUP(EDATE(B163,-12),Database!$A:$AS,MATCH($C$1,Database!$A$1:$AS$1,),)))))/(((VLOOKUP(EDATE(B163,-12),Database!$A:$AS,MATCH($C$1,Database!$A$1:$AS$1,),))))</f>
        <v/>
      </c>
      <c r="D163" s="13">
        <f>((((VLOOKUP(B163,Database!$A:$AS,MATCH($D$1,Database!$A$1:$AS$1,),))))-(((VLOOKUP(EDATE(B163,-12),Database!$A:$AS,MATCH($D$1,Database!$A$1:$AS$1,),)))))/(((VLOOKUP(EDATE(B163,-12),Database!$A:$AS,MATCH($D$1,Database!$A$1:$AS$1,),))))</f>
        <v/>
      </c>
      <c r="E163" s="13">
        <f>((((VLOOKUP(B163,Database!$A:$AS,MATCH($E$1,Database!$A$1:$AS$1,),))))-(((VLOOKUP(EDATE(B163,-12),Database!$A:$AS,MATCH($E$1,Database!$A$1:$AS$1,),)))))/(((VLOOKUP(EDATE(B163,-12),Database!$A:$AS,MATCH($E$1,Database!$A$1:$AS$1,),))))</f>
        <v/>
      </c>
      <c r="F163" s="13">
        <f>((((VLOOKUP(B163,Database!$A:$AS,MATCH($F$1,Database!$A$1:$AS$1,),))))-(((VLOOKUP(EDATE(B163,-12),Database!$A:$AS,MATCH($F$1,Database!$A$1:$AS$1,),)))))/(((VLOOKUP(EDATE(B163,-12),Database!$A:$AS,MATCH($F$1,Database!$A$1:$AS$1,),))))</f>
        <v/>
      </c>
      <c r="G163" s="13">
        <f>((((VLOOKUP(B163,Database!$A:$AS,MATCH($G$1,Database!$A$1:$AS$1,),))))-(((VLOOKUP(EDATE(B163,-12),Database!$A:$AS,MATCH($G$1,Database!$A$1:$AS$1,),)))))/(((VLOOKUP(EDATE(B163,-12),Database!$A:$AS,MATCH($G$1,Database!$A$1:$AS$1,),))))</f>
        <v/>
      </c>
      <c r="H163" s="13">
        <f>((((VLOOKUP(B163,Database!$A:$AS,MATCH($H$1,Database!$A$1:$AS$1,),))))-(((VLOOKUP(EDATE(B163,-12),Database!$A:$AS,MATCH($H$1,Database!$A$1:$AS$1,),)))))/(((VLOOKUP(EDATE(B163,-12),Database!$A:$AS,MATCH($H$1,Database!$A$1:$AS$1,),))))</f>
        <v/>
      </c>
      <c r="I163" s="13">
        <f>((((VLOOKUP(B163,Database!$A:$AS,MATCH($I$1,Database!$A$1:$AS$1,),))))-(((VLOOKUP(EDATE(B163,-12),Database!$A:$AS,MATCH($I$1,Database!$A$1:$AS$1,),)))))/(((VLOOKUP(EDATE(B163,-12),Database!$A:$AS,MATCH($I$1,Database!$A$1:$AS$1,),))))</f>
        <v/>
      </c>
      <c r="J163" s="13">
        <f>((((VLOOKUP(B163,Database!$A:$AS,MATCH($J$1,Database!$A$1:$AS$1,),))))-(((VLOOKUP(EDATE(B163,-12),Database!$A:$AS,MATCH($J$1,Database!$A$1:$AS$1,),)))))/(((VLOOKUP(EDATE(B163,-12),Database!$A:$AS,MATCH($J$1,Database!$A$1:$AS$1,),))))</f>
        <v/>
      </c>
      <c r="K163" s="13">
        <f>((((VLOOKUP(B163,Database!$A:$AS,MATCH($K$1,Database!$A$1:$AS$1,),))))-(((VLOOKUP(EDATE(B163,-12),Database!$A:$AS,MATCH($K$1,Database!$A$1:$AS$1,),)))))/(((VLOOKUP(EDATE(B163,-12),Database!$A:$AS,MATCH($K$1,Database!$A$1:$AS$1,),))))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((((VLOOKUP(B163,Database!$A:$AS,MATCH($O$1,Database!$A$1:$AS$1,),))))-(((VLOOKUP(EDATE(B163,-12),Database!$A:$AS,MATCH($O$1,Database!$A$1:$AS$1,),)))))/(((VLOOKUP(EDATE(B163,-12),Database!$A:$AS,MATCH($O$1,Database!$A$1:$AS$1,),))))</f>
        <v/>
      </c>
      <c r="P163" s="13">
        <f>((((VLOOKUP(B163,Database!$A:$AS,MATCH($P$1,Database!$A$1:$AS$1,),))))-(((VLOOKUP(EDATE(B163,-12),Database!$A:$AS,MATCH($P$1,Database!$A$1:$AS$1,),)))))/(((VLOOKUP(EDATE(B163,-12),Database!$A:$AS,MATCH($P$1,Database!$A$1:$AS$1,),))))</f>
        <v/>
      </c>
      <c r="Q163" s="13">
        <f>((((VLOOKUP(B163,Database!$A:$AS,MATCH($Q$1,Database!$A$1:$AS$1,),))))-(((VLOOKUP(EDATE(B163,-12),Database!$A:$AS,MATCH($Q$1,Database!$A$1:$AS$1,),)))))/(((VLOOKUP(EDATE(B163,-12),Database!$A:$AS,MATCH($Q$1,Database!$A$1:$AS$1,),))))</f>
        <v/>
      </c>
      <c r="R163" s="13">
        <f>((((VLOOKUP(B163,Database!$A:$AS,MATCH($R$1,Database!$A$1:$AS$1,),))))-(((VLOOKUP(EDATE(B163,-12),Database!$A:$AS,MATCH($R$1,Database!$A$1:$AS$1,),)))))/(((VLOOKUP(EDATE(B163,-12),Database!$A:$AS,MATCH($R$1,Database!$A$1:$AS$1,),))))</f>
        <v/>
      </c>
      <c r="S163" s="13">
        <f>((((VLOOKUP(B163,Database!$A:$AS,MATCH($S$1,Database!$A$1:$AS$1,),))))-(((VLOOKUP(EDATE(B163,-12),Database!$A:$AS,MATCH($S$1,Database!$A$1:$AS$1,),)))))/(((VLOOKUP(EDATE(B163,-12),Database!$A:$AS,MATCH($S$1,Database!$A$1:$AS$1,),))))</f>
        <v/>
      </c>
      <c r="T163" s="13">
        <f>((((VLOOKUP(B163,Database!$A:$AS,MATCH($T$1,Database!$A$1:$AS$1,),))))-(((VLOOKUP(EDATE(B163,-12),Database!$A:$AS,MATCH($T$1,Database!$A$1:$AS$1,),)))))/(((VLOOKUP(EDATE(B163,-12),Database!$A:$AS,MATCH($T$1,Database!$A$1:$AS$1,),))))</f>
        <v/>
      </c>
      <c r="U163" s="13">
        <f>((((VLOOKUP(B163,Database!$A:$AS,MATCH($U$1,Database!$A$1:$AS$1,),))))-(((VLOOKUP(EDATE(B163,-12),Database!$A:$AS,MATCH($U$1,Database!$A$1:$AS$1,),)))))/(((VLOOKUP(EDATE(B163,-12),Database!$A:$AS,MATCH($U$1,Database!$A$1:$AS$1,),))))</f>
        <v/>
      </c>
      <c r="V163" s="13">
        <f>((((VLOOKUP(B163,Database!$A:$AS,MATCH($V$1,Database!$A$1:$AS$1,),))))-(((VLOOKUP(EDATE(B163,-12),Database!$A:$AS,MATCH($V$1,Database!$A$1:$AS$1,),)))))/(((VLOOKUP(EDATE(B163,-12),Database!$A:$AS,MATCH($V$1,Database!$A$1:$AS$1,),))))</f>
        <v/>
      </c>
    </row>
    <row r="164" customFormat="1" s="94">
      <c r="A164" s="44" t="n"/>
      <c r="B164" s="85" t="n">
        <v>37135</v>
      </c>
      <c r="C164" s="13">
        <f>((((VLOOKUP(B164,Database!$A:$AS,MATCH($C$1,Database!$A$1:$AS$1,),))))-(((VLOOKUP(EDATE(B164,-12),Database!$A:$AS,MATCH($C$1,Database!$A$1:$AS$1,),)))))/(((VLOOKUP(EDATE(B164,-12),Database!$A:$AS,MATCH($C$1,Database!$A$1:$AS$1,),))))</f>
        <v/>
      </c>
      <c r="D164" s="13">
        <f>((((VLOOKUP(B164,Database!$A:$AS,MATCH($D$1,Database!$A$1:$AS$1,),))))-(((VLOOKUP(EDATE(B164,-12),Database!$A:$AS,MATCH($D$1,Database!$A$1:$AS$1,),)))))/(((VLOOKUP(EDATE(B164,-12),Database!$A:$AS,MATCH($D$1,Database!$A$1:$AS$1,),))))</f>
        <v/>
      </c>
      <c r="E164" s="13">
        <f>((((VLOOKUP(B164,Database!$A:$AS,MATCH($E$1,Database!$A$1:$AS$1,),))))-(((VLOOKUP(EDATE(B164,-12),Database!$A:$AS,MATCH($E$1,Database!$A$1:$AS$1,),)))))/(((VLOOKUP(EDATE(B164,-12),Database!$A:$AS,MATCH($E$1,Database!$A$1:$AS$1,),))))</f>
        <v/>
      </c>
      <c r="F164" s="13">
        <f>((((VLOOKUP(B164,Database!$A:$AS,MATCH($F$1,Database!$A$1:$AS$1,),))))-(((VLOOKUP(EDATE(B164,-12),Database!$A:$AS,MATCH($F$1,Database!$A$1:$AS$1,),)))))/(((VLOOKUP(EDATE(B164,-12),Database!$A:$AS,MATCH($F$1,Database!$A$1:$AS$1,),))))</f>
        <v/>
      </c>
      <c r="G164" s="13">
        <f>((((VLOOKUP(B164,Database!$A:$AS,MATCH($G$1,Database!$A$1:$AS$1,),))))-(((VLOOKUP(EDATE(B164,-12),Database!$A:$AS,MATCH($G$1,Database!$A$1:$AS$1,),)))))/(((VLOOKUP(EDATE(B164,-12),Database!$A:$AS,MATCH($G$1,Database!$A$1:$AS$1,),))))</f>
        <v/>
      </c>
      <c r="H164" s="13">
        <f>((((VLOOKUP(B164,Database!$A:$AS,MATCH($H$1,Database!$A$1:$AS$1,),))))-(((VLOOKUP(EDATE(B164,-12),Database!$A:$AS,MATCH($H$1,Database!$A$1:$AS$1,),)))))/(((VLOOKUP(EDATE(B164,-12),Database!$A:$AS,MATCH($H$1,Database!$A$1:$AS$1,),))))</f>
        <v/>
      </c>
      <c r="I164" s="13">
        <f>((((VLOOKUP(B164,Database!$A:$AS,MATCH($I$1,Database!$A$1:$AS$1,),))))-(((VLOOKUP(EDATE(B164,-12),Database!$A:$AS,MATCH($I$1,Database!$A$1:$AS$1,),)))))/(((VLOOKUP(EDATE(B164,-12),Database!$A:$AS,MATCH($I$1,Database!$A$1:$AS$1,),))))</f>
        <v/>
      </c>
      <c r="J164" s="13">
        <f>((((VLOOKUP(B164,Database!$A:$AS,MATCH($J$1,Database!$A$1:$AS$1,),))))-(((VLOOKUP(EDATE(B164,-12),Database!$A:$AS,MATCH($J$1,Database!$A$1:$AS$1,),)))))/(((VLOOKUP(EDATE(B164,-12),Database!$A:$AS,MATCH($J$1,Database!$A$1:$AS$1,),))))</f>
        <v/>
      </c>
      <c r="K164" s="13">
        <f>((((VLOOKUP(B164,Database!$A:$AS,MATCH($K$1,Database!$A$1:$AS$1,),))))-(((VLOOKUP(EDATE(B164,-12),Database!$A:$AS,MATCH($K$1,Database!$A$1:$AS$1,),)))))/(((VLOOKUP(EDATE(B164,-12),Database!$A:$AS,MATCH($K$1,Database!$A$1:$AS$1,),))))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((((VLOOKUP(B164,Database!$A:$AS,MATCH($O$1,Database!$A$1:$AS$1,),))))-(((VLOOKUP(EDATE(B164,-12),Database!$A:$AS,MATCH($O$1,Database!$A$1:$AS$1,),)))))/(((VLOOKUP(EDATE(B164,-12),Database!$A:$AS,MATCH($O$1,Database!$A$1:$AS$1,),))))</f>
        <v/>
      </c>
      <c r="P164" s="13">
        <f>((((VLOOKUP(B164,Database!$A:$AS,MATCH($P$1,Database!$A$1:$AS$1,),))))-(((VLOOKUP(EDATE(B164,-12),Database!$A:$AS,MATCH($P$1,Database!$A$1:$AS$1,),)))))/(((VLOOKUP(EDATE(B164,-12),Database!$A:$AS,MATCH($P$1,Database!$A$1:$AS$1,),))))</f>
        <v/>
      </c>
      <c r="Q164" s="13">
        <f>((((VLOOKUP(B164,Database!$A:$AS,MATCH($Q$1,Database!$A$1:$AS$1,),))))-(((VLOOKUP(EDATE(B164,-12),Database!$A:$AS,MATCH($Q$1,Database!$A$1:$AS$1,),)))))/(((VLOOKUP(EDATE(B164,-12),Database!$A:$AS,MATCH($Q$1,Database!$A$1:$AS$1,),))))</f>
        <v/>
      </c>
      <c r="R164" s="13">
        <f>((((VLOOKUP(B164,Database!$A:$AS,MATCH($R$1,Database!$A$1:$AS$1,),))))-(((VLOOKUP(EDATE(B164,-12),Database!$A:$AS,MATCH($R$1,Database!$A$1:$AS$1,),)))))/(((VLOOKUP(EDATE(B164,-12),Database!$A:$AS,MATCH($R$1,Database!$A$1:$AS$1,),))))</f>
        <v/>
      </c>
      <c r="S164" s="13">
        <f>((((VLOOKUP(B164,Database!$A:$AS,MATCH($S$1,Database!$A$1:$AS$1,),))))-(((VLOOKUP(EDATE(B164,-12),Database!$A:$AS,MATCH($S$1,Database!$A$1:$AS$1,),)))))/(((VLOOKUP(EDATE(B164,-12),Database!$A:$AS,MATCH($S$1,Database!$A$1:$AS$1,),))))</f>
        <v/>
      </c>
      <c r="T164" s="13">
        <f>((((VLOOKUP(B164,Database!$A:$AS,MATCH($T$1,Database!$A$1:$AS$1,),))))-(((VLOOKUP(EDATE(B164,-12),Database!$A:$AS,MATCH($T$1,Database!$A$1:$AS$1,),)))))/(((VLOOKUP(EDATE(B164,-12),Database!$A:$AS,MATCH($T$1,Database!$A$1:$AS$1,),))))</f>
        <v/>
      </c>
      <c r="U164" s="13">
        <f>((((VLOOKUP(B164,Database!$A:$AS,MATCH($U$1,Database!$A$1:$AS$1,),))))-(((VLOOKUP(EDATE(B164,-12),Database!$A:$AS,MATCH($U$1,Database!$A$1:$AS$1,),)))))/(((VLOOKUP(EDATE(B164,-12),Database!$A:$AS,MATCH($U$1,Database!$A$1:$AS$1,),))))</f>
        <v/>
      </c>
      <c r="V164" s="13">
        <f>((((VLOOKUP(B164,Database!$A:$AS,MATCH($V$1,Database!$A$1:$AS$1,),))))-(((VLOOKUP(EDATE(B164,-12),Database!$A:$AS,MATCH($V$1,Database!$A$1:$AS$1,),)))))/(((VLOOKUP(EDATE(B164,-12),Database!$A:$AS,MATCH($V$1,Database!$A$1:$AS$1,),))))</f>
        <v/>
      </c>
    </row>
    <row r="165" customFormat="1" s="94">
      <c r="A165" s="44" t="n"/>
      <c r="B165" s="85" t="n">
        <v>37165</v>
      </c>
      <c r="C165" s="13">
        <f>((((VLOOKUP(B165,Database!$A:$AS,MATCH($C$1,Database!$A$1:$AS$1,),))))-(((VLOOKUP(EDATE(B165,-12),Database!$A:$AS,MATCH($C$1,Database!$A$1:$AS$1,),)))))/(((VLOOKUP(EDATE(B165,-12),Database!$A:$AS,MATCH($C$1,Database!$A$1:$AS$1,),))))</f>
        <v/>
      </c>
      <c r="D165" s="13">
        <f>((((VLOOKUP(B165,Database!$A:$AS,MATCH($D$1,Database!$A$1:$AS$1,),))))-(((VLOOKUP(EDATE(B165,-12),Database!$A:$AS,MATCH($D$1,Database!$A$1:$AS$1,),)))))/(((VLOOKUP(EDATE(B165,-12),Database!$A:$AS,MATCH($D$1,Database!$A$1:$AS$1,),))))</f>
        <v/>
      </c>
      <c r="E165" s="13">
        <f>((((VLOOKUP(B165,Database!$A:$AS,MATCH($E$1,Database!$A$1:$AS$1,),))))-(((VLOOKUP(EDATE(B165,-12),Database!$A:$AS,MATCH($E$1,Database!$A$1:$AS$1,),)))))/(((VLOOKUP(EDATE(B165,-12),Database!$A:$AS,MATCH($E$1,Database!$A$1:$AS$1,),))))</f>
        <v/>
      </c>
      <c r="F165" s="13">
        <f>((((VLOOKUP(B165,Database!$A:$AS,MATCH($F$1,Database!$A$1:$AS$1,),))))-(((VLOOKUP(EDATE(B165,-12),Database!$A:$AS,MATCH($F$1,Database!$A$1:$AS$1,),)))))/(((VLOOKUP(EDATE(B165,-12),Database!$A:$AS,MATCH($F$1,Database!$A$1:$AS$1,),))))</f>
        <v/>
      </c>
      <c r="G165" s="13">
        <f>((((VLOOKUP(B165,Database!$A:$AS,MATCH($G$1,Database!$A$1:$AS$1,),))))-(((VLOOKUP(EDATE(B165,-12),Database!$A:$AS,MATCH($G$1,Database!$A$1:$AS$1,),)))))/(((VLOOKUP(EDATE(B165,-12),Database!$A:$AS,MATCH($G$1,Database!$A$1:$AS$1,),))))</f>
        <v/>
      </c>
      <c r="H165" s="13">
        <f>((((VLOOKUP(B165,Database!$A:$AS,MATCH($H$1,Database!$A$1:$AS$1,),))))-(((VLOOKUP(EDATE(B165,-12),Database!$A:$AS,MATCH($H$1,Database!$A$1:$AS$1,),)))))/(((VLOOKUP(EDATE(B165,-12),Database!$A:$AS,MATCH($H$1,Database!$A$1:$AS$1,),))))</f>
        <v/>
      </c>
      <c r="I165" s="13">
        <f>((((VLOOKUP(B165,Database!$A:$AS,MATCH($I$1,Database!$A$1:$AS$1,),))))-(((VLOOKUP(EDATE(B165,-12),Database!$A:$AS,MATCH($I$1,Database!$A$1:$AS$1,),)))))/(((VLOOKUP(EDATE(B165,-12),Database!$A:$AS,MATCH($I$1,Database!$A$1:$AS$1,),))))</f>
        <v/>
      </c>
      <c r="J165" s="13">
        <f>((((VLOOKUP(B165,Database!$A:$AS,MATCH($J$1,Database!$A$1:$AS$1,),))))-(((VLOOKUP(EDATE(B165,-12),Database!$A:$AS,MATCH($J$1,Database!$A$1:$AS$1,),)))))/(((VLOOKUP(EDATE(B165,-12),Database!$A:$AS,MATCH($J$1,Database!$A$1:$AS$1,),))))</f>
        <v/>
      </c>
      <c r="K165" s="13">
        <f>((((VLOOKUP(B165,Database!$A:$AS,MATCH($K$1,Database!$A$1:$AS$1,),))))-(((VLOOKUP(EDATE(B165,-12),Database!$A:$AS,MATCH($K$1,Database!$A$1:$AS$1,),)))))/(((VLOOKUP(EDATE(B165,-12),Database!$A:$AS,MATCH($K$1,Database!$A$1:$AS$1,),))))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((((VLOOKUP(B165,Database!$A:$AS,MATCH($O$1,Database!$A$1:$AS$1,),))))-(((VLOOKUP(EDATE(B165,-12),Database!$A:$AS,MATCH($O$1,Database!$A$1:$AS$1,),)))))/(((VLOOKUP(EDATE(B165,-12),Database!$A:$AS,MATCH($O$1,Database!$A$1:$AS$1,),))))</f>
        <v/>
      </c>
      <c r="P165" s="13">
        <f>((((VLOOKUP(B165,Database!$A:$AS,MATCH($P$1,Database!$A$1:$AS$1,),))))-(((VLOOKUP(EDATE(B165,-12),Database!$A:$AS,MATCH($P$1,Database!$A$1:$AS$1,),)))))/(((VLOOKUP(EDATE(B165,-12),Database!$A:$AS,MATCH($P$1,Database!$A$1:$AS$1,),))))</f>
        <v/>
      </c>
      <c r="Q165" s="13">
        <f>((((VLOOKUP(B165,Database!$A:$AS,MATCH($Q$1,Database!$A$1:$AS$1,),))))-(((VLOOKUP(EDATE(B165,-12),Database!$A:$AS,MATCH($Q$1,Database!$A$1:$AS$1,),)))))/(((VLOOKUP(EDATE(B165,-12),Database!$A:$AS,MATCH($Q$1,Database!$A$1:$AS$1,),))))</f>
        <v/>
      </c>
      <c r="R165" s="13">
        <f>((((VLOOKUP(B165,Database!$A:$AS,MATCH($R$1,Database!$A$1:$AS$1,),))))-(((VLOOKUP(EDATE(B165,-12),Database!$A:$AS,MATCH($R$1,Database!$A$1:$AS$1,),)))))/(((VLOOKUP(EDATE(B165,-12),Database!$A:$AS,MATCH($R$1,Database!$A$1:$AS$1,),))))</f>
        <v/>
      </c>
      <c r="S165" s="13">
        <f>((((VLOOKUP(B165,Database!$A:$AS,MATCH($S$1,Database!$A$1:$AS$1,),))))-(((VLOOKUP(EDATE(B165,-12),Database!$A:$AS,MATCH($S$1,Database!$A$1:$AS$1,),)))))/(((VLOOKUP(EDATE(B165,-12),Database!$A:$AS,MATCH($S$1,Database!$A$1:$AS$1,),))))</f>
        <v/>
      </c>
      <c r="T165" s="13">
        <f>((((VLOOKUP(B165,Database!$A:$AS,MATCH($T$1,Database!$A$1:$AS$1,),))))-(((VLOOKUP(EDATE(B165,-12),Database!$A:$AS,MATCH($T$1,Database!$A$1:$AS$1,),)))))/(((VLOOKUP(EDATE(B165,-12),Database!$A:$AS,MATCH($T$1,Database!$A$1:$AS$1,),))))</f>
        <v/>
      </c>
      <c r="U165" s="13">
        <f>((((VLOOKUP(B165,Database!$A:$AS,MATCH($U$1,Database!$A$1:$AS$1,),))))-(((VLOOKUP(EDATE(B165,-12),Database!$A:$AS,MATCH($U$1,Database!$A$1:$AS$1,),)))))/(((VLOOKUP(EDATE(B165,-12),Database!$A:$AS,MATCH($U$1,Database!$A$1:$AS$1,),))))</f>
        <v/>
      </c>
      <c r="V165" s="13">
        <f>((((VLOOKUP(B165,Database!$A:$AS,MATCH($V$1,Database!$A$1:$AS$1,),))))-(((VLOOKUP(EDATE(B165,-12),Database!$A:$AS,MATCH($V$1,Database!$A$1:$AS$1,),)))))/(((VLOOKUP(EDATE(B165,-12),Database!$A:$AS,MATCH($V$1,Database!$A$1:$AS$1,),))))</f>
        <v/>
      </c>
    </row>
    <row r="166" customFormat="1" s="94">
      <c r="A166" s="44" t="n"/>
      <c r="B166" s="85" t="n">
        <v>37196</v>
      </c>
      <c r="C166" s="13">
        <f>((((VLOOKUP(B166,Database!$A:$AS,MATCH($C$1,Database!$A$1:$AS$1,),))))-(((VLOOKUP(EDATE(B166,-12),Database!$A:$AS,MATCH($C$1,Database!$A$1:$AS$1,),)))))/(((VLOOKUP(EDATE(B166,-12),Database!$A:$AS,MATCH($C$1,Database!$A$1:$AS$1,),))))</f>
        <v/>
      </c>
      <c r="D166" s="13">
        <f>((((VLOOKUP(B166,Database!$A:$AS,MATCH($D$1,Database!$A$1:$AS$1,),))))-(((VLOOKUP(EDATE(B166,-12),Database!$A:$AS,MATCH($D$1,Database!$A$1:$AS$1,),)))))/(((VLOOKUP(EDATE(B166,-12),Database!$A:$AS,MATCH($D$1,Database!$A$1:$AS$1,),))))</f>
        <v/>
      </c>
      <c r="E166" s="13">
        <f>((((VLOOKUP(B166,Database!$A:$AS,MATCH($E$1,Database!$A$1:$AS$1,),))))-(((VLOOKUP(EDATE(B166,-12),Database!$A:$AS,MATCH($E$1,Database!$A$1:$AS$1,),)))))/(((VLOOKUP(EDATE(B166,-12),Database!$A:$AS,MATCH($E$1,Database!$A$1:$AS$1,),))))</f>
        <v/>
      </c>
      <c r="F166" s="13">
        <f>((((VLOOKUP(B166,Database!$A:$AS,MATCH($F$1,Database!$A$1:$AS$1,),))))-(((VLOOKUP(EDATE(B166,-12),Database!$A:$AS,MATCH($F$1,Database!$A$1:$AS$1,),)))))/(((VLOOKUP(EDATE(B166,-12),Database!$A:$AS,MATCH($F$1,Database!$A$1:$AS$1,),))))</f>
        <v/>
      </c>
      <c r="G166" s="13">
        <f>((((VLOOKUP(B166,Database!$A:$AS,MATCH($G$1,Database!$A$1:$AS$1,),))))-(((VLOOKUP(EDATE(B166,-12),Database!$A:$AS,MATCH($G$1,Database!$A$1:$AS$1,),)))))/(((VLOOKUP(EDATE(B166,-12),Database!$A:$AS,MATCH($G$1,Database!$A$1:$AS$1,),))))</f>
        <v/>
      </c>
      <c r="H166" s="13">
        <f>((((VLOOKUP(B166,Database!$A:$AS,MATCH($H$1,Database!$A$1:$AS$1,),))))-(((VLOOKUP(EDATE(B166,-12),Database!$A:$AS,MATCH($H$1,Database!$A$1:$AS$1,),)))))/(((VLOOKUP(EDATE(B166,-12),Database!$A:$AS,MATCH($H$1,Database!$A$1:$AS$1,),))))</f>
        <v/>
      </c>
      <c r="I166" s="13">
        <f>((((VLOOKUP(B166,Database!$A:$AS,MATCH($I$1,Database!$A$1:$AS$1,),))))-(((VLOOKUP(EDATE(B166,-12),Database!$A:$AS,MATCH($I$1,Database!$A$1:$AS$1,),)))))/(((VLOOKUP(EDATE(B166,-12),Database!$A:$AS,MATCH($I$1,Database!$A$1:$AS$1,),))))</f>
        <v/>
      </c>
      <c r="J166" s="13">
        <f>((((VLOOKUP(B166,Database!$A:$AS,MATCH($J$1,Database!$A$1:$AS$1,),))))-(((VLOOKUP(EDATE(B166,-12),Database!$A:$AS,MATCH($J$1,Database!$A$1:$AS$1,),)))))/(((VLOOKUP(EDATE(B166,-12),Database!$A:$AS,MATCH($J$1,Database!$A$1:$AS$1,),))))</f>
        <v/>
      </c>
      <c r="K166" s="13">
        <f>((((VLOOKUP(B166,Database!$A:$AS,MATCH($K$1,Database!$A$1:$AS$1,),))))-(((VLOOKUP(EDATE(B166,-12),Database!$A:$AS,MATCH($K$1,Database!$A$1:$AS$1,),)))))/(((VLOOKUP(EDATE(B166,-12),Database!$A:$AS,MATCH($K$1,Database!$A$1:$AS$1,),))))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((((VLOOKUP(B166,Database!$A:$AS,MATCH($O$1,Database!$A$1:$AS$1,),))))-(((VLOOKUP(EDATE(B166,-12),Database!$A:$AS,MATCH($O$1,Database!$A$1:$AS$1,),)))))/(((VLOOKUP(EDATE(B166,-12),Database!$A:$AS,MATCH($O$1,Database!$A$1:$AS$1,),))))</f>
        <v/>
      </c>
      <c r="P166" s="13">
        <f>((((VLOOKUP(B166,Database!$A:$AS,MATCH($P$1,Database!$A$1:$AS$1,),))))-(((VLOOKUP(EDATE(B166,-12),Database!$A:$AS,MATCH($P$1,Database!$A$1:$AS$1,),)))))/(((VLOOKUP(EDATE(B166,-12),Database!$A:$AS,MATCH($P$1,Database!$A$1:$AS$1,),))))</f>
        <v/>
      </c>
      <c r="Q166" s="13">
        <f>((((VLOOKUP(B166,Database!$A:$AS,MATCH($Q$1,Database!$A$1:$AS$1,),))))-(((VLOOKUP(EDATE(B166,-12),Database!$A:$AS,MATCH($Q$1,Database!$A$1:$AS$1,),)))))/(((VLOOKUP(EDATE(B166,-12),Database!$A:$AS,MATCH($Q$1,Database!$A$1:$AS$1,),))))</f>
        <v/>
      </c>
      <c r="R166" s="13">
        <f>((((VLOOKUP(B166,Database!$A:$AS,MATCH($R$1,Database!$A$1:$AS$1,),))))-(((VLOOKUP(EDATE(B166,-12),Database!$A:$AS,MATCH($R$1,Database!$A$1:$AS$1,),)))))/(((VLOOKUP(EDATE(B166,-12),Database!$A:$AS,MATCH($R$1,Database!$A$1:$AS$1,),))))</f>
        <v/>
      </c>
      <c r="S166" s="13">
        <f>((((VLOOKUP(B166,Database!$A:$AS,MATCH($S$1,Database!$A$1:$AS$1,),))))-(((VLOOKUP(EDATE(B166,-12),Database!$A:$AS,MATCH($S$1,Database!$A$1:$AS$1,),)))))/(((VLOOKUP(EDATE(B166,-12),Database!$A:$AS,MATCH($S$1,Database!$A$1:$AS$1,),))))</f>
        <v/>
      </c>
      <c r="T166" s="13">
        <f>((((VLOOKUP(B166,Database!$A:$AS,MATCH($T$1,Database!$A$1:$AS$1,),))))-(((VLOOKUP(EDATE(B166,-12),Database!$A:$AS,MATCH($T$1,Database!$A$1:$AS$1,),)))))/(((VLOOKUP(EDATE(B166,-12),Database!$A:$AS,MATCH($T$1,Database!$A$1:$AS$1,),))))</f>
        <v/>
      </c>
      <c r="U166" s="13">
        <f>((((VLOOKUP(B166,Database!$A:$AS,MATCH($U$1,Database!$A$1:$AS$1,),))))-(((VLOOKUP(EDATE(B166,-12),Database!$A:$AS,MATCH($U$1,Database!$A$1:$AS$1,),)))))/(((VLOOKUP(EDATE(B166,-12),Database!$A:$AS,MATCH($U$1,Database!$A$1:$AS$1,),))))</f>
        <v/>
      </c>
      <c r="V166" s="13">
        <f>((((VLOOKUP(B166,Database!$A:$AS,MATCH($V$1,Database!$A$1:$AS$1,),))))-(((VLOOKUP(EDATE(B166,-12),Database!$A:$AS,MATCH($V$1,Database!$A$1:$AS$1,),)))))/(((VLOOKUP(EDATE(B166,-12),Database!$A:$AS,MATCH($V$1,Database!$A$1:$AS$1,),))))</f>
        <v/>
      </c>
    </row>
    <row r="167" customFormat="1" s="94">
      <c r="A167" s="44" t="n"/>
      <c r="B167" s="85" t="n">
        <v>37226</v>
      </c>
      <c r="C167" s="13">
        <f>((((VLOOKUP(B167,Database!$A:$AS,MATCH($C$1,Database!$A$1:$AS$1,),))))-(((VLOOKUP(EDATE(B167,-12),Database!$A:$AS,MATCH($C$1,Database!$A$1:$AS$1,),)))))/(((VLOOKUP(EDATE(B167,-12),Database!$A:$AS,MATCH($C$1,Database!$A$1:$AS$1,),))))</f>
        <v/>
      </c>
      <c r="D167" s="13">
        <f>((((VLOOKUP(B167,Database!$A:$AS,MATCH($D$1,Database!$A$1:$AS$1,),))))-(((VLOOKUP(EDATE(B167,-12),Database!$A:$AS,MATCH($D$1,Database!$A$1:$AS$1,),)))))/(((VLOOKUP(EDATE(B167,-12),Database!$A:$AS,MATCH($D$1,Database!$A$1:$AS$1,),))))</f>
        <v/>
      </c>
      <c r="E167" s="13">
        <f>((((VLOOKUP(B167,Database!$A:$AS,MATCH($E$1,Database!$A$1:$AS$1,),))))-(((VLOOKUP(EDATE(B167,-12),Database!$A:$AS,MATCH($E$1,Database!$A$1:$AS$1,),)))))/(((VLOOKUP(EDATE(B167,-12),Database!$A:$AS,MATCH($E$1,Database!$A$1:$AS$1,),))))</f>
        <v/>
      </c>
      <c r="F167" s="13">
        <f>((((VLOOKUP(B167,Database!$A:$AS,MATCH($F$1,Database!$A$1:$AS$1,),))))-(((VLOOKUP(EDATE(B167,-12),Database!$A:$AS,MATCH($F$1,Database!$A$1:$AS$1,),)))))/(((VLOOKUP(EDATE(B167,-12),Database!$A:$AS,MATCH($F$1,Database!$A$1:$AS$1,),))))</f>
        <v/>
      </c>
      <c r="G167" s="13">
        <f>((((VLOOKUP(B167,Database!$A:$AS,MATCH($G$1,Database!$A$1:$AS$1,),))))-(((VLOOKUP(EDATE(B167,-12),Database!$A:$AS,MATCH($G$1,Database!$A$1:$AS$1,),)))))/(((VLOOKUP(EDATE(B167,-12),Database!$A:$AS,MATCH($G$1,Database!$A$1:$AS$1,),))))</f>
        <v/>
      </c>
      <c r="H167" s="13">
        <f>((((VLOOKUP(B167,Database!$A:$AS,MATCH($H$1,Database!$A$1:$AS$1,),))))-(((VLOOKUP(EDATE(B167,-12),Database!$A:$AS,MATCH($H$1,Database!$A$1:$AS$1,),)))))/(((VLOOKUP(EDATE(B167,-12),Database!$A:$AS,MATCH($H$1,Database!$A$1:$AS$1,),))))</f>
        <v/>
      </c>
      <c r="I167" s="13">
        <f>((((VLOOKUP(B167,Database!$A:$AS,MATCH($I$1,Database!$A$1:$AS$1,),))))-(((VLOOKUP(EDATE(B167,-12),Database!$A:$AS,MATCH($I$1,Database!$A$1:$AS$1,),)))))/(((VLOOKUP(EDATE(B167,-12),Database!$A:$AS,MATCH($I$1,Database!$A$1:$AS$1,),))))</f>
        <v/>
      </c>
      <c r="J167" s="13">
        <f>((((VLOOKUP(B167,Database!$A:$AS,MATCH($J$1,Database!$A$1:$AS$1,),))))-(((VLOOKUP(EDATE(B167,-12),Database!$A:$AS,MATCH($J$1,Database!$A$1:$AS$1,),)))))/(((VLOOKUP(EDATE(B167,-12),Database!$A:$AS,MATCH($J$1,Database!$A$1:$AS$1,),))))</f>
        <v/>
      </c>
      <c r="K167" s="13">
        <f>((((VLOOKUP(B167,Database!$A:$AS,MATCH($K$1,Database!$A$1:$AS$1,),))))-(((VLOOKUP(EDATE(B167,-12),Database!$A:$AS,MATCH($K$1,Database!$A$1:$AS$1,),)))))/(((VLOOKUP(EDATE(B167,-12),Database!$A:$AS,MATCH($K$1,Database!$A$1:$AS$1,),))))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((((VLOOKUP(B167,Database!$A:$AS,MATCH($O$1,Database!$A$1:$AS$1,),))))-(((VLOOKUP(EDATE(B167,-12),Database!$A:$AS,MATCH($O$1,Database!$A$1:$AS$1,),)))))/(((VLOOKUP(EDATE(B167,-12),Database!$A:$AS,MATCH($O$1,Database!$A$1:$AS$1,),))))</f>
        <v/>
      </c>
      <c r="P167" s="13">
        <f>((((VLOOKUP(B167,Database!$A:$AS,MATCH($P$1,Database!$A$1:$AS$1,),))))-(((VLOOKUP(EDATE(B167,-12),Database!$A:$AS,MATCH($P$1,Database!$A$1:$AS$1,),)))))/(((VLOOKUP(EDATE(B167,-12),Database!$A:$AS,MATCH($P$1,Database!$A$1:$AS$1,),))))</f>
        <v/>
      </c>
      <c r="Q167" s="13">
        <f>((((VLOOKUP(B167,Database!$A:$AS,MATCH($Q$1,Database!$A$1:$AS$1,),))))-(((VLOOKUP(EDATE(B167,-12),Database!$A:$AS,MATCH($Q$1,Database!$A$1:$AS$1,),)))))/(((VLOOKUP(EDATE(B167,-12),Database!$A:$AS,MATCH($Q$1,Database!$A$1:$AS$1,),))))</f>
        <v/>
      </c>
      <c r="R167" s="13">
        <f>((((VLOOKUP(B167,Database!$A:$AS,MATCH($R$1,Database!$A$1:$AS$1,),))))-(((VLOOKUP(EDATE(B167,-12),Database!$A:$AS,MATCH($R$1,Database!$A$1:$AS$1,),)))))/(((VLOOKUP(EDATE(B167,-12),Database!$A:$AS,MATCH($R$1,Database!$A$1:$AS$1,),))))</f>
        <v/>
      </c>
      <c r="S167" s="13">
        <f>((((VLOOKUP(B167,Database!$A:$AS,MATCH($S$1,Database!$A$1:$AS$1,),))))-(((VLOOKUP(EDATE(B167,-12),Database!$A:$AS,MATCH($S$1,Database!$A$1:$AS$1,),)))))/(((VLOOKUP(EDATE(B167,-12),Database!$A:$AS,MATCH($S$1,Database!$A$1:$AS$1,),))))</f>
        <v/>
      </c>
      <c r="T167" s="13">
        <f>((((VLOOKUP(B167,Database!$A:$AS,MATCH($T$1,Database!$A$1:$AS$1,),))))-(((VLOOKUP(EDATE(B167,-12),Database!$A:$AS,MATCH($T$1,Database!$A$1:$AS$1,),)))))/(((VLOOKUP(EDATE(B167,-12),Database!$A:$AS,MATCH($T$1,Database!$A$1:$AS$1,),))))</f>
        <v/>
      </c>
      <c r="U167" s="13">
        <f>((((VLOOKUP(B167,Database!$A:$AS,MATCH($U$1,Database!$A$1:$AS$1,),))))-(((VLOOKUP(EDATE(B167,-12),Database!$A:$AS,MATCH($U$1,Database!$A$1:$AS$1,),)))))/(((VLOOKUP(EDATE(B167,-12),Database!$A:$AS,MATCH($U$1,Database!$A$1:$AS$1,),))))</f>
        <v/>
      </c>
      <c r="V167" s="13">
        <f>((((VLOOKUP(B167,Database!$A:$AS,MATCH($V$1,Database!$A$1:$AS$1,),))))-(((VLOOKUP(EDATE(B167,-12),Database!$A:$AS,MATCH($V$1,Database!$A$1:$AS$1,),)))))/(((VLOOKUP(EDATE(B167,-12),Database!$A:$AS,MATCH($V$1,Database!$A$1:$AS$1,),))))</f>
        <v/>
      </c>
    </row>
    <row r="168" customFormat="1" s="94">
      <c r="A168" s="44" t="n"/>
      <c r="B168" s="85" t="n">
        <v>37257</v>
      </c>
      <c r="C168" s="13">
        <f>((((VLOOKUP(B168,Database!$A:$AS,MATCH($C$1,Database!$A$1:$AS$1,),))))-(((VLOOKUP(EDATE(B168,-12),Database!$A:$AS,MATCH($C$1,Database!$A$1:$AS$1,),)))))/(((VLOOKUP(EDATE(B168,-12),Database!$A:$AS,MATCH($C$1,Database!$A$1:$AS$1,),))))</f>
        <v/>
      </c>
      <c r="D168" s="13">
        <f>((((VLOOKUP(B168,Database!$A:$AS,MATCH($D$1,Database!$A$1:$AS$1,),))))-(((VLOOKUP(EDATE(B168,-12),Database!$A:$AS,MATCH($D$1,Database!$A$1:$AS$1,),)))))/(((VLOOKUP(EDATE(B168,-12),Database!$A:$AS,MATCH($D$1,Database!$A$1:$AS$1,),))))</f>
        <v/>
      </c>
      <c r="E168" s="13">
        <f>((((VLOOKUP(B168,Database!$A:$AS,MATCH($E$1,Database!$A$1:$AS$1,),))))-(((VLOOKUP(EDATE(B168,-12),Database!$A:$AS,MATCH($E$1,Database!$A$1:$AS$1,),)))))/(((VLOOKUP(EDATE(B168,-12),Database!$A:$AS,MATCH($E$1,Database!$A$1:$AS$1,),))))</f>
        <v/>
      </c>
      <c r="F168" s="13">
        <f>((((VLOOKUP(B168,Database!$A:$AS,MATCH($F$1,Database!$A$1:$AS$1,),))))-(((VLOOKUP(EDATE(B168,-12),Database!$A:$AS,MATCH($F$1,Database!$A$1:$AS$1,),)))))/(((VLOOKUP(EDATE(B168,-12),Database!$A:$AS,MATCH($F$1,Database!$A$1:$AS$1,),))))</f>
        <v/>
      </c>
      <c r="G168" s="13">
        <f>((((VLOOKUP(B168,Database!$A:$AS,MATCH($G$1,Database!$A$1:$AS$1,),))))-(((VLOOKUP(EDATE(B168,-12),Database!$A:$AS,MATCH($G$1,Database!$A$1:$AS$1,),)))))/(((VLOOKUP(EDATE(B168,-12),Database!$A:$AS,MATCH($G$1,Database!$A$1:$AS$1,),))))</f>
        <v/>
      </c>
      <c r="H168" s="13">
        <f>((((VLOOKUP(B168,Database!$A:$AS,MATCH($H$1,Database!$A$1:$AS$1,),))))-(((VLOOKUP(EDATE(B168,-12),Database!$A:$AS,MATCH($H$1,Database!$A$1:$AS$1,),)))))/(((VLOOKUP(EDATE(B168,-12),Database!$A:$AS,MATCH($H$1,Database!$A$1:$AS$1,),))))</f>
        <v/>
      </c>
      <c r="I168" s="13">
        <f>((((VLOOKUP(B168,Database!$A:$AS,MATCH($I$1,Database!$A$1:$AS$1,),))))-(((VLOOKUP(EDATE(B168,-12),Database!$A:$AS,MATCH($I$1,Database!$A$1:$AS$1,),)))))/(((VLOOKUP(EDATE(B168,-12),Database!$A:$AS,MATCH($I$1,Database!$A$1:$AS$1,),))))</f>
        <v/>
      </c>
      <c r="J168" s="13">
        <f>((((VLOOKUP(B168,Database!$A:$AS,MATCH($J$1,Database!$A$1:$AS$1,),))))-(((VLOOKUP(EDATE(B168,-12),Database!$A:$AS,MATCH($J$1,Database!$A$1:$AS$1,),)))))/(((VLOOKUP(EDATE(B168,-12),Database!$A:$AS,MATCH($J$1,Database!$A$1:$AS$1,),))))</f>
        <v/>
      </c>
      <c r="K168" s="13">
        <f>((((VLOOKUP(B168,Database!$A:$AS,MATCH($K$1,Database!$A$1:$AS$1,),))))-(((VLOOKUP(EDATE(B168,-12),Database!$A:$AS,MATCH($K$1,Database!$A$1:$AS$1,),)))))/(((VLOOKUP(EDATE(B168,-12),Database!$A:$AS,MATCH($K$1,Database!$A$1:$AS$1,),))))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((((VLOOKUP(B168,Database!$A:$AS,MATCH($O$1,Database!$A$1:$AS$1,),))))-(((VLOOKUP(EDATE(B168,-12),Database!$A:$AS,MATCH($O$1,Database!$A$1:$AS$1,),)))))/(((VLOOKUP(EDATE(B168,-12),Database!$A:$AS,MATCH($O$1,Database!$A$1:$AS$1,),))))</f>
        <v/>
      </c>
      <c r="P168" s="13">
        <f>((((VLOOKUP(B168,Database!$A:$AS,MATCH($P$1,Database!$A$1:$AS$1,),))))-(((VLOOKUP(EDATE(B168,-12),Database!$A:$AS,MATCH($P$1,Database!$A$1:$AS$1,),)))))/(((VLOOKUP(EDATE(B168,-12),Database!$A:$AS,MATCH($P$1,Database!$A$1:$AS$1,),))))</f>
        <v/>
      </c>
      <c r="Q168" s="13">
        <f>((((VLOOKUP(B168,Database!$A:$AS,MATCH($Q$1,Database!$A$1:$AS$1,),))))-(((VLOOKUP(EDATE(B168,-12),Database!$A:$AS,MATCH($Q$1,Database!$A$1:$AS$1,),)))))/(((VLOOKUP(EDATE(B168,-12),Database!$A:$AS,MATCH($Q$1,Database!$A$1:$AS$1,),))))</f>
        <v/>
      </c>
      <c r="R168" s="13">
        <f>((((VLOOKUP(B168,Database!$A:$AS,MATCH($R$1,Database!$A$1:$AS$1,),))))-(((VLOOKUP(EDATE(B168,-12),Database!$A:$AS,MATCH($R$1,Database!$A$1:$AS$1,),)))))/(((VLOOKUP(EDATE(B168,-12),Database!$A:$AS,MATCH($R$1,Database!$A$1:$AS$1,),))))</f>
        <v/>
      </c>
      <c r="S168" s="13">
        <f>((((VLOOKUP(B168,Database!$A:$AS,MATCH($S$1,Database!$A$1:$AS$1,),))))-(((VLOOKUP(EDATE(B168,-12),Database!$A:$AS,MATCH($S$1,Database!$A$1:$AS$1,),)))))/(((VLOOKUP(EDATE(B168,-12),Database!$A:$AS,MATCH($S$1,Database!$A$1:$AS$1,),))))</f>
        <v/>
      </c>
      <c r="T168" s="13">
        <f>((((VLOOKUP(B168,Database!$A:$AS,MATCH($T$1,Database!$A$1:$AS$1,),))))-(((VLOOKUP(EDATE(B168,-12),Database!$A:$AS,MATCH($T$1,Database!$A$1:$AS$1,),)))))/(((VLOOKUP(EDATE(B168,-12),Database!$A:$AS,MATCH($T$1,Database!$A$1:$AS$1,),))))</f>
        <v/>
      </c>
      <c r="U168" s="13">
        <f>((((VLOOKUP(B168,Database!$A:$AS,MATCH($U$1,Database!$A$1:$AS$1,),))))-(((VLOOKUP(EDATE(B168,-12),Database!$A:$AS,MATCH($U$1,Database!$A$1:$AS$1,),)))))/(((VLOOKUP(EDATE(B168,-12),Database!$A:$AS,MATCH($U$1,Database!$A$1:$AS$1,),))))</f>
        <v/>
      </c>
      <c r="V168" s="13">
        <f>((((VLOOKUP(B168,Database!$A:$AS,MATCH($V$1,Database!$A$1:$AS$1,),))))-(((VLOOKUP(EDATE(B168,-12),Database!$A:$AS,MATCH($V$1,Database!$A$1:$AS$1,),)))))/(((VLOOKUP(EDATE(B168,-12),Database!$A:$AS,MATCH($V$1,Database!$A$1:$AS$1,),))))</f>
        <v/>
      </c>
    </row>
    <row r="169" customFormat="1" s="94">
      <c r="A169" s="44" t="n"/>
      <c r="B169" s="85" t="n">
        <v>37288</v>
      </c>
      <c r="C169" s="13">
        <f>((((VLOOKUP(B169,Database!$A:$AS,MATCH($C$1,Database!$A$1:$AS$1,),))))-(((VLOOKUP(EDATE(B169,-12),Database!$A:$AS,MATCH($C$1,Database!$A$1:$AS$1,),)))))/(((VLOOKUP(EDATE(B169,-12),Database!$A:$AS,MATCH($C$1,Database!$A$1:$AS$1,),))))</f>
        <v/>
      </c>
      <c r="D169" s="13">
        <f>((((VLOOKUP(B169,Database!$A:$AS,MATCH($D$1,Database!$A$1:$AS$1,),))))-(((VLOOKUP(EDATE(B169,-12),Database!$A:$AS,MATCH($D$1,Database!$A$1:$AS$1,),)))))/(((VLOOKUP(EDATE(B169,-12),Database!$A:$AS,MATCH($D$1,Database!$A$1:$AS$1,),))))</f>
        <v/>
      </c>
      <c r="E169" s="13">
        <f>((((VLOOKUP(B169,Database!$A:$AS,MATCH($E$1,Database!$A$1:$AS$1,),))))-(((VLOOKUP(EDATE(B169,-12),Database!$A:$AS,MATCH($E$1,Database!$A$1:$AS$1,),)))))/(((VLOOKUP(EDATE(B169,-12),Database!$A:$AS,MATCH($E$1,Database!$A$1:$AS$1,),))))</f>
        <v/>
      </c>
      <c r="F169" s="13">
        <f>((((VLOOKUP(B169,Database!$A:$AS,MATCH($F$1,Database!$A$1:$AS$1,),))))-(((VLOOKUP(EDATE(B169,-12),Database!$A:$AS,MATCH($F$1,Database!$A$1:$AS$1,),)))))/(((VLOOKUP(EDATE(B169,-12),Database!$A:$AS,MATCH($F$1,Database!$A$1:$AS$1,),))))</f>
        <v/>
      </c>
      <c r="G169" s="13">
        <f>((((VLOOKUP(B169,Database!$A:$AS,MATCH($G$1,Database!$A$1:$AS$1,),))))-(((VLOOKUP(EDATE(B169,-12),Database!$A:$AS,MATCH($G$1,Database!$A$1:$AS$1,),)))))/(((VLOOKUP(EDATE(B169,-12),Database!$A:$AS,MATCH($G$1,Database!$A$1:$AS$1,),))))</f>
        <v/>
      </c>
      <c r="H169" s="13">
        <f>((((VLOOKUP(B169,Database!$A:$AS,MATCH($H$1,Database!$A$1:$AS$1,),))))-(((VLOOKUP(EDATE(B169,-12),Database!$A:$AS,MATCH($H$1,Database!$A$1:$AS$1,),)))))/(((VLOOKUP(EDATE(B169,-12),Database!$A:$AS,MATCH($H$1,Database!$A$1:$AS$1,),))))</f>
        <v/>
      </c>
      <c r="I169" s="13">
        <f>((((VLOOKUP(B169,Database!$A:$AS,MATCH($I$1,Database!$A$1:$AS$1,),))))-(((VLOOKUP(EDATE(B169,-12),Database!$A:$AS,MATCH($I$1,Database!$A$1:$AS$1,),)))))/(((VLOOKUP(EDATE(B169,-12),Database!$A:$AS,MATCH($I$1,Database!$A$1:$AS$1,),))))</f>
        <v/>
      </c>
      <c r="J169" s="13">
        <f>((((VLOOKUP(B169,Database!$A:$AS,MATCH($J$1,Database!$A$1:$AS$1,),))))-(((VLOOKUP(EDATE(B169,-12),Database!$A:$AS,MATCH($J$1,Database!$A$1:$AS$1,),)))))/(((VLOOKUP(EDATE(B169,-12),Database!$A:$AS,MATCH($J$1,Database!$A$1:$AS$1,),))))</f>
        <v/>
      </c>
      <c r="K169" s="13">
        <f>((((VLOOKUP(B169,Database!$A:$AS,MATCH($K$1,Database!$A$1:$AS$1,),))))-(((VLOOKUP(EDATE(B169,-12),Database!$A:$AS,MATCH($K$1,Database!$A$1:$AS$1,),)))))/(((VLOOKUP(EDATE(B169,-12),Database!$A:$AS,MATCH($K$1,Database!$A$1:$AS$1,),))))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((((VLOOKUP(B169,Database!$A:$AS,MATCH($O$1,Database!$A$1:$AS$1,),))))-(((VLOOKUP(EDATE(B169,-12),Database!$A:$AS,MATCH($O$1,Database!$A$1:$AS$1,),)))))/(((VLOOKUP(EDATE(B169,-12),Database!$A:$AS,MATCH($O$1,Database!$A$1:$AS$1,),))))</f>
        <v/>
      </c>
      <c r="P169" s="13">
        <f>((((VLOOKUP(B169,Database!$A:$AS,MATCH($P$1,Database!$A$1:$AS$1,),))))-(((VLOOKUP(EDATE(B169,-12),Database!$A:$AS,MATCH($P$1,Database!$A$1:$AS$1,),)))))/(((VLOOKUP(EDATE(B169,-12),Database!$A:$AS,MATCH($P$1,Database!$A$1:$AS$1,),))))</f>
        <v/>
      </c>
      <c r="Q169" s="13">
        <f>((((VLOOKUP(B169,Database!$A:$AS,MATCH($Q$1,Database!$A$1:$AS$1,),))))-(((VLOOKUP(EDATE(B169,-12),Database!$A:$AS,MATCH($Q$1,Database!$A$1:$AS$1,),)))))/(((VLOOKUP(EDATE(B169,-12),Database!$A:$AS,MATCH($Q$1,Database!$A$1:$AS$1,),))))</f>
        <v/>
      </c>
      <c r="R169" s="13">
        <f>((((VLOOKUP(B169,Database!$A:$AS,MATCH($R$1,Database!$A$1:$AS$1,),))))-(((VLOOKUP(EDATE(B169,-12),Database!$A:$AS,MATCH($R$1,Database!$A$1:$AS$1,),)))))/(((VLOOKUP(EDATE(B169,-12),Database!$A:$AS,MATCH($R$1,Database!$A$1:$AS$1,),))))</f>
        <v/>
      </c>
      <c r="S169" s="13">
        <f>((((VLOOKUP(B169,Database!$A:$AS,MATCH($S$1,Database!$A$1:$AS$1,),))))-(((VLOOKUP(EDATE(B169,-12),Database!$A:$AS,MATCH($S$1,Database!$A$1:$AS$1,),)))))/(((VLOOKUP(EDATE(B169,-12),Database!$A:$AS,MATCH($S$1,Database!$A$1:$AS$1,),))))</f>
        <v/>
      </c>
      <c r="T169" s="13">
        <f>((((VLOOKUP(B169,Database!$A:$AS,MATCH($T$1,Database!$A$1:$AS$1,),))))-(((VLOOKUP(EDATE(B169,-12),Database!$A:$AS,MATCH($T$1,Database!$A$1:$AS$1,),)))))/(((VLOOKUP(EDATE(B169,-12),Database!$A:$AS,MATCH($T$1,Database!$A$1:$AS$1,),))))</f>
        <v/>
      </c>
      <c r="U169" s="13">
        <f>((((VLOOKUP(B169,Database!$A:$AS,MATCH($U$1,Database!$A$1:$AS$1,),))))-(((VLOOKUP(EDATE(B169,-12),Database!$A:$AS,MATCH($U$1,Database!$A$1:$AS$1,),)))))/(((VLOOKUP(EDATE(B169,-12),Database!$A:$AS,MATCH($U$1,Database!$A$1:$AS$1,),))))</f>
        <v/>
      </c>
      <c r="V169" s="13">
        <f>((((VLOOKUP(B169,Database!$A:$AS,MATCH($V$1,Database!$A$1:$AS$1,),))))-(((VLOOKUP(EDATE(B169,-12),Database!$A:$AS,MATCH($V$1,Database!$A$1:$AS$1,),)))))/(((VLOOKUP(EDATE(B169,-12),Database!$A:$AS,MATCH($V$1,Database!$A$1:$AS$1,),))))</f>
        <v/>
      </c>
    </row>
    <row r="170" customFormat="1" s="94">
      <c r="A170" s="44" t="n"/>
      <c r="B170" s="85" t="n">
        <v>37316</v>
      </c>
      <c r="C170" s="13">
        <f>((((VLOOKUP(B170,Database!$A:$AS,MATCH($C$1,Database!$A$1:$AS$1,),))))-(((VLOOKUP(EDATE(B170,-12),Database!$A:$AS,MATCH($C$1,Database!$A$1:$AS$1,),)))))/(((VLOOKUP(EDATE(B170,-12),Database!$A:$AS,MATCH($C$1,Database!$A$1:$AS$1,),))))</f>
        <v/>
      </c>
      <c r="D170" s="13">
        <f>((((VLOOKUP(B170,Database!$A:$AS,MATCH($D$1,Database!$A$1:$AS$1,),))))-(((VLOOKUP(EDATE(B170,-12),Database!$A:$AS,MATCH($D$1,Database!$A$1:$AS$1,),)))))/(((VLOOKUP(EDATE(B170,-12),Database!$A:$AS,MATCH($D$1,Database!$A$1:$AS$1,),))))</f>
        <v/>
      </c>
      <c r="E170" s="13">
        <f>((((VLOOKUP(B170,Database!$A:$AS,MATCH($E$1,Database!$A$1:$AS$1,),))))-(((VLOOKUP(EDATE(B170,-12),Database!$A:$AS,MATCH($E$1,Database!$A$1:$AS$1,),)))))/(((VLOOKUP(EDATE(B170,-12),Database!$A:$AS,MATCH($E$1,Database!$A$1:$AS$1,),))))</f>
        <v/>
      </c>
      <c r="F170" s="13">
        <f>((((VLOOKUP(B170,Database!$A:$AS,MATCH($F$1,Database!$A$1:$AS$1,),))))-(((VLOOKUP(EDATE(B170,-12),Database!$A:$AS,MATCH($F$1,Database!$A$1:$AS$1,),)))))/(((VLOOKUP(EDATE(B170,-12),Database!$A:$AS,MATCH($F$1,Database!$A$1:$AS$1,),))))</f>
        <v/>
      </c>
      <c r="G170" s="13">
        <f>((((VLOOKUP(B170,Database!$A:$AS,MATCH($G$1,Database!$A$1:$AS$1,),))))-(((VLOOKUP(EDATE(B170,-12),Database!$A:$AS,MATCH($G$1,Database!$A$1:$AS$1,),)))))/(((VLOOKUP(EDATE(B170,-12),Database!$A:$AS,MATCH($G$1,Database!$A$1:$AS$1,),))))</f>
        <v/>
      </c>
      <c r="H170" s="13">
        <f>((((VLOOKUP(B170,Database!$A:$AS,MATCH($H$1,Database!$A$1:$AS$1,),))))-(((VLOOKUP(EDATE(B170,-12),Database!$A:$AS,MATCH($H$1,Database!$A$1:$AS$1,),)))))/(((VLOOKUP(EDATE(B170,-12),Database!$A:$AS,MATCH($H$1,Database!$A$1:$AS$1,),))))</f>
        <v/>
      </c>
      <c r="I170" s="13">
        <f>((((VLOOKUP(B170,Database!$A:$AS,MATCH($I$1,Database!$A$1:$AS$1,),))))-(((VLOOKUP(EDATE(B170,-12),Database!$A:$AS,MATCH($I$1,Database!$A$1:$AS$1,),)))))/(((VLOOKUP(EDATE(B170,-12),Database!$A:$AS,MATCH($I$1,Database!$A$1:$AS$1,),))))</f>
        <v/>
      </c>
      <c r="J170" s="13">
        <f>((((VLOOKUP(B170,Database!$A:$AS,MATCH($J$1,Database!$A$1:$AS$1,),))))-(((VLOOKUP(EDATE(B170,-12),Database!$A:$AS,MATCH($J$1,Database!$A$1:$AS$1,),)))))/(((VLOOKUP(EDATE(B170,-12),Database!$A:$AS,MATCH($J$1,Database!$A$1:$AS$1,),))))</f>
        <v/>
      </c>
      <c r="K170" s="13">
        <f>((((VLOOKUP(B170,Database!$A:$AS,MATCH($K$1,Database!$A$1:$AS$1,),))))-(((VLOOKUP(EDATE(B170,-12),Database!$A:$AS,MATCH($K$1,Database!$A$1:$AS$1,),)))))/(((VLOOKUP(EDATE(B170,-12),Database!$A:$AS,MATCH($K$1,Database!$A$1:$AS$1,),))))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((((VLOOKUP(B170,Database!$A:$AS,MATCH($O$1,Database!$A$1:$AS$1,),))))-(((VLOOKUP(EDATE(B170,-12),Database!$A:$AS,MATCH($O$1,Database!$A$1:$AS$1,),)))))/(((VLOOKUP(EDATE(B170,-12),Database!$A:$AS,MATCH($O$1,Database!$A$1:$AS$1,),))))</f>
        <v/>
      </c>
      <c r="P170" s="13">
        <f>((((VLOOKUP(B170,Database!$A:$AS,MATCH($P$1,Database!$A$1:$AS$1,),))))-(((VLOOKUP(EDATE(B170,-12),Database!$A:$AS,MATCH($P$1,Database!$A$1:$AS$1,),)))))/(((VLOOKUP(EDATE(B170,-12),Database!$A:$AS,MATCH($P$1,Database!$A$1:$AS$1,),))))</f>
        <v/>
      </c>
      <c r="Q170" s="13">
        <f>((((VLOOKUP(B170,Database!$A:$AS,MATCH($Q$1,Database!$A$1:$AS$1,),))))-(((VLOOKUP(EDATE(B170,-12),Database!$A:$AS,MATCH($Q$1,Database!$A$1:$AS$1,),)))))/(((VLOOKUP(EDATE(B170,-12),Database!$A:$AS,MATCH($Q$1,Database!$A$1:$AS$1,),))))</f>
        <v/>
      </c>
      <c r="R170" s="13">
        <f>((((VLOOKUP(B170,Database!$A:$AS,MATCH($R$1,Database!$A$1:$AS$1,),))))-(((VLOOKUP(EDATE(B170,-12),Database!$A:$AS,MATCH($R$1,Database!$A$1:$AS$1,),)))))/(((VLOOKUP(EDATE(B170,-12),Database!$A:$AS,MATCH($R$1,Database!$A$1:$AS$1,),))))</f>
        <v/>
      </c>
      <c r="S170" s="13">
        <f>((((VLOOKUP(B170,Database!$A:$AS,MATCH($S$1,Database!$A$1:$AS$1,),))))-(((VLOOKUP(EDATE(B170,-12),Database!$A:$AS,MATCH($S$1,Database!$A$1:$AS$1,),)))))/(((VLOOKUP(EDATE(B170,-12),Database!$A:$AS,MATCH($S$1,Database!$A$1:$AS$1,),))))</f>
        <v/>
      </c>
      <c r="T170" s="13">
        <f>((((VLOOKUP(B170,Database!$A:$AS,MATCH($T$1,Database!$A$1:$AS$1,),))))-(((VLOOKUP(EDATE(B170,-12),Database!$A:$AS,MATCH($T$1,Database!$A$1:$AS$1,),)))))/(((VLOOKUP(EDATE(B170,-12),Database!$A:$AS,MATCH($T$1,Database!$A$1:$AS$1,),))))</f>
        <v/>
      </c>
      <c r="U170" s="13">
        <f>((((VLOOKUP(B170,Database!$A:$AS,MATCH($U$1,Database!$A$1:$AS$1,),))))-(((VLOOKUP(EDATE(B170,-12),Database!$A:$AS,MATCH($U$1,Database!$A$1:$AS$1,),)))))/(((VLOOKUP(EDATE(B170,-12),Database!$A:$AS,MATCH($U$1,Database!$A$1:$AS$1,),))))</f>
        <v/>
      </c>
      <c r="V170" s="13">
        <f>((((VLOOKUP(B170,Database!$A:$AS,MATCH($V$1,Database!$A$1:$AS$1,),))))-(((VLOOKUP(EDATE(B170,-12),Database!$A:$AS,MATCH($V$1,Database!$A$1:$AS$1,),)))))/(((VLOOKUP(EDATE(B170,-12),Database!$A:$AS,MATCH($V$1,Database!$A$1:$AS$1,),))))</f>
        <v/>
      </c>
    </row>
    <row r="171" customFormat="1" s="94">
      <c r="A171" s="44" t="n"/>
      <c r="B171" s="85" t="n">
        <v>37347</v>
      </c>
      <c r="C171" s="13">
        <f>((((VLOOKUP(B171,Database!$A:$AS,MATCH($C$1,Database!$A$1:$AS$1,),))))-(((VLOOKUP(EDATE(B171,-12),Database!$A:$AS,MATCH($C$1,Database!$A$1:$AS$1,),)))))/(((VLOOKUP(EDATE(B171,-12),Database!$A:$AS,MATCH($C$1,Database!$A$1:$AS$1,),))))</f>
        <v/>
      </c>
      <c r="D171" s="13">
        <f>((((VLOOKUP(B171,Database!$A:$AS,MATCH($D$1,Database!$A$1:$AS$1,),))))-(((VLOOKUP(EDATE(B171,-12),Database!$A:$AS,MATCH($D$1,Database!$A$1:$AS$1,),)))))/(((VLOOKUP(EDATE(B171,-12),Database!$A:$AS,MATCH($D$1,Database!$A$1:$AS$1,),))))</f>
        <v/>
      </c>
      <c r="E171" s="13">
        <f>((((VLOOKUP(B171,Database!$A:$AS,MATCH($E$1,Database!$A$1:$AS$1,),))))-(((VLOOKUP(EDATE(B171,-12),Database!$A:$AS,MATCH($E$1,Database!$A$1:$AS$1,),)))))/(((VLOOKUP(EDATE(B171,-12),Database!$A:$AS,MATCH($E$1,Database!$A$1:$AS$1,),))))</f>
        <v/>
      </c>
      <c r="F171" s="13">
        <f>((((VLOOKUP(B171,Database!$A:$AS,MATCH($F$1,Database!$A$1:$AS$1,),))))-(((VLOOKUP(EDATE(B171,-12),Database!$A:$AS,MATCH($F$1,Database!$A$1:$AS$1,),)))))/(((VLOOKUP(EDATE(B171,-12),Database!$A:$AS,MATCH($F$1,Database!$A$1:$AS$1,),))))</f>
        <v/>
      </c>
      <c r="G171" s="13">
        <f>((((VLOOKUP(B171,Database!$A:$AS,MATCH($G$1,Database!$A$1:$AS$1,),))))-(((VLOOKUP(EDATE(B171,-12),Database!$A:$AS,MATCH($G$1,Database!$A$1:$AS$1,),)))))/(((VLOOKUP(EDATE(B171,-12),Database!$A:$AS,MATCH($G$1,Database!$A$1:$AS$1,),))))</f>
        <v/>
      </c>
      <c r="H171" s="13">
        <f>((((VLOOKUP(B171,Database!$A:$AS,MATCH($H$1,Database!$A$1:$AS$1,),))))-(((VLOOKUP(EDATE(B171,-12),Database!$A:$AS,MATCH($H$1,Database!$A$1:$AS$1,),)))))/(((VLOOKUP(EDATE(B171,-12),Database!$A:$AS,MATCH($H$1,Database!$A$1:$AS$1,),))))</f>
        <v/>
      </c>
      <c r="I171" s="13">
        <f>((((VLOOKUP(B171,Database!$A:$AS,MATCH($I$1,Database!$A$1:$AS$1,),))))-(((VLOOKUP(EDATE(B171,-12),Database!$A:$AS,MATCH($I$1,Database!$A$1:$AS$1,),)))))/(((VLOOKUP(EDATE(B171,-12),Database!$A:$AS,MATCH($I$1,Database!$A$1:$AS$1,),))))</f>
        <v/>
      </c>
      <c r="J171" s="13">
        <f>((((VLOOKUP(B171,Database!$A:$AS,MATCH($J$1,Database!$A$1:$AS$1,),))))-(((VLOOKUP(EDATE(B171,-12),Database!$A:$AS,MATCH($J$1,Database!$A$1:$AS$1,),)))))/(((VLOOKUP(EDATE(B171,-12),Database!$A:$AS,MATCH($J$1,Database!$A$1:$AS$1,),))))</f>
        <v/>
      </c>
      <c r="K171" s="13">
        <f>((((VLOOKUP(B171,Database!$A:$AS,MATCH($K$1,Database!$A$1:$AS$1,),))))-(((VLOOKUP(EDATE(B171,-12),Database!$A:$AS,MATCH($K$1,Database!$A$1:$AS$1,),)))))/(((VLOOKUP(EDATE(B171,-12),Database!$A:$AS,MATCH($K$1,Database!$A$1:$AS$1,),))))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((((VLOOKUP(B171,Database!$A:$AS,MATCH($O$1,Database!$A$1:$AS$1,),))))-(((VLOOKUP(EDATE(B171,-12),Database!$A:$AS,MATCH($O$1,Database!$A$1:$AS$1,),)))))/(((VLOOKUP(EDATE(B171,-12),Database!$A:$AS,MATCH($O$1,Database!$A$1:$AS$1,),))))</f>
        <v/>
      </c>
      <c r="P171" s="13">
        <f>((((VLOOKUP(B171,Database!$A:$AS,MATCH($P$1,Database!$A$1:$AS$1,),))))-(((VLOOKUP(EDATE(B171,-12),Database!$A:$AS,MATCH($P$1,Database!$A$1:$AS$1,),)))))/(((VLOOKUP(EDATE(B171,-12),Database!$A:$AS,MATCH($P$1,Database!$A$1:$AS$1,),))))</f>
        <v/>
      </c>
      <c r="Q171" s="13">
        <f>((((VLOOKUP(B171,Database!$A:$AS,MATCH($Q$1,Database!$A$1:$AS$1,),))))-(((VLOOKUP(EDATE(B171,-12),Database!$A:$AS,MATCH($Q$1,Database!$A$1:$AS$1,),)))))/(((VLOOKUP(EDATE(B171,-12),Database!$A:$AS,MATCH($Q$1,Database!$A$1:$AS$1,),))))</f>
        <v/>
      </c>
      <c r="R171" s="13">
        <f>((((VLOOKUP(B171,Database!$A:$AS,MATCH($R$1,Database!$A$1:$AS$1,),))))-(((VLOOKUP(EDATE(B171,-12),Database!$A:$AS,MATCH($R$1,Database!$A$1:$AS$1,),)))))/(((VLOOKUP(EDATE(B171,-12),Database!$A:$AS,MATCH($R$1,Database!$A$1:$AS$1,),))))</f>
        <v/>
      </c>
      <c r="S171" s="13">
        <f>((((VLOOKUP(B171,Database!$A:$AS,MATCH($S$1,Database!$A$1:$AS$1,),))))-(((VLOOKUP(EDATE(B171,-12),Database!$A:$AS,MATCH($S$1,Database!$A$1:$AS$1,),)))))/(((VLOOKUP(EDATE(B171,-12),Database!$A:$AS,MATCH($S$1,Database!$A$1:$AS$1,),))))</f>
        <v/>
      </c>
      <c r="T171" s="13">
        <f>((((VLOOKUP(B171,Database!$A:$AS,MATCH($T$1,Database!$A$1:$AS$1,),))))-(((VLOOKUP(EDATE(B171,-12),Database!$A:$AS,MATCH($T$1,Database!$A$1:$AS$1,),)))))/(((VLOOKUP(EDATE(B171,-12),Database!$A:$AS,MATCH($T$1,Database!$A$1:$AS$1,),))))</f>
        <v/>
      </c>
      <c r="U171" s="13">
        <f>((((VLOOKUP(B171,Database!$A:$AS,MATCH($U$1,Database!$A$1:$AS$1,),))))-(((VLOOKUP(EDATE(B171,-12),Database!$A:$AS,MATCH($U$1,Database!$A$1:$AS$1,),)))))/(((VLOOKUP(EDATE(B171,-12),Database!$A:$AS,MATCH($U$1,Database!$A$1:$AS$1,),))))</f>
        <v/>
      </c>
      <c r="V171" s="13">
        <f>((((VLOOKUP(B171,Database!$A:$AS,MATCH($V$1,Database!$A$1:$AS$1,),))))-(((VLOOKUP(EDATE(B171,-12),Database!$A:$AS,MATCH($V$1,Database!$A$1:$AS$1,),)))))/(((VLOOKUP(EDATE(B171,-12),Database!$A:$AS,MATCH($V$1,Database!$A$1:$AS$1,),))))</f>
        <v/>
      </c>
    </row>
    <row r="172" customFormat="1" s="94">
      <c r="A172" s="44" t="n"/>
      <c r="B172" s="85" t="n">
        <v>37377</v>
      </c>
      <c r="C172" s="13">
        <f>((((VLOOKUP(B172,Database!$A:$AS,MATCH($C$1,Database!$A$1:$AS$1,),))))-(((VLOOKUP(EDATE(B172,-12),Database!$A:$AS,MATCH($C$1,Database!$A$1:$AS$1,),)))))/(((VLOOKUP(EDATE(B172,-12),Database!$A:$AS,MATCH($C$1,Database!$A$1:$AS$1,),))))</f>
        <v/>
      </c>
      <c r="D172" s="13">
        <f>((((VLOOKUP(B172,Database!$A:$AS,MATCH($D$1,Database!$A$1:$AS$1,),))))-(((VLOOKUP(EDATE(B172,-12),Database!$A:$AS,MATCH($D$1,Database!$A$1:$AS$1,),)))))/(((VLOOKUP(EDATE(B172,-12),Database!$A:$AS,MATCH($D$1,Database!$A$1:$AS$1,),))))</f>
        <v/>
      </c>
      <c r="E172" s="13">
        <f>((((VLOOKUP(B172,Database!$A:$AS,MATCH($E$1,Database!$A$1:$AS$1,),))))-(((VLOOKUP(EDATE(B172,-12),Database!$A:$AS,MATCH($E$1,Database!$A$1:$AS$1,),)))))/(((VLOOKUP(EDATE(B172,-12),Database!$A:$AS,MATCH($E$1,Database!$A$1:$AS$1,),))))</f>
        <v/>
      </c>
      <c r="F172" s="13">
        <f>((((VLOOKUP(B172,Database!$A:$AS,MATCH($F$1,Database!$A$1:$AS$1,),))))-(((VLOOKUP(EDATE(B172,-12),Database!$A:$AS,MATCH($F$1,Database!$A$1:$AS$1,),)))))/(((VLOOKUP(EDATE(B172,-12),Database!$A:$AS,MATCH($F$1,Database!$A$1:$AS$1,),))))</f>
        <v/>
      </c>
      <c r="G172" s="13">
        <f>((((VLOOKUP(B172,Database!$A:$AS,MATCH($G$1,Database!$A$1:$AS$1,),))))-(((VLOOKUP(EDATE(B172,-12),Database!$A:$AS,MATCH($G$1,Database!$A$1:$AS$1,),)))))/(((VLOOKUP(EDATE(B172,-12),Database!$A:$AS,MATCH($G$1,Database!$A$1:$AS$1,),))))</f>
        <v/>
      </c>
      <c r="H172" s="13">
        <f>((((VLOOKUP(B172,Database!$A:$AS,MATCH($H$1,Database!$A$1:$AS$1,),))))-(((VLOOKUP(EDATE(B172,-12),Database!$A:$AS,MATCH($H$1,Database!$A$1:$AS$1,),)))))/(((VLOOKUP(EDATE(B172,-12),Database!$A:$AS,MATCH($H$1,Database!$A$1:$AS$1,),))))</f>
        <v/>
      </c>
      <c r="I172" s="13">
        <f>((((VLOOKUP(B172,Database!$A:$AS,MATCH($I$1,Database!$A$1:$AS$1,),))))-(((VLOOKUP(EDATE(B172,-12),Database!$A:$AS,MATCH($I$1,Database!$A$1:$AS$1,),)))))/(((VLOOKUP(EDATE(B172,-12),Database!$A:$AS,MATCH($I$1,Database!$A$1:$AS$1,),))))</f>
        <v/>
      </c>
      <c r="J172" s="13">
        <f>((((VLOOKUP(B172,Database!$A:$AS,MATCH($J$1,Database!$A$1:$AS$1,),))))-(((VLOOKUP(EDATE(B172,-12),Database!$A:$AS,MATCH($J$1,Database!$A$1:$AS$1,),)))))/(((VLOOKUP(EDATE(B172,-12),Database!$A:$AS,MATCH($J$1,Database!$A$1:$AS$1,),))))</f>
        <v/>
      </c>
      <c r="K172" s="13">
        <f>((((VLOOKUP(B172,Database!$A:$AS,MATCH($K$1,Database!$A$1:$AS$1,),))))-(((VLOOKUP(EDATE(B172,-12),Database!$A:$AS,MATCH($K$1,Database!$A$1:$AS$1,),)))))/(((VLOOKUP(EDATE(B172,-12),Database!$A:$AS,MATCH($K$1,Database!$A$1:$AS$1,),))))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((((VLOOKUP(B172,Database!$A:$AS,MATCH($O$1,Database!$A$1:$AS$1,),))))-(((VLOOKUP(EDATE(B172,-12),Database!$A:$AS,MATCH($O$1,Database!$A$1:$AS$1,),)))))/(((VLOOKUP(EDATE(B172,-12),Database!$A:$AS,MATCH($O$1,Database!$A$1:$AS$1,),))))</f>
        <v/>
      </c>
      <c r="P172" s="13">
        <f>((((VLOOKUP(B172,Database!$A:$AS,MATCH($P$1,Database!$A$1:$AS$1,),))))-(((VLOOKUP(EDATE(B172,-12),Database!$A:$AS,MATCH($P$1,Database!$A$1:$AS$1,),)))))/(((VLOOKUP(EDATE(B172,-12),Database!$A:$AS,MATCH($P$1,Database!$A$1:$AS$1,),))))</f>
        <v/>
      </c>
      <c r="Q172" s="13">
        <f>((((VLOOKUP(B172,Database!$A:$AS,MATCH($Q$1,Database!$A$1:$AS$1,),))))-(((VLOOKUP(EDATE(B172,-12),Database!$A:$AS,MATCH($Q$1,Database!$A$1:$AS$1,),)))))/(((VLOOKUP(EDATE(B172,-12),Database!$A:$AS,MATCH($Q$1,Database!$A$1:$AS$1,),))))</f>
        <v/>
      </c>
      <c r="R172" s="13">
        <f>((((VLOOKUP(B172,Database!$A:$AS,MATCH($R$1,Database!$A$1:$AS$1,),))))-(((VLOOKUP(EDATE(B172,-12),Database!$A:$AS,MATCH($R$1,Database!$A$1:$AS$1,),)))))/(((VLOOKUP(EDATE(B172,-12),Database!$A:$AS,MATCH($R$1,Database!$A$1:$AS$1,),))))</f>
        <v/>
      </c>
      <c r="S172" s="13">
        <f>((((VLOOKUP(B172,Database!$A:$AS,MATCH($S$1,Database!$A$1:$AS$1,),))))-(((VLOOKUP(EDATE(B172,-12),Database!$A:$AS,MATCH($S$1,Database!$A$1:$AS$1,),)))))/(((VLOOKUP(EDATE(B172,-12),Database!$A:$AS,MATCH($S$1,Database!$A$1:$AS$1,),))))</f>
        <v/>
      </c>
      <c r="T172" s="13">
        <f>((((VLOOKUP(B172,Database!$A:$AS,MATCH($T$1,Database!$A$1:$AS$1,),))))-(((VLOOKUP(EDATE(B172,-12),Database!$A:$AS,MATCH($T$1,Database!$A$1:$AS$1,),)))))/(((VLOOKUP(EDATE(B172,-12),Database!$A:$AS,MATCH($T$1,Database!$A$1:$AS$1,),))))</f>
        <v/>
      </c>
      <c r="U172" s="13">
        <f>((((VLOOKUP(B172,Database!$A:$AS,MATCH($U$1,Database!$A$1:$AS$1,),))))-(((VLOOKUP(EDATE(B172,-12),Database!$A:$AS,MATCH($U$1,Database!$A$1:$AS$1,),)))))/(((VLOOKUP(EDATE(B172,-12),Database!$A:$AS,MATCH($U$1,Database!$A$1:$AS$1,),))))</f>
        <v/>
      </c>
      <c r="V172" s="13">
        <f>((((VLOOKUP(B172,Database!$A:$AS,MATCH($V$1,Database!$A$1:$AS$1,),))))-(((VLOOKUP(EDATE(B172,-12),Database!$A:$AS,MATCH($V$1,Database!$A$1:$AS$1,),)))))/(((VLOOKUP(EDATE(B172,-12),Database!$A:$AS,MATCH($V$1,Database!$A$1:$AS$1,),))))</f>
        <v/>
      </c>
    </row>
    <row r="173" customFormat="1" s="94">
      <c r="A173" s="44" t="n"/>
      <c r="B173" s="85" t="n">
        <v>37408</v>
      </c>
      <c r="C173" s="13">
        <f>((((VLOOKUP(B173,Database!$A:$AS,MATCH($C$1,Database!$A$1:$AS$1,),))))-(((VLOOKUP(EDATE(B173,-12),Database!$A:$AS,MATCH($C$1,Database!$A$1:$AS$1,),)))))/(((VLOOKUP(EDATE(B173,-12),Database!$A:$AS,MATCH($C$1,Database!$A$1:$AS$1,),))))</f>
        <v/>
      </c>
      <c r="D173" s="13">
        <f>((((VLOOKUP(B173,Database!$A:$AS,MATCH($D$1,Database!$A$1:$AS$1,),))))-(((VLOOKUP(EDATE(B173,-12),Database!$A:$AS,MATCH($D$1,Database!$A$1:$AS$1,),)))))/(((VLOOKUP(EDATE(B173,-12),Database!$A:$AS,MATCH($D$1,Database!$A$1:$AS$1,),))))</f>
        <v/>
      </c>
      <c r="E173" s="13">
        <f>((((VLOOKUP(B173,Database!$A:$AS,MATCH($E$1,Database!$A$1:$AS$1,),))))-(((VLOOKUP(EDATE(B173,-12),Database!$A:$AS,MATCH($E$1,Database!$A$1:$AS$1,),)))))/(((VLOOKUP(EDATE(B173,-12),Database!$A:$AS,MATCH($E$1,Database!$A$1:$AS$1,),))))</f>
        <v/>
      </c>
      <c r="F173" s="13">
        <f>((((VLOOKUP(B173,Database!$A:$AS,MATCH($F$1,Database!$A$1:$AS$1,),))))-(((VLOOKUP(EDATE(B173,-12),Database!$A:$AS,MATCH($F$1,Database!$A$1:$AS$1,),)))))/(((VLOOKUP(EDATE(B173,-12),Database!$A:$AS,MATCH($F$1,Database!$A$1:$AS$1,),))))</f>
        <v/>
      </c>
      <c r="G173" s="13">
        <f>((((VLOOKUP(B173,Database!$A:$AS,MATCH($G$1,Database!$A$1:$AS$1,),))))-(((VLOOKUP(EDATE(B173,-12),Database!$A:$AS,MATCH($G$1,Database!$A$1:$AS$1,),)))))/(((VLOOKUP(EDATE(B173,-12),Database!$A:$AS,MATCH($G$1,Database!$A$1:$AS$1,),))))</f>
        <v/>
      </c>
      <c r="H173" s="13">
        <f>((((VLOOKUP(B173,Database!$A:$AS,MATCH($H$1,Database!$A$1:$AS$1,),))))-(((VLOOKUP(EDATE(B173,-12),Database!$A:$AS,MATCH($H$1,Database!$A$1:$AS$1,),)))))/(((VLOOKUP(EDATE(B173,-12),Database!$A:$AS,MATCH($H$1,Database!$A$1:$AS$1,),))))</f>
        <v/>
      </c>
      <c r="I173" s="13">
        <f>((((VLOOKUP(B173,Database!$A:$AS,MATCH($I$1,Database!$A$1:$AS$1,),))))-(((VLOOKUP(EDATE(B173,-12),Database!$A:$AS,MATCH($I$1,Database!$A$1:$AS$1,),)))))/(((VLOOKUP(EDATE(B173,-12),Database!$A:$AS,MATCH($I$1,Database!$A$1:$AS$1,),))))</f>
        <v/>
      </c>
      <c r="J173" s="13">
        <f>((((VLOOKUP(B173,Database!$A:$AS,MATCH($J$1,Database!$A$1:$AS$1,),))))-(((VLOOKUP(EDATE(B173,-12),Database!$A:$AS,MATCH($J$1,Database!$A$1:$AS$1,),)))))/(((VLOOKUP(EDATE(B173,-12),Database!$A:$AS,MATCH($J$1,Database!$A$1:$AS$1,),))))</f>
        <v/>
      </c>
      <c r="K173" s="13">
        <f>((((VLOOKUP(B173,Database!$A:$AS,MATCH($K$1,Database!$A$1:$AS$1,),))))-(((VLOOKUP(EDATE(B173,-12),Database!$A:$AS,MATCH($K$1,Database!$A$1:$AS$1,),)))))/(((VLOOKUP(EDATE(B173,-12),Database!$A:$AS,MATCH($K$1,Database!$A$1:$AS$1,),))))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((((VLOOKUP(B173,Database!$A:$AS,MATCH($O$1,Database!$A$1:$AS$1,),))))-(((VLOOKUP(EDATE(B173,-12),Database!$A:$AS,MATCH($O$1,Database!$A$1:$AS$1,),)))))/(((VLOOKUP(EDATE(B173,-12),Database!$A:$AS,MATCH($O$1,Database!$A$1:$AS$1,),))))</f>
        <v/>
      </c>
      <c r="P173" s="13">
        <f>((((VLOOKUP(B173,Database!$A:$AS,MATCH($P$1,Database!$A$1:$AS$1,),))))-(((VLOOKUP(EDATE(B173,-12),Database!$A:$AS,MATCH($P$1,Database!$A$1:$AS$1,),)))))/(((VLOOKUP(EDATE(B173,-12),Database!$A:$AS,MATCH($P$1,Database!$A$1:$AS$1,),))))</f>
        <v/>
      </c>
      <c r="Q173" s="13">
        <f>((((VLOOKUP(B173,Database!$A:$AS,MATCH($Q$1,Database!$A$1:$AS$1,),))))-(((VLOOKUP(EDATE(B173,-12),Database!$A:$AS,MATCH($Q$1,Database!$A$1:$AS$1,),)))))/(((VLOOKUP(EDATE(B173,-12),Database!$A:$AS,MATCH($Q$1,Database!$A$1:$AS$1,),))))</f>
        <v/>
      </c>
      <c r="R173" s="13">
        <f>((((VLOOKUP(B173,Database!$A:$AS,MATCH($R$1,Database!$A$1:$AS$1,),))))-(((VLOOKUP(EDATE(B173,-12),Database!$A:$AS,MATCH($R$1,Database!$A$1:$AS$1,),)))))/(((VLOOKUP(EDATE(B173,-12),Database!$A:$AS,MATCH($R$1,Database!$A$1:$AS$1,),))))</f>
        <v/>
      </c>
      <c r="S173" s="13">
        <f>((((VLOOKUP(B173,Database!$A:$AS,MATCH($S$1,Database!$A$1:$AS$1,),))))-(((VLOOKUP(EDATE(B173,-12),Database!$A:$AS,MATCH($S$1,Database!$A$1:$AS$1,),)))))/(((VLOOKUP(EDATE(B173,-12),Database!$A:$AS,MATCH($S$1,Database!$A$1:$AS$1,),))))</f>
        <v/>
      </c>
      <c r="T173" s="13">
        <f>((((VLOOKUP(B173,Database!$A:$AS,MATCH($T$1,Database!$A$1:$AS$1,),))))-(((VLOOKUP(EDATE(B173,-12),Database!$A:$AS,MATCH($T$1,Database!$A$1:$AS$1,),)))))/(((VLOOKUP(EDATE(B173,-12),Database!$A:$AS,MATCH($T$1,Database!$A$1:$AS$1,),))))</f>
        <v/>
      </c>
      <c r="U173" s="13">
        <f>((((VLOOKUP(B173,Database!$A:$AS,MATCH($U$1,Database!$A$1:$AS$1,),))))-(((VLOOKUP(EDATE(B173,-12),Database!$A:$AS,MATCH($U$1,Database!$A$1:$AS$1,),)))))/(((VLOOKUP(EDATE(B173,-12),Database!$A:$AS,MATCH($U$1,Database!$A$1:$AS$1,),))))</f>
        <v/>
      </c>
      <c r="V173" s="13">
        <f>((((VLOOKUP(B173,Database!$A:$AS,MATCH($V$1,Database!$A$1:$AS$1,),))))-(((VLOOKUP(EDATE(B173,-12),Database!$A:$AS,MATCH($V$1,Database!$A$1:$AS$1,),)))))/(((VLOOKUP(EDATE(B173,-12),Database!$A:$AS,MATCH($V$1,Database!$A$1:$AS$1,),))))</f>
        <v/>
      </c>
    </row>
    <row r="174" customFormat="1" s="94">
      <c r="A174" s="44" t="n"/>
      <c r="B174" s="85" t="n">
        <v>37438</v>
      </c>
      <c r="C174" s="13">
        <f>((((VLOOKUP(B174,Database!$A:$AS,MATCH($C$1,Database!$A$1:$AS$1,),))))-(((VLOOKUP(EDATE(B174,-12),Database!$A:$AS,MATCH($C$1,Database!$A$1:$AS$1,),)))))/(((VLOOKUP(EDATE(B174,-12),Database!$A:$AS,MATCH($C$1,Database!$A$1:$AS$1,),))))</f>
        <v/>
      </c>
      <c r="D174" s="13">
        <f>((((VLOOKUP(B174,Database!$A:$AS,MATCH($D$1,Database!$A$1:$AS$1,),))))-(((VLOOKUP(EDATE(B174,-12),Database!$A:$AS,MATCH($D$1,Database!$A$1:$AS$1,),)))))/(((VLOOKUP(EDATE(B174,-12),Database!$A:$AS,MATCH($D$1,Database!$A$1:$AS$1,),))))</f>
        <v/>
      </c>
      <c r="E174" s="13">
        <f>((((VLOOKUP(B174,Database!$A:$AS,MATCH($E$1,Database!$A$1:$AS$1,),))))-(((VLOOKUP(EDATE(B174,-12),Database!$A:$AS,MATCH($E$1,Database!$A$1:$AS$1,),)))))/(((VLOOKUP(EDATE(B174,-12),Database!$A:$AS,MATCH($E$1,Database!$A$1:$AS$1,),))))</f>
        <v/>
      </c>
      <c r="F174" s="13">
        <f>((((VLOOKUP(B174,Database!$A:$AS,MATCH($F$1,Database!$A$1:$AS$1,),))))-(((VLOOKUP(EDATE(B174,-12),Database!$A:$AS,MATCH($F$1,Database!$A$1:$AS$1,),)))))/(((VLOOKUP(EDATE(B174,-12),Database!$A:$AS,MATCH($F$1,Database!$A$1:$AS$1,),))))</f>
        <v/>
      </c>
      <c r="G174" s="13">
        <f>((((VLOOKUP(B174,Database!$A:$AS,MATCH($G$1,Database!$A$1:$AS$1,),))))-(((VLOOKUP(EDATE(B174,-12),Database!$A:$AS,MATCH($G$1,Database!$A$1:$AS$1,),)))))/(((VLOOKUP(EDATE(B174,-12),Database!$A:$AS,MATCH($G$1,Database!$A$1:$AS$1,),))))</f>
        <v/>
      </c>
      <c r="H174" s="13">
        <f>((((VLOOKUP(B174,Database!$A:$AS,MATCH($H$1,Database!$A$1:$AS$1,),))))-(((VLOOKUP(EDATE(B174,-12),Database!$A:$AS,MATCH($H$1,Database!$A$1:$AS$1,),)))))/(((VLOOKUP(EDATE(B174,-12),Database!$A:$AS,MATCH($H$1,Database!$A$1:$AS$1,),))))</f>
        <v/>
      </c>
      <c r="I174" s="13">
        <f>((((VLOOKUP(B174,Database!$A:$AS,MATCH($I$1,Database!$A$1:$AS$1,),))))-(((VLOOKUP(EDATE(B174,-12),Database!$A:$AS,MATCH($I$1,Database!$A$1:$AS$1,),)))))/(((VLOOKUP(EDATE(B174,-12),Database!$A:$AS,MATCH($I$1,Database!$A$1:$AS$1,),))))</f>
        <v/>
      </c>
      <c r="J174" s="13">
        <f>((((VLOOKUP(B174,Database!$A:$AS,MATCH($J$1,Database!$A$1:$AS$1,),))))-(((VLOOKUP(EDATE(B174,-12),Database!$A:$AS,MATCH($J$1,Database!$A$1:$AS$1,),)))))/(((VLOOKUP(EDATE(B174,-12),Database!$A:$AS,MATCH($J$1,Database!$A$1:$AS$1,),))))</f>
        <v/>
      </c>
      <c r="K174" s="13">
        <f>((((VLOOKUP(B174,Database!$A:$AS,MATCH($K$1,Database!$A$1:$AS$1,),))))-(((VLOOKUP(EDATE(B174,-12),Database!$A:$AS,MATCH($K$1,Database!$A$1:$AS$1,),)))))/(((VLOOKUP(EDATE(B174,-12),Database!$A:$AS,MATCH($K$1,Database!$A$1:$AS$1,),))))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((((VLOOKUP(B174,Database!$A:$AS,MATCH($O$1,Database!$A$1:$AS$1,),))))-(((VLOOKUP(EDATE(B174,-12),Database!$A:$AS,MATCH($O$1,Database!$A$1:$AS$1,),)))))/(((VLOOKUP(EDATE(B174,-12),Database!$A:$AS,MATCH($O$1,Database!$A$1:$AS$1,),))))</f>
        <v/>
      </c>
      <c r="P174" s="13">
        <f>((((VLOOKUP(B174,Database!$A:$AS,MATCH($P$1,Database!$A$1:$AS$1,),))))-(((VLOOKUP(EDATE(B174,-12),Database!$A:$AS,MATCH($P$1,Database!$A$1:$AS$1,),)))))/(((VLOOKUP(EDATE(B174,-12),Database!$A:$AS,MATCH($P$1,Database!$A$1:$AS$1,),))))</f>
        <v/>
      </c>
      <c r="Q174" s="13">
        <f>((((VLOOKUP(B174,Database!$A:$AS,MATCH($Q$1,Database!$A$1:$AS$1,),))))-(((VLOOKUP(EDATE(B174,-12),Database!$A:$AS,MATCH($Q$1,Database!$A$1:$AS$1,),)))))/(((VLOOKUP(EDATE(B174,-12),Database!$A:$AS,MATCH($Q$1,Database!$A$1:$AS$1,),))))</f>
        <v/>
      </c>
      <c r="R174" s="13">
        <f>((((VLOOKUP(B174,Database!$A:$AS,MATCH($R$1,Database!$A$1:$AS$1,),))))-(((VLOOKUP(EDATE(B174,-12),Database!$A:$AS,MATCH($R$1,Database!$A$1:$AS$1,),)))))/(((VLOOKUP(EDATE(B174,-12),Database!$A:$AS,MATCH($R$1,Database!$A$1:$AS$1,),))))</f>
        <v/>
      </c>
      <c r="S174" s="13">
        <f>((((VLOOKUP(B174,Database!$A:$AS,MATCH($S$1,Database!$A$1:$AS$1,),))))-(((VLOOKUP(EDATE(B174,-12),Database!$A:$AS,MATCH($S$1,Database!$A$1:$AS$1,),)))))/(((VLOOKUP(EDATE(B174,-12),Database!$A:$AS,MATCH($S$1,Database!$A$1:$AS$1,),))))</f>
        <v/>
      </c>
      <c r="T174" s="13">
        <f>((((VLOOKUP(B174,Database!$A:$AS,MATCH($T$1,Database!$A$1:$AS$1,),))))-(((VLOOKUP(EDATE(B174,-12),Database!$A:$AS,MATCH($T$1,Database!$A$1:$AS$1,),)))))/(((VLOOKUP(EDATE(B174,-12),Database!$A:$AS,MATCH($T$1,Database!$A$1:$AS$1,),))))</f>
        <v/>
      </c>
      <c r="U174" s="13">
        <f>((((VLOOKUP(B174,Database!$A:$AS,MATCH($U$1,Database!$A$1:$AS$1,),))))-(((VLOOKUP(EDATE(B174,-12),Database!$A:$AS,MATCH($U$1,Database!$A$1:$AS$1,),)))))/(((VLOOKUP(EDATE(B174,-12),Database!$A:$AS,MATCH($U$1,Database!$A$1:$AS$1,),))))</f>
        <v/>
      </c>
      <c r="V174" s="13">
        <f>((((VLOOKUP(B174,Database!$A:$AS,MATCH($V$1,Database!$A$1:$AS$1,),))))-(((VLOOKUP(EDATE(B174,-12),Database!$A:$AS,MATCH($V$1,Database!$A$1:$AS$1,),)))))/(((VLOOKUP(EDATE(B174,-12),Database!$A:$AS,MATCH($V$1,Database!$A$1:$AS$1,),))))</f>
        <v/>
      </c>
    </row>
    <row r="175" customFormat="1" s="94">
      <c r="A175" s="44" t="n"/>
      <c r="B175" s="85" t="n">
        <v>37469</v>
      </c>
      <c r="C175" s="13">
        <f>((((VLOOKUP(B175,Database!$A:$AS,MATCH($C$1,Database!$A$1:$AS$1,),))))-(((VLOOKUP(EDATE(B175,-12),Database!$A:$AS,MATCH($C$1,Database!$A$1:$AS$1,),)))))/(((VLOOKUP(EDATE(B175,-12),Database!$A:$AS,MATCH($C$1,Database!$A$1:$AS$1,),))))</f>
        <v/>
      </c>
      <c r="D175" s="13">
        <f>((((VLOOKUP(B175,Database!$A:$AS,MATCH($D$1,Database!$A$1:$AS$1,),))))-(((VLOOKUP(EDATE(B175,-12),Database!$A:$AS,MATCH($D$1,Database!$A$1:$AS$1,),)))))/(((VLOOKUP(EDATE(B175,-12),Database!$A:$AS,MATCH($D$1,Database!$A$1:$AS$1,),))))</f>
        <v/>
      </c>
      <c r="E175" s="13">
        <f>((((VLOOKUP(B175,Database!$A:$AS,MATCH($E$1,Database!$A$1:$AS$1,),))))-(((VLOOKUP(EDATE(B175,-12),Database!$A:$AS,MATCH($E$1,Database!$A$1:$AS$1,),)))))/(((VLOOKUP(EDATE(B175,-12),Database!$A:$AS,MATCH($E$1,Database!$A$1:$AS$1,),))))</f>
        <v/>
      </c>
      <c r="F175" s="13">
        <f>((((VLOOKUP(B175,Database!$A:$AS,MATCH($F$1,Database!$A$1:$AS$1,),))))-(((VLOOKUP(EDATE(B175,-12),Database!$A:$AS,MATCH($F$1,Database!$A$1:$AS$1,),)))))/(((VLOOKUP(EDATE(B175,-12),Database!$A:$AS,MATCH($F$1,Database!$A$1:$AS$1,),))))</f>
        <v/>
      </c>
      <c r="G175" s="13">
        <f>((((VLOOKUP(B175,Database!$A:$AS,MATCH($G$1,Database!$A$1:$AS$1,),))))-(((VLOOKUP(EDATE(B175,-12),Database!$A:$AS,MATCH($G$1,Database!$A$1:$AS$1,),)))))/(((VLOOKUP(EDATE(B175,-12),Database!$A:$AS,MATCH($G$1,Database!$A$1:$AS$1,),))))</f>
        <v/>
      </c>
      <c r="H175" s="13">
        <f>((((VLOOKUP(B175,Database!$A:$AS,MATCH($H$1,Database!$A$1:$AS$1,),))))-(((VLOOKUP(EDATE(B175,-12),Database!$A:$AS,MATCH($H$1,Database!$A$1:$AS$1,),)))))/(((VLOOKUP(EDATE(B175,-12),Database!$A:$AS,MATCH($H$1,Database!$A$1:$AS$1,),))))</f>
        <v/>
      </c>
      <c r="I175" s="13">
        <f>((((VLOOKUP(B175,Database!$A:$AS,MATCH($I$1,Database!$A$1:$AS$1,),))))-(((VLOOKUP(EDATE(B175,-12),Database!$A:$AS,MATCH($I$1,Database!$A$1:$AS$1,),)))))/(((VLOOKUP(EDATE(B175,-12),Database!$A:$AS,MATCH($I$1,Database!$A$1:$AS$1,),))))</f>
        <v/>
      </c>
      <c r="J175" s="13">
        <f>((((VLOOKUP(B175,Database!$A:$AS,MATCH($J$1,Database!$A$1:$AS$1,),))))-(((VLOOKUP(EDATE(B175,-12),Database!$A:$AS,MATCH($J$1,Database!$A$1:$AS$1,),)))))/(((VLOOKUP(EDATE(B175,-12),Database!$A:$AS,MATCH($J$1,Database!$A$1:$AS$1,),))))</f>
        <v/>
      </c>
      <c r="K175" s="13">
        <f>((((VLOOKUP(B175,Database!$A:$AS,MATCH($K$1,Database!$A$1:$AS$1,),))))-(((VLOOKUP(EDATE(B175,-12),Database!$A:$AS,MATCH($K$1,Database!$A$1:$AS$1,),)))))/(((VLOOKUP(EDATE(B175,-12),Database!$A:$AS,MATCH($K$1,Database!$A$1:$AS$1,),))))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((((VLOOKUP(B175,Database!$A:$AS,MATCH($O$1,Database!$A$1:$AS$1,),))))-(((VLOOKUP(EDATE(B175,-12),Database!$A:$AS,MATCH($O$1,Database!$A$1:$AS$1,),)))))/(((VLOOKUP(EDATE(B175,-12),Database!$A:$AS,MATCH($O$1,Database!$A$1:$AS$1,),))))</f>
        <v/>
      </c>
      <c r="P175" s="13">
        <f>((((VLOOKUP(B175,Database!$A:$AS,MATCH($P$1,Database!$A$1:$AS$1,),))))-(((VLOOKUP(EDATE(B175,-12),Database!$A:$AS,MATCH($P$1,Database!$A$1:$AS$1,),)))))/(((VLOOKUP(EDATE(B175,-12),Database!$A:$AS,MATCH($P$1,Database!$A$1:$AS$1,),))))</f>
        <v/>
      </c>
      <c r="Q175" s="13">
        <f>((((VLOOKUP(B175,Database!$A:$AS,MATCH($Q$1,Database!$A$1:$AS$1,),))))-(((VLOOKUP(EDATE(B175,-12),Database!$A:$AS,MATCH($Q$1,Database!$A$1:$AS$1,),)))))/(((VLOOKUP(EDATE(B175,-12),Database!$A:$AS,MATCH($Q$1,Database!$A$1:$AS$1,),))))</f>
        <v/>
      </c>
      <c r="R175" s="13">
        <f>((((VLOOKUP(B175,Database!$A:$AS,MATCH($R$1,Database!$A$1:$AS$1,),))))-(((VLOOKUP(EDATE(B175,-12),Database!$A:$AS,MATCH($R$1,Database!$A$1:$AS$1,),)))))/(((VLOOKUP(EDATE(B175,-12),Database!$A:$AS,MATCH($R$1,Database!$A$1:$AS$1,),))))</f>
        <v/>
      </c>
      <c r="S175" s="13">
        <f>((((VLOOKUP(B175,Database!$A:$AS,MATCH($S$1,Database!$A$1:$AS$1,),))))-(((VLOOKUP(EDATE(B175,-12),Database!$A:$AS,MATCH($S$1,Database!$A$1:$AS$1,),)))))/(((VLOOKUP(EDATE(B175,-12),Database!$A:$AS,MATCH($S$1,Database!$A$1:$AS$1,),))))</f>
        <v/>
      </c>
      <c r="T175" s="13">
        <f>((((VLOOKUP(B175,Database!$A:$AS,MATCH($T$1,Database!$A$1:$AS$1,),))))-(((VLOOKUP(EDATE(B175,-12),Database!$A:$AS,MATCH($T$1,Database!$A$1:$AS$1,),)))))/(((VLOOKUP(EDATE(B175,-12),Database!$A:$AS,MATCH($T$1,Database!$A$1:$AS$1,),))))</f>
        <v/>
      </c>
      <c r="U175" s="13">
        <f>((((VLOOKUP(B175,Database!$A:$AS,MATCH($U$1,Database!$A$1:$AS$1,),))))-(((VLOOKUP(EDATE(B175,-12),Database!$A:$AS,MATCH($U$1,Database!$A$1:$AS$1,),)))))/(((VLOOKUP(EDATE(B175,-12),Database!$A:$AS,MATCH($U$1,Database!$A$1:$AS$1,),))))</f>
        <v/>
      </c>
      <c r="V175" s="13">
        <f>((((VLOOKUP(B175,Database!$A:$AS,MATCH($V$1,Database!$A$1:$AS$1,),))))-(((VLOOKUP(EDATE(B175,-12),Database!$A:$AS,MATCH($V$1,Database!$A$1:$AS$1,),)))))/(((VLOOKUP(EDATE(B175,-12),Database!$A:$AS,MATCH($V$1,Database!$A$1:$AS$1,),))))</f>
        <v/>
      </c>
    </row>
    <row r="176" customFormat="1" s="94">
      <c r="A176" s="44" t="n"/>
      <c r="B176" s="85" t="n">
        <v>37500</v>
      </c>
      <c r="C176" s="13">
        <f>((((VLOOKUP(B176,Database!$A:$AS,MATCH($C$1,Database!$A$1:$AS$1,),))))-(((VLOOKUP(EDATE(B176,-12),Database!$A:$AS,MATCH($C$1,Database!$A$1:$AS$1,),)))))/(((VLOOKUP(EDATE(B176,-12),Database!$A:$AS,MATCH($C$1,Database!$A$1:$AS$1,),))))</f>
        <v/>
      </c>
      <c r="D176" s="13">
        <f>((((VLOOKUP(B176,Database!$A:$AS,MATCH($D$1,Database!$A$1:$AS$1,),))))-(((VLOOKUP(EDATE(B176,-12),Database!$A:$AS,MATCH($D$1,Database!$A$1:$AS$1,),)))))/(((VLOOKUP(EDATE(B176,-12),Database!$A:$AS,MATCH($D$1,Database!$A$1:$AS$1,),))))</f>
        <v/>
      </c>
      <c r="E176" s="13">
        <f>((((VLOOKUP(B176,Database!$A:$AS,MATCH($E$1,Database!$A$1:$AS$1,),))))-(((VLOOKUP(EDATE(B176,-12),Database!$A:$AS,MATCH($E$1,Database!$A$1:$AS$1,),)))))/(((VLOOKUP(EDATE(B176,-12),Database!$A:$AS,MATCH($E$1,Database!$A$1:$AS$1,),))))</f>
        <v/>
      </c>
      <c r="F176" s="13">
        <f>((((VLOOKUP(B176,Database!$A:$AS,MATCH($F$1,Database!$A$1:$AS$1,),))))-(((VLOOKUP(EDATE(B176,-12),Database!$A:$AS,MATCH($F$1,Database!$A$1:$AS$1,),)))))/(((VLOOKUP(EDATE(B176,-12),Database!$A:$AS,MATCH($F$1,Database!$A$1:$AS$1,),))))</f>
        <v/>
      </c>
      <c r="G176" s="13">
        <f>((((VLOOKUP(B176,Database!$A:$AS,MATCH($G$1,Database!$A$1:$AS$1,),))))-(((VLOOKUP(EDATE(B176,-12),Database!$A:$AS,MATCH($G$1,Database!$A$1:$AS$1,),)))))/(((VLOOKUP(EDATE(B176,-12),Database!$A:$AS,MATCH($G$1,Database!$A$1:$AS$1,),))))</f>
        <v/>
      </c>
      <c r="H176" s="13">
        <f>((((VLOOKUP(B176,Database!$A:$AS,MATCH($H$1,Database!$A$1:$AS$1,),))))-(((VLOOKUP(EDATE(B176,-12),Database!$A:$AS,MATCH($H$1,Database!$A$1:$AS$1,),)))))/(((VLOOKUP(EDATE(B176,-12),Database!$A:$AS,MATCH($H$1,Database!$A$1:$AS$1,),))))</f>
        <v/>
      </c>
      <c r="I176" s="13">
        <f>((((VLOOKUP(B176,Database!$A:$AS,MATCH($I$1,Database!$A$1:$AS$1,),))))-(((VLOOKUP(EDATE(B176,-12),Database!$A:$AS,MATCH($I$1,Database!$A$1:$AS$1,),)))))/(((VLOOKUP(EDATE(B176,-12),Database!$A:$AS,MATCH($I$1,Database!$A$1:$AS$1,),))))</f>
        <v/>
      </c>
      <c r="J176" s="13">
        <f>((((VLOOKUP(B176,Database!$A:$AS,MATCH($J$1,Database!$A$1:$AS$1,),))))-(((VLOOKUP(EDATE(B176,-12),Database!$A:$AS,MATCH($J$1,Database!$A$1:$AS$1,),)))))/(((VLOOKUP(EDATE(B176,-12),Database!$A:$AS,MATCH($J$1,Database!$A$1:$AS$1,),))))</f>
        <v/>
      </c>
      <c r="K176" s="13">
        <f>((((VLOOKUP(B176,Database!$A:$AS,MATCH($K$1,Database!$A$1:$AS$1,),))))-(((VLOOKUP(EDATE(B176,-12),Database!$A:$AS,MATCH($K$1,Database!$A$1:$AS$1,),)))))/(((VLOOKUP(EDATE(B176,-12),Database!$A:$AS,MATCH($K$1,Database!$A$1:$AS$1,),))))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((((VLOOKUP(B176,Database!$A:$AS,MATCH($O$1,Database!$A$1:$AS$1,),))))-(((VLOOKUP(EDATE(B176,-12),Database!$A:$AS,MATCH($O$1,Database!$A$1:$AS$1,),)))))/(((VLOOKUP(EDATE(B176,-12),Database!$A:$AS,MATCH($O$1,Database!$A$1:$AS$1,),))))</f>
        <v/>
      </c>
      <c r="P176" s="13">
        <f>((((VLOOKUP(B176,Database!$A:$AS,MATCH($P$1,Database!$A$1:$AS$1,),))))-(((VLOOKUP(EDATE(B176,-12),Database!$A:$AS,MATCH($P$1,Database!$A$1:$AS$1,),)))))/(((VLOOKUP(EDATE(B176,-12),Database!$A:$AS,MATCH($P$1,Database!$A$1:$AS$1,),))))</f>
        <v/>
      </c>
      <c r="Q176" s="13">
        <f>((((VLOOKUP(B176,Database!$A:$AS,MATCH($Q$1,Database!$A$1:$AS$1,),))))-(((VLOOKUP(EDATE(B176,-12),Database!$A:$AS,MATCH($Q$1,Database!$A$1:$AS$1,),)))))/(((VLOOKUP(EDATE(B176,-12),Database!$A:$AS,MATCH($Q$1,Database!$A$1:$AS$1,),))))</f>
        <v/>
      </c>
      <c r="R176" s="13">
        <f>((((VLOOKUP(B176,Database!$A:$AS,MATCH($R$1,Database!$A$1:$AS$1,),))))-(((VLOOKUP(EDATE(B176,-12),Database!$A:$AS,MATCH($R$1,Database!$A$1:$AS$1,),)))))/(((VLOOKUP(EDATE(B176,-12),Database!$A:$AS,MATCH($R$1,Database!$A$1:$AS$1,),))))</f>
        <v/>
      </c>
      <c r="S176" s="13">
        <f>((((VLOOKUP(B176,Database!$A:$AS,MATCH($S$1,Database!$A$1:$AS$1,),))))-(((VLOOKUP(EDATE(B176,-12),Database!$A:$AS,MATCH($S$1,Database!$A$1:$AS$1,),)))))/(((VLOOKUP(EDATE(B176,-12),Database!$A:$AS,MATCH($S$1,Database!$A$1:$AS$1,),))))</f>
        <v/>
      </c>
      <c r="T176" s="13">
        <f>((((VLOOKUP(B176,Database!$A:$AS,MATCH($T$1,Database!$A$1:$AS$1,),))))-(((VLOOKUP(EDATE(B176,-12),Database!$A:$AS,MATCH($T$1,Database!$A$1:$AS$1,),)))))/(((VLOOKUP(EDATE(B176,-12),Database!$A:$AS,MATCH($T$1,Database!$A$1:$AS$1,),))))</f>
        <v/>
      </c>
      <c r="U176" s="13">
        <f>((((VLOOKUP(B176,Database!$A:$AS,MATCH($U$1,Database!$A$1:$AS$1,),))))-(((VLOOKUP(EDATE(B176,-12),Database!$A:$AS,MATCH($U$1,Database!$A$1:$AS$1,),)))))/(((VLOOKUP(EDATE(B176,-12),Database!$A:$AS,MATCH($U$1,Database!$A$1:$AS$1,),))))</f>
        <v/>
      </c>
      <c r="V176" s="13">
        <f>((((VLOOKUP(B176,Database!$A:$AS,MATCH($V$1,Database!$A$1:$AS$1,),))))-(((VLOOKUP(EDATE(B176,-12),Database!$A:$AS,MATCH($V$1,Database!$A$1:$AS$1,),)))))/(((VLOOKUP(EDATE(B176,-12),Database!$A:$AS,MATCH($V$1,Database!$A$1:$AS$1,),))))</f>
        <v/>
      </c>
    </row>
    <row r="177" customFormat="1" s="94">
      <c r="A177" s="44" t="n"/>
      <c r="B177" s="85" t="n">
        <v>37530</v>
      </c>
      <c r="C177" s="13">
        <f>((((VLOOKUP(B177,Database!$A:$AS,MATCH($C$1,Database!$A$1:$AS$1,),))))-(((VLOOKUP(EDATE(B177,-12),Database!$A:$AS,MATCH($C$1,Database!$A$1:$AS$1,),)))))/(((VLOOKUP(EDATE(B177,-12),Database!$A:$AS,MATCH($C$1,Database!$A$1:$AS$1,),))))</f>
        <v/>
      </c>
      <c r="D177" s="13">
        <f>((((VLOOKUP(B177,Database!$A:$AS,MATCH($D$1,Database!$A$1:$AS$1,),))))-(((VLOOKUP(EDATE(B177,-12),Database!$A:$AS,MATCH($D$1,Database!$A$1:$AS$1,),)))))/(((VLOOKUP(EDATE(B177,-12),Database!$A:$AS,MATCH($D$1,Database!$A$1:$AS$1,),))))</f>
        <v/>
      </c>
      <c r="E177" s="13">
        <f>((((VLOOKUP(B177,Database!$A:$AS,MATCH($E$1,Database!$A$1:$AS$1,),))))-(((VLOOKUP(EDATE(B177,-12),Database!$A:$AS,MATCH($E$1,Database!$A$1:$AS$1,),)))))/(((VLOOKUP(EDATE(B177,-12),Database!$A:$AS,MATCH($E$1,Database!$A$1:$AS$1,),))))</f>
        <v/>
      </c>
      <c r="F177" s="13">
        <f>((((VLOOKUP(B177,Database!$A:$AS,MATCH($F$1,Database!$A$1:$AS$1,),))))-(((VLOOKUP(EDATE(B177,-12),Database!$A:$AS,MATCH($F$1,Database!$A$1:$AS$1,),)))))/(((VLOOKUP(EDATE(B177,-12),Database!$A:$AS,MATCH($F$1,Database!$A$1:$AS$1,),))))</f>
        <v/>
      </c>
      <c r="G177" s="13">
        <f>((((VLOOKUP(B177,Database!$A:$AS,MATCH($G$1,Database!$A$1:$AS$1,),))))-(((VLOOKUP(EDATE(B177,-12),Database!$A:$AS,MATCH($G$1,Database!$A$1:$AS$1,),)))))/(((VLOOKUP(EDATE(B177,-12),Database!$A:$AS,MATCH($G$1,Database!$A$1:$AS$1,),))))</f>
        <v/>
      </c>
      <c r="H177" s="13">
        <f>((((VLOOKUP(B177,Database!$A:$AS,MATCH($H$1,Database!$A$1:$AS$1,),))))-(((VLOOKUP(EDATE(B177,-12),Database!$A:$AS,MATCH($H$1,Database!$A$1:$AS$1,),)))))/(((VLOOKUP(EDATE(B177,-12),Database!$A:$AS,MATCH($H$1,Database!$A$1:$AS$1,),))))</f>
        <v/>
      </c>
      <c r="I177" s="13">
        <f>((((VLOOKUP(B177,Database!$A:$AS,MATCH($I$1,Database!$A$1:$AS$1,),))))-(((VLOOKUP(EDATE(B177,-12),Database!$A:$AS,MATCH($I$1,Database!$A$1:$AS$1,),)))))/(((VLOOKUP(EDATE(B177,-12),Database!$A:$AS,MATCH($I$1,Database!$A$1:$AS$1,),))))</f>
        <v/>
      </c>
      <c r="J177" s="13">
        <f>((((VLOOKUP(B177,Database!$A:$AS,MATCH($J$1,Database!$A$1:$AS$1,),))))-(((VLOOKUP(EDATE(B177,-12),Database!$A:$AS,MATCH($J$1,Database!$A$1:$AS$1,),)))))/(((VLOOKUP(EDATE(B177,-12),Database!$A:$AS,MATCH($J$1,Database!$A$1:$AS$1,),))))</f>
        <v/>
      </c>
      <c r="K177" s="13">
        <f>((((VLOOKUP(B177,Database!$A:$AS,MATCH($K$1,Database!$A$1:$AS$1,),))))-(((VLOOKUP(EDATE(B177,-12),Database!$A:$AS,MATCH($K$1,Database!$A$1:$AS$1,),)))))/(((VLOOKUP(EDATE(B177,-12),Database!$A:$AS,MATCH($K$1,Database!$A$1:$AS$1,),))))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((((VLOOKUP(B177,Database!$A:$AS,MATCH($O$1,Database!$A$1:$AS$1,),))))-(((VLOOKUP(EDATE(B177,-12),Database!$A:$AS,MATCH($O$1,Database!$A$1:$AS$1,),)))))/(((VLOOKUP(EDATE(B177,-12),Database!$A:$AS,MATCH($O$1,Database!$A$1:$AS$1,),))))</f>
        <v/>
      </c>
      <c r="P177" s="13">
        <f>((((VLOOKUP(B177,Database!$A:$AS,MATCH($P$1,Database!$A$1:$AS$1,),))))-(((VLOOKUP(EDATE(B177,-12),Database!$A:$AS,MATCH($P$1,Database!$A$1:$AS$1,),)))))/(((VLOOKUP(EDATE(B177,-12),Database!$A:$AS,MATCH($P$1,Database!$A$1:$AS$1,),))))</f>
        <v/>
      </c>
      <c r="Q177" s="13">
        <f>((((VLOOKUP(B177,Database!$A:$AS,MATCH($Q$1,Database!$A$1:$AS$1,),))))-(((VLOOKUP(EDATE(B177,-12),Database!$A:$AS,MATCH($Q$1,Database!$A$1:$AS$1,),)))))/(((VLOOKUP(EDATE(B177,-12),Database!$A:$AS,MATCH($Q$1,Database!$A$1:$AS$1,),))))</f>
        <v/>
      </c>
      <c r="R177" s="13">
        <f>((((VLOOKUP(B177,Database!$A:$AS,MATCH($R$1,Database!$A$1:$AS$1,),))))-(((VLOOKUP(EDATE(B177,-12),Database!$A:$AS,MATCH($R$1,Database!$A$1:$AS$1,),)))))/(((VLOOKUP(EDATE(B177,-12),Database!$A:$AS,MATCH($R$1,Database!$A$1:$AS$1,),))))</f>
        <v/>
      </c>
      <c r="S177" s="13">
        <f>((((VLOOKUP(B177,Database!$A:$AS,MATCH($S$1,Database!$A$1:$AS$1,),))))-(((VLOOKUP(EDATE(B177,-12),Database!$A:$AS,MATCH($S$1,Database!$A$1:$AS$1,),)))))/(((VLOOKUP(EDATE(B177,-12),Database!$A:$AS,MATCH($S$1,Database!$A$1:$AS$1,),))))</f>
        <v/>
      </c>
      <c r="T177" s="13">
        <f>((((VLOOKUP(B177,Database!$A:$AS,MATCH($T$1,Database!$A$1:$AS$1,),))))-(((VLOOKUP(EDATE(B177,-12),Database!$A:$AS,MATCH($T$1,Database!$A$1:$AS$1,),)))))/(((VLOOKUP(EDATE(B177,-12),Database!$A:$AS,MATCH($T$1,Database!$A$1:$AS$1,),))))</f>
        <v/>
      </c>
      <c r="U177" s="13">
        <f>((((VLOOKUP(B177,Database!$A:$AS,MATCH($U$1,Database!$A$1:$AS$1,),))))-(((VLOOKUP(EDATE(B177,-12),Database!$A:$AS,MATCH($U$1,Database!$A$1:$AS$1,),)))))/(((VLOOKUP(EDATE(B177,-12),Database!$A:$AS,MATCH($U$1,Database!$A$1:$AS$1,),))))</f>
        <v/>
      </c>
      <c r="V177" s="13">
        <f>((((VLOOKUP(B177,Database!$A:$AS,MATCH($V$1,Database!$A$1:$AS$1,),))))-(((VLOOKUP(EDATE(B177,-12),Database!$A:$AS,MATCH($V$1,Database!$A$1:$AS$1,),)))))/(((VLOOKUP(EDATE(B177,-12),Database!$A:$AS,MATCH($V$1,Database!$A$1:$AS$1,),))))</f>
        <v/>
      </c>
    </row>
    <row r="178" customFormat="1" s="94">
      <c r="A178" s="44" t="n"/>
      <c r="B178" s="85" t="n">
        <v>37561</v>
      </c>
      <c r="C178" s="13">
        <f>((((VLOOKUP(B178,Database!$A:$AS,MATCH($C$1,Database!$A$1:$AS$1,),))))-(((VLOOKUP(EDATE(B178,-12),Database!$A:$AS,MATCH($C$1,Database!$A$1:$AS$1,),)))))/(((VLOOKUP(EDATE(B178,-12),Database!$A:$AS,MATCH($C$1,Database!$A$1:$AS$1,),))))</f>
        <v/>
      </c>
      <c r="D178" s="13">
        <f>((((VLOOKUP(B178,Database!$A:$AS,MATCH($D$1,Database!$A$1:$AS$1,),))))-(((VLOOKUP(EDATE(B178,-12),Database!$A:$AS,MATCH($D$1,Database!$A$1:$AS$1,),)))))/(((VLOOKUP(EDATE(B178,-12),Database!$A:$AS,MATCH($D$1,Database!$A$1:$AS$1,),))))</f>
        <v/>
      </c>
      <c r="E178" s="13">
        <f>((((VLOOKUP(B178,Database!$A:$AS,MATCH($E$1,Database!$A$1:$AS$1,),))))-(((VLOOKUP(EDATE(B178,-12),Database!$A:$AS,MATCH($E$1,Database!$A$1:$AS$1,),)))))/(((VLOOKUP(EDATE(B178,-12),Database!$A:$AS,MATCH($E$1,Database!$A$1:$AS$1,),))))</f>
        <v/>
      </c>
      <c r="F178" s="13">
        <f>((((VLOOKUP(B178,Database!$A:$AS,MATCH($F$1,Database!$A$1:$AS$1,),))))-(((VLOOKUP(EDATE(B178,-12),Database!$A:$AS,MATCH($F$1,Database!$A$1:$AS$1,),)))))/(((VLOOKUP(EDATE(B178,-12),Database!$A:$AS,MATCH($F$1,Database!$A$1:$AS$1,),))))</f>
        <v/>
      </c>
      <c r="G178" s="13">
        <f>((((VLOOKUP(B178,Database!$A:$AS,MATCH($G$1,Database!$A$1:$AS$1,),))))-(((VLOOKUP(EDATE(B178,-12),Database!$A:$AS,MATCH($G$1,Database!$A$1:$AS$1,),)))))/(((VLOOKUP(EDATE(B178,-12),Database!$A:$AS,MATCH($G$1,Database!$A$1:$AS$1,),))))</f>
        <v/>
      </c>
      <c r="H178" s="13">
        <f>((((VLOOKUP(B178,Database!$A:$AS,MATCH($H$1,Database!$A$1:$AS$1,),))))-(((VLOOKUP(EDATE(B178,-12),Database!$A:$AS,MATCH($H$1,Database!$A$1:$AS$1,),)))))/(((VLOOKUP(EDATE(B178,-12),Database!$A:$AS,MATCH($H$1,Database!$A$1:$AS$1,),))))</f>
        <v/>
      </c>
      <c r="I178" s="13">
        <f>((((VLOOKUP(B178,Database!$A:$AS,MATCH($I$1,Database!$A$1:$AS$1,),))))-(((VLOOKUP(EDATE(B178,-12),Database!$A:$AS,MATCH($I$1,Database!$A$1:$AS$1,),)))))/(((VLOOKUP(EDATE(B178,-12),Database!$A:$AS,MATCH($I$1,Database!$A$1:$AS$1,),))))</f>
        <v/>
      </c>
      <c r="J178" s="13">
        <f>((((VLOOKUP(B178,Database!$A:$AS,MATCH($J$1,Database!$A$1:$AS$1,),))))-(((VLOOKUP(EDATE(B178,-12),Database!$A:$AS,MATCH($J$1,Database!$A$1:$AS$1,),)))))/(((VLOOKUP(EDATE(B178,-12),Database!$A:$AS,MATCH($J$1,Database!$A$1:$AS$1,),))))</f>
        <v/>
      </c>
      <c r="K178" s="13">
        <f>((((VLOOKUP(B178,Database!$A:$AS,MATCH($K$1,Database!$A$1:$AS$1,),))))-(((VLOOKUP(EDATE(B178,-12),Database!$A:$AS,MATCH($K$1,Database!$A$1:$AS$1,),)))))/(((VLOOKUP(EDATE(B178,-12),Database!$A:$AS,MATCH($K$1,Database!$A$1:$AS$1,),))))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((((VLOOKUP(B178,Database!$A:$AS,MATCH($O$1,Database!$A$1:$AS$1,),))))-(((VLOOKUP(EDATE(B178,-12),Database!$A:$AS,MATCH($O$1,Database!$A$1:$AS$1,),)))))/(((VLOOKUP(EDATE(B178,-12),Database!$A:$AS,MATCH($O$1,Database!$A$1:$AS$1,),))))</f>
        <v/>
      </c>
      <c r="P178" s="13">
        <f>((((VLOOKUP(B178,Database!$A:$AS,MATCH($P$1,Database!$A$1:$AS$1,),))))-(((VLOOKUP(EDATE(B178,-12),Database!$A:$AS,MATCH($P$1,Database!$A$1:$AS$1,),)))))/(((VLOOKUP(EDATE(B178,-12),Database!$A:$AS,MATCH($P$1,Database!$A$1:$AS$1,),))))</f>
        <v/>
      </c>
      <c r="Q178" s="13">
        <f>((((VLOOKUP(B178,Database!$A:$AS,MATCH($Q$1,Database!$A$1:$AS$1,),))))-(((VLOOKUP(EDATE(B178,-12),Database!$A:$AS,MATCH($Q$1,Database!$A$1:$AS$1,),)))))/(((VLOOKUP(EDATE(B178,-12),Database!$A:$AS,MATCH($Q$1,Database!$A$1:$AS$1,),))))</f>
        <v/>
      </c>
      <c r="R178" s="13">
        <f>((((VLOOKUP(B178,Database!$A:$AS,MATCH($R$1,Database!$A$1:$AS$1,),))))-(((VLOOKUP(EDATE(B178,-12),Database!$A:$AS,MATCH($R$1,Database!$A$1:$AS$1,),)))))/(((VLOOKUP(EDATE(B178,-12),Database!$A:$AS,MATCH($R$1,Database!$A$1:$AS$1,),))))</f>
        <v/>
      </c>
      <c r="S178" s="13">
        <f>((((VLOOKUP(B178,Database!$A:$AS,MATCH($S$1,Database!$A$1:$AS$1,),))))-(((VLOOKUP(EDATE(B178,-12),Database!$A:$AS,MATCH($S$1,Database!$A$1:$AS$1,),)))))/(((VLOOKUP(EDATE(B178,-12),Database!$A:$AS,MATCH($S$1,Database!$A$1:$AS$1,),))))</f>
        <v/>
      </c>
      <c r="T178" s="13">
        <f>((((VLOOKUP(B178,Database!$A:$AS,MATCH($T$1,Database!$A$1:$AS$1,),))))-(((VLOOKUP(EDATE(B178,-12),Database!$A:$AS,MATCH($T$1,Database!$A$1:$AS$1,),)))))/(((VLOOKUP(EDATE(B178,-12),Database!$A:$AS,MATCH($T$1,Database!$A$1:$AS$1,),))))</f>
        <v/>
      </c>
      <c r="U178" s="13">
        <f>((((VLOOKUP(B178,Database!$A:$AS,MATCH($U$1,Database!$A$1:$AS$1,),))))-(((VLOOKUP(EDATE(B178,-12),Database!$A:$AS,MATCH($U$1,Database!$A$1:$AS$1,),)))))/(((VLOOKUP(EDATE(B178,-12),Database!$A:$AS,MATCH($U$1,Database!$A$1:$AS$1,),))))</f>
        <v/>
      </c>
      <c r="V178" s="13">
        <f>((((VLOOKUP(B178,Database!$A:$AS,MATCH($V$1,Database!$A$1:$AS$1,),))))-(((VLOOKUP(EDATE(B178,-12),Database!$A:$AS,MATCH($V$1,Database!$A$1:$AS$1,),)))))/(((VLOOKUP(EDATE(B178,-12),Database!$A:$AS,MATCH($V$1,Database!$A$1:$AS$1,),))))</f>
        <v/>
      </c>
    </row>
    <row r="179" customFormat="1" s="94">
      <c r="A179" s="44" t="n"/>
      <c r="B179" s="85" t="n">
        <v>37591</v>
      </c>
      <c r="C179" s="13">
        <f>((((VLOOKUP(B179,Database!$A:$AS,MATCH($C$1,Database!$A$1:$AS$1,),))))-(((VLOOKUP(EDATE(B179,-12),Database!$A:$AS,MATCH($C$1,Database!$A$1:$AS$1,),)))))/(((VLOOKUP(EDATE(B179,-12),Database!$A:$AS,MATCH($C$1,Database!$A$1:$AS$1,),))))</f>
        <v/>
      </c>
      <c r="D179" s="13">
        <f>((((VLOOKUP(B179,Database!$A:$AS,MATCH($D$1,Database!$A$1:$AS$1,),))))-(((VLOOKUP(EDATE(B179,-12),Database!$A:$AS,MATCH($D$1,Database!$A$1:$AS$1,),)))))/(((VLOOKUP(EDATE(B179,-12),Database!$A:$AS,MATCH($D$1,Database!$A$1:$AS$1,),))))</f>
        <v/>
      </c>
      <c r="E179" s="13">
        <f>((((VLOOKUP(B179,Database!$A:$AS,MATCH($E$1,Database!$A$1:$AS$1,),))))-(((VLOOKUP(EDATE(B179,-12),Database!$A:$AS,MATCH($E$1,Database!$A$1:$AS$1,),)))))/(((VLOOKUP(EDATE(B179,-12),Database!$A:$AS,MATCH($E$1,Database!$A$1:$AS$1,),))))</f>
        <v/>
      </c>
      <c r="F179" s="13">
        <f>((((VLOOKUP(B179,Database!$A:$AS,MATCH($F$1,Database!$A$1:$AS$1,),))))-(((VLOOKUP(EDATE(B179,-12),Database!$A:$AS,MATCH($F$1,Database!$A$1:$AS$1,),)))))/(((VLOOKUP(EDATE(B179,-12),Database!$A:$AS,MATCH($F$1,Database!$A$1:$AS$1,),))))</f>
        <v/>
      </c>
      <c r="G179" s="13">
        <f>((((VLOOKUP(B179,Database!$A:$AS,MATCH($G$1,Database!$A$1:$AS$1,),))))-(((VLOOKUP(EDATE(B179,-12),Database!$A:$AS,MATCH($G$1,Database!$A$1:$AS$1,),)))))/(((VLOOKUP(EDATE(B179,-12),Database!$A:$AS,MATCH($G$1,Database!$A$1:$AS$1,),))))</f>
        <v/>
      </c>
      <c r="H179" s="13">
        <f>((((VLOOKUP(B179,Database!$A:$AS,MATCH($H$1,Database!$A$1:$AS$1,),))))-(((VLOOKUP(EDATE(B179,-12),Database!$A:$AS,MATCH($H$1,Database!$A$1:$AS$1,),)))))/(((VLOOKUP(EDATE(B179,-12),Database!$A:$AS,MATCH($H$1,Database!$A$1:$AS$1,),))))</f>
        <v/>
      </c>
      <c r="I179" s="13">
        <f>((((VLOOKUP(B179,Database!$A:$AS,MATCH($I$1,Database!$A$1:$AS$1,),))))-(((VLOOKUP(EDATE(B179,-12),Database!$A:$AS,MATCH($I$1,Database!$A$1:$AS$1,),)))))/(((VLOOKUP(EDATE(B179,-12),Database!$A:$AS,MATCH($I$1,Database!$A$1:$AS$1,),))))</f>
        <v/>
      </c>
      <c r="J179" s="13">
        <f>((((VLOOKUP(B179,Database!$A:$AS,MATCH($J$1,Database!$A$1:$AS$1,),))))-(((VLOOKUP(EDATE(B179,-12),Database!$A:$AS,MATCH($J$1,Database!$A$1:$AS$1,),)))))/(((VLOOKUP(EDATE(B179,-12),Database!$A:$AS,MATCH($J$1,Database!$A$1:$AS$1,),))))</f>
        <v/>
      </c>
      <c r="K179" s="13">
        <f>((((VLOOKUP(B179,Database!$A:$AS,MATCH($K$1,Database!$A$1:$AS$1,),))))-(((VLOOKUP(EDATE(B179,-12),Database!$A:$AS,MATCH($K$1,Database!$A$1:$AS$1,),)))))/(((VLOOKUP(EDATE(B179,-12),Database!$A:$AS,MATCH($K$1,Database!$A$1:$AS$1,),))))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((((VLOOKUP(B179,Database!$A:$AS,MATCH($O$1,Database!$A$1:$AS$1,),))))-(((VLOOKUP(EDATE(B179,-12),Database!$A:$AS,MATCH($O$1,Database!$A$1:$AS$1,),)))))/(((VLOOKUP(EDATE(B179,-12),Database!$A:$AS,MATCH($O$1,Database!$A$1:$AS$1,),))))</f>
        <v/>
      </c>
      <c r="P179" s="13">
        <f>((((VLOOKUP(B179,Database!$A:$AS,MATCH($P$1,Database!$A$1:$AS$1,),))))-(((VLOOKUP(EDATE(B179,-12),Database!$A:$AS,MATCH($P$1,Database!$A$1:$AS$1,),)))))/(((VLOOKUP(EDATE(B179,-12),Database!$A:$AS,MATCH($P$1,Database!$A$1:$AS$1,),))))</f>
        <v/>
      </c>
      <c r="Q179" s="13">
        <f>((((VLOOKUP(B179,Database!$A:$AS,MATCH($Q$1,Database!$A$1:$AS$1,),))))-(((VLOOKUP(EDATE(B179,-12),Database!$A:$AS,MATCH($Q$1,Database!$A$1:$AS$1,),)))))/(((VLOOKUP(EDATE(B179,-12),Database!$A:$AS,MATCH($Q$1,Database!$A$1:$AS$1,),))))</f>
        <v/>
      </c>
      <c r="R179" s="13">
        <f>((((VLOOKUP(B179,Database!$A:$AS,MATCH($R$1,Database!$A$1:$AS$1,),))))-(((VLOOKUP(EDATE(B179,-12),Database!$A:$AS,MATCH($R$1,Database!$A$1:$AS$1,),)))))/(((VLOOKUP(EDATE(B179,-12),Database!$A:$AS,MATCH($R$1,Database!$A$1:$AS$1,),))))</f>
        <v/>
      </c>
      <c r="S179" s="13">
        <f>((((VLOOKUP(B179,Database!$A:$AS,MATCH($S$1,Database!$A$1:$AS$1,),))))-(((VLOOKUP(EDATE(B179,-12),Database!$A:$AS,MATCH($S$1,Database!$A$1:$AS$1,),)))))/(((VLOOKUP(EDATE(B179,-12),Database!$A:$AS,MATCH($S$1,Database!$A$1:$AS$1,),))))</f>
        <v/>
      </c>
      <c r="T179" s="13">
        <f>((((VLOOKUP(B179,Database!$A:$AS,MATCH($T$1,Database!$A$1:$AS$1,),))))-(((VLOOKUP(EDATE(B179,-12),Database!$A:$AS,MATCH($T$1,Database!$A$1:$AS$1,),)))))/(((VLOOKUP(EDATE(B179,-12),Database!$A:$AS,MATCH($T$1,Database!$A$1:$AS$1,),))))</f>
        <v/>
      </c>
      <c r="U179" s="13">
        <f>((((VLOOKUP(B179,Database!$A:$AS,MATCH($U$1,Database!$A$1:$AS$1,),))))-(((VLOOKUP(EDATE(B179,-12),Database!$A:$AS,MATCH($U$1,Database!$A$1:$AS$1,),)))))/(((VLOOKUP(EDATE(B179,-12),Database!$A:$AS,MATCH($U$1,Database!$A$1:$AS$1,),))))</f>
        <v/>
      </c>
      <c r="V179" s="13">
        <f>((((VLOOKUP(B179,Database!$A:$AS,MATCH($V$1,Database!$A$1:$AS$1,),))))-(((VLOOKUP(EDATE(B179,-12),Database!$A:$AS,MATCH($V$1,Database!$A$1:$AS$1,),)))))/(((VLOOKUP(EDATE(B179,-12),Database!$A:$AS,MATCH($V$1,Database!$A$1:$AS$1,),))))</f>
        <v/>
      </c>
    </row>
    <row r="180" customFormat="1" s="94">
      <c r="A180" s="44" t="n"/>
      <c r="B180" s="85" t="n">
        <v>37622</v>
      </c>
      <c r="C180" s="13">
        <f>((((VLOOKUP(B180,Database!$A:$AS,MATCH($C$1,Database!$A$1:$AS$1,),))))-(((VLOOKUP(EDATE(B180,-12),Database!$A:$AS,MATCH($C$1,Database!$A$1:$AS$1,),)))))/(((VLOOKUP(EDATE(B180,-12),Database!$A:$AS,MATCH($C$1,Database!$A$1:$AS$1,),))))</f>
        <v/>
      </c>
      <c r="D180" s="13">
        <f>((((VLOOKUP(B180,Database!$A:$AS,MATCH($D$1,Database!$A$1:$AS$1,),))))-(((VLOOKUP(EDATE(B180,-12),Database!$A:$AS,MATCH($D$1,Database!$A$1:$AS$1,),)))))/(((VLOOKUP(EDATE(B180,-12),Database!$A:$AS,MATCH($D$1,Database!$A$1:$AS$1,),))))</f>
        <v/>
      </c>
      <c r="E180" s="13">
        <f>((((VLOOKUP(B180,Database!$A:$AS,MATCH($E$1,Database!$A$1:$AS$1,),))))-(((VLOOKUP(EDATE(B180,-12),Database!$A:$AS,MATCH($E$1,Database!$A$1:$AS$1,),)))))/(((VLOOKUP(EDATE(B180,-12),Database!$A:$AS,MATCH($E$1,Database!$A$1:$AS$1,),))))</f>
        <v/>
      </c>
      <c r="F180" s="13">
        <f>((((VLOOKUP(B180,Database!$A:$AS,MATCH($F$1,Database!$A$1:$AS$1,),))))-(((VLOOKUP(EDATE(B180,-12),Database!$A:$AS,MATCH($F$1,Database!$A$1:$AS$1,),)))))/(((VLOOKUP(EDATE(B180,-12),Database!$A:$AS,MATCH($F$1,Database!$A$1:$AS$1,),))))</f>
        <v/>
      </c>
      <c r="G180" s="13">
        <f>((((VLOOKUP(B180,Database!$A:$AS,MATCH($G$1,Database!$A$1:$AS$1,),))))-(((VLOOKUP(EDATE(B180,-12),Database!$A:$AS,MATCH($G$1,Database!$A$1:$AS$1,),)))))/(((VLOOKUP(EDATE(B180,-12),Database!$A:$AS,MATCH($G$1,Database!$A$1:$AS$1,),))))</f>
        <v/>
      </c>
      <c r="H180" s="13">
        <f>((((VLOOKUP(B180,Database!$A:$AS,MATCH($H$1,Database!$A$1:$AS$1,),))))-(((VLOOKUP(EDATE(B180,-12),Database!$A:$AS,MATCH($H$1,Database!$A$1:$AS$1,),)))))/(((VLOOKUP(EDATE(B180,-12),Database!$A:$AS,MATCH($H$1,Database!$A$1:$AS$1,),))))</f>
        <v/>
      </c>
      <c r="I180" s="13">
        <f>((((VLOOKUP(B180,Database!$A:$AS,MATCH($I$1,Database!$A$1:$AS$1,),))))-(((VLOOKUP(EDATE(B180,-12),Database!$A:$AS,MATCH($I$1,Database!$A$1:$AS$1,),)))))/(((VLOOKUP(EDATE(B180,-12),Database!$A:$AS,MATCH($I$1,Database!$A$1:$AS$1,),))))</f>
        <v/>
      </c>
      <c r="J180" s="13">
        <f>((((VLOOKUP(B180,Database!$A:$AS,MATCH($J$1,Database!$A$1:$AS$1,),))))-(((VLOOKUP(EDATE(B180,-12),Database!$A:$AS,MATCH($J$1,Database!$A$1:$AS$1,),)))))/(((VLOOKUP(EDATE(B180,-12),Database!$A:$AS,MATCH($J$1,Database!$A$1:$AS$1,),))))</f>
        <v/>
      </c>
      <c r="K180" s="13">
        <f>((((VLOOKUP(B180,Database!$A:$AS,MATCH($K$1,Database!$A$1:$AS$1,),))))-(((VLOOKUP(EDATE(B180,-12),Database!$A:$AS,MATCH($K$1,Database!$A$1:$AS$1,),)))))/(((VLOOKUP(EDATE(B180,-12),Database!$A:$AS,MATCH($K$1,Database!$A$1:$AS$1,),))))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((((VLOOKUP(B180,Database!$A:$AS,MATCH($O$1,Database!$A$1:$AS$1,),))))-(((VLOOKUP(EDATE(B180,-12),Database!$A:$AS,MATCH($O$1,Database!$A$1:$AS$1,),)))))/(((VLOOKUP(EDATE(B180,-12),Database!$A:$AS,MATCH($O$1,Database!$A$1:$AS$1,),))))</f>
        <v/>
      </c>
      <c r="P180" s="13">
        <f>((((VLOOKUP(B180,Database!$A:$AS,MATCH($P$1,Database!$A$1:$AS$1,),))))-(((VLOOKUP(EDATE(B180,-12),Database!$A:$AS,MATCH($P$1,Database!$A$1:$AS$1,),)))))/(((VLOOKUP(EDATE(B180,-12),Database!$A:$AS,MATCH($P$1,Database!$A$1:$AS$1,),))))</f>
        <v/>
      </c>
      <c r="Q180" s="13">
        <f>((((VLOOKUP(B180,Database!$A:$AS,MATCH($Q$1,Database!$A$1:$AS$1,),))))-(((VLOOKUP(EDATE(B180,-12),Database!$A:$AS,MATCH($Q$1,Database!$A$1:$AS$1,),)))))/(((VLOOKUP(EDATE(B180,-12),Database!$A:$AS,MATCH($Q$1,Database!$A$1:$AS$1,),))))</f>
        <v/>
      </c>
      <c r="R180" s="13">
        <f>((((VLOOKUP(B180,Database!$A:$AS,MATCH($R$1,Database!$A$1:$AS$1,),))))-(((VLOOKUP(EDATE(B180,-12),Database!$A:$AS,MATCH($R$1,Database!$A$1:$AS$1,),)))))/(((VLOOKUP(EDATE(B180,-12),Database!$A:$AS,MATCH($R$1,Database!$A$1:$AS$1,),))))</f>
        <v/>
      </c>
      <c r="S180" s="13">
        <f>((((VLOOKUP(B180,Database!$A:$AS,MATCH($S$1,Database!$A$1:$AS$1,),))))-(((VLOOKUP(EDATE(B180,-12),Database!$A:$AS,MATCH($S$1,Database!$A$1:$AS$1,),)))))/(((VLOOKUP(EDATE(B180,-12),Database!$A:$AS,MATCH($S$1,Database!$A$1:$AS$1,),))))</f>
        <v/>
      </c>
      <c r="T180" s="13">
        <f>((((VLOOKUP(B180,Database!$A:$AS,MATCH($T$1,Database!$A$1:$AS$1,),))))-(((VLOOKUP(EDATE(B180,-12),Database!$A:$AS,MATCH($T$1,Database!$A$1:$AS$1,),)))))/(((VLOOKUP(EDATE(B180,-12),Database!$A:$AS,MATCH($T$1,Database!$A$1:$AS$1,),))))</f>
        <v/>
      </c>
      <c r="U180" s="13">
        <f>((((VLOOKUP(B180,Database!$A:$AS,MATCH($U$1,Database!$A$1:$AS$1,),))))-(((VLOOKUP(EDATE(B180,-12),Database!$A:$AS,MATCH($U$1,Database!$A$1:$AS$1,),)))))/(((VLOOKUP(EDATE(B180,-12),Database!$A:$AS,MATCH($U$1,Database!$A$1:$AS$1,),))))</f>
        <v/>
      </c>
      <c r="V180" s="13">
        <f>((((VLOOKUP(B180,Database!$A:$AS,MATCH($V$1,Database!$A$1:$AS$1,),))))-(((VLOOKUP(EDATE(B180,-12),Database!$A:$AS,MATCH($V$1,Database!$A$1:$AS$1,),)))))/(((VLOOKUP(EDATE(B180,-12),Database!$A:$AS,MATCH($V$1,Database!$A$1:$AS$1,),))))</f>
        <v/>
      </c>
    </row>
    <row r="181" customFormat="1" s="94">
      <c r="A181" s="44" t="n"/>
      <c r="B181" s="85" t="n">
        <v>37653</v>
      </c>
      <c r="C181" s="13">
        <f>((((VLOOKUP(B181,Database!$A:$AS,MATCH($C$1,Database!$A$1:$AS$1,),))))-(((VLOOKUP(EDATE(B181,-12),Database!$A:$AS,MATCH($C$1,Database!$A$1:$AS$1,),)))))/(((VLOOKUP(EDATE(B181,-12),Database!$A:$AS,MATCH($C$1,Database!$A$1:$AS$1,),))))</f>
        <v/>
      </c>
      <c r="D181" s="13">
        <f>((((VLOOKUP(B181,Database!$A:$AS,MATCH($D$1,Database!$A$1:$AS$1,),))))-(((VLOOKUP(EDATE(B181,-12),Database!$A:$AS,MATCH($D$1,Database!$A$1:$AS$1,),)))))/(((VLOOKUP(EDATE(B181,-12),Database!$A:$AS,MATCH($D$1,Database!$A$1:$AS$1,),))))</f>
        <v/>
      </c>
      <c r="E181" s="13">
        <f>((((VLOOKUP(B181,Database!$A:$AS,MATCH($E$1,Database!$A$1:$AS$1,),))))-(((VLOOKUP(EDATE(B181,-12),Database!$A:$AS,MATCH($E$1,Database!$A$1:$AS$1,),)))))/(((VLOOKUP(EDATE(B181,-12),Database!$A:$AS,MATCH($E$1,Database!$A$1:$AS$1,),))))</f>
        <v/>
      </c>
      <c r="F181" s="13">
        <f>((((VLOOKUP(B181,Database!$A:$AS,MATCH($F$1,Database!$A$1:$AS$1,),))))-(((VLOOKUP(EDATE(B181,-12),Database!$A:$AS,MATCH($F$1,Database!$A$1:$AS$1,),)))))/(((VLOOKUP(EDATE(B181,-12),Database!$A:$AS,MATCH($F$1,Database!$A$1:$AS$1,),))))</f>
        <v/>
      </c>
      <c r="G181" s="13">
        <f>((((VLOOKUP(B181,Database!$A:$AS,MATCH($G$1,Database!$A$1:$AS$1,),))))-(((VLOOKUP(EDATE(B181,-12),Database!$A:$AS,MATCH($G$1,Database!$A$1:$AS$1,),)))))/(((VLOOKUP(EDATE(B181,-12),Database!$A:$AS,MATCH($G$1,Database!$A$1:$AS$1,),))))</f>
        <v/>
      </c>
      <c r="H181" s="13">
        <f>((((VLOOKUP(B181,Database!$A:$AS,MATCH($H$1,Database!$A$1:$AS$1,),))))-(((VLOOKUP(EDATE(B181,-12),Database!$A:$AS,MATCH($H$1,Database!$A$1:$AS$1,),)))))/(((VLOOKUP(EDATE(B181,-12),Database!$A:$AS,MATCH($H$1,Database!$A$1:$AS$1,),))))</f>
        <v/>
      </c>
      <c r="I181" s="13">
        <f>((((VLOOKUP(B181,Database!$A:$AS,MATCH($I$1,Database!$A$1:$AS$1,),))))-(((VLOOKUP(EDATE(B181,-12),Database!$A:$AS,MATCH($I$1,Database!$A$1:$AS$1,),)))))/(((VLOOKUP(EDATE(B181,-12),Database!$A:$AS,MATCH($I$1,Database!$A$1:$AS$1,),))))</f>
        <v/>
      </c>
      <c r="J181" s="13">
        <f>((((VLOOKUP(B181,Database!$A:$AS,MATCH($J$1,Database!$A$1:$AS$1,),))))-(((VLOOKUP(EDATE(B181,-12),Database!$A:$AS,MATCH($J$1,Database!$A$1:$AS$1,),)))))/(((VLOOKUP(EDATE(B181,-12),Database!$A:$AS,MATCH($J$1,Database!$A$1:$AS$1,),))))</f>
        <v/>
      </c>
      <c r="K181" s="13">
        <f>((((VLOOKUP(B181,Database!$A:$AS,MATCH($K$1,Database!$A$1:$AS$1,),))))-(((VLOOKUP(EDATE(B181,-12),Database!$A:$AS,MATCH($K$1,Database!$A$1:$AS$1,),)))))/(((VLOOKUP(EDATE(B181,-12),Database!$A:$AS,MATCH($K$1,Database!$A$1:$AS$1,),))))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((((VLOOKUP(B181,Database!$A:$AS,MATCH($O$1,Database!$A$1:$AS$1,),))))-(((VLOOKUP(EDATE(B181,-12),Database!$A:$AS,MATCH($O$1,Database!$A$1:$AS$1,),)))))/(((VLOOKUP(EDATE(B181,-12),Database!$A:$AS,MATCH($O$1,Database!$A$1:$AS$1,),))))</f>
        <v/>
      </c>
      <c r="P181" s="13">
        <f>((((VLOOKUP(B181,Database!$A:$AS,MATCH($P$1,Database!$A$1:$AS$1,),))))-(((VLOOKUP(EDATE(B181,-12),Database!$A:$AS,MATCH($P$1,Database!$A$1:$AS$1,),)))))/(((VLOOKUP(EDATE(B181,-12),Database!$A:$AS,MATCH($P$1,Database!$A$1:$AS$1,),))))</f>
        <v/>
      </c>
      <c r="Q181" s="13">
        <f>((((VLOOKUP(B181,Database!$A:$AS,MATCH($Q$1,Database!$A$1:$AS$1,),))))-(((VLOOKUP(EDATE(B181,-12),Database!$A:$AS,MATCH($Q$1,Database!$A$1:$AS$1,),)))))/(((VLOOKUP(EDATE(B181,-12),Database!$A:$AS,MATCH($Q$1,Database!$A$1:$AS$1,),))))</f>
        <v/>
      </c>
      <c r="R181" s="13">
        <f>((((VLOOKUP(B181,Database!$A:$AS,MATCH($R$1,Database!$A$1:$AS$1,),))))-(((VLOOKUP(EDATE(B181,-12),Database!$A:$AS,MATCH($R$1,Database!$A$1:$AS$1,),)))))/(((VLOOKUP(EDATE(B181,-12),Database!$A:$AS,MATCH($R$1,Database!$A$1:$AS$1,),))))</f>
        <v/>
      </c>
      <c r="S181" s="13">
        <f>((((VLOOKUP(B181,Database!$A:$AS,MATCH($S$1,Database!$A$1:$AS$1,),))))-(((VLOOKUP(EDATE(B181,-12),Database!$A:$AS,MATCH($S$1,Database!$A$1:$AS$1,),)))))/(((VLOOKUP(EDATE(B181,-12),Database!$A:$AS,MATCH($S$1,Database!$A$1:$AS$1,),))))</f>
        <v/>
      </c>
      <c r="T181" s="13">
        <f>((((VLOOKUP(B181,Database!$A:$AS,MATCH($T$1,Database!$A$1:$AS$1,),))))-(((VLOOKUP(EDATE(B181,-12),Database!$A:$AS,MATCH($T$1,Database!$A$1:$AS$1,),)))))/(((VLOOKUP(EDATE(B181,-12),Database!$A:$AS,MATCH($T$1,Database!$A$1:$AS$1,),))))</f>
        <v/>
      </c>
      <c r="U181" s="13">
        <f>((((VLOOKUP(B181,Database!$A:$AS,MATCH($U$1,Database!$A$1:$AS$1,),))))-(((VLOOKUP(EDATE(B181,-12),Database!$A:$AS,MATCH($U$1,Database!$A$1:$AS$1,),)))))/(((VLOOKUP(EDATE(B181,-12),Database!$A:$AS,MATCH($U$1,Database!$A$1:$AS$1,),))))</f>
        <v/>
      </c>
      <c r="V181" s="13">
        <f>((((VLOOKUP(B181,Database!$A:$AS,MATCH($V$1,Database!$A$1:$AS$1,),))))-(((VLOOKUP(EDATE(B181,-12),Database!$A:$AS,MATCH($V$1,Database!$A$1:$AS$1,),)))))/(((VLOOKUP(EDATE(B181,-12),Database!$A:$AS,MATCH($V$1,Database!$A$1:$AS$1,),))))</f>
        <v/>
      </c>
    </row>
    <row r="182" customFormat="1" s="94">
      <c r="A182" s="44" t="n"/>
      <c r="B182" s="85" t="n">
        <v>37681</v>
      </c>
      <c r="C182" s="13">
        <f>((((VLOOKUP(B182,Database!$A:$AS,MATCH($C$1,Database!$A$1:$AS$1,),))))-(((VLOOKUP(EDATE(B182,-12),Database!$A:$AS,MATCH($C$1,Database!$A$1:$AS$1,),)))))/(((VLOOKUP(EDATE(B182,-12),Database!$A:$AS,MATCH($C$1,Database!$A$1:$AS$1,),))))</f>
        <v/>
      </c>
      <c r="D182" s="13">
        <f>((((VLOOKUP(B182,Database!$A:$AS,MATCH($D$1,Database!$A$1:$AS$1,),))))-(((VLOOKUP(EDATE(B182,-12),Database!$A:$AS,MATCH($D$1,Database!$A$1:$AS$1,),)))))/(((VLOOKUP(EDATE(B182,-12),Database!$A:$AS,MATCH($D$1,Database!$A$1:$AS$1,),))))</f>
        <v/>
      </c>
      <c r="E182" s="13">
        <f>((((VLOOKUP(B182,Database!$A:$AS,MATCH($E$1,Database!$A$1:$AS$1,),))))-(((VLOOKUP(EDATE(B182,-12),Database!$A:$AS,MATCH($E$1,Database!$A$1:$AS$1,),)))))/(((VLOOKUP(EDATE(B182,-12),Database!$A:$AS,MATCH($E$1,Database!$A$1:$AS$1,),))))</f>
        <v/>
      </c>
      <c r="F182" s="13">
        <f>((((VLOOKUP(B182,Database!$A:$AS,MATCH($F$1,Database!$A$1:$AS$1,),))))-(((VLOOKUP(EDATE(B182,-12),Database!$A:$AS,MATCH($F$1,Database!$A$1:$AS$1,),)))))/(((VLOOKUP(EDATE(B182,-12),Database!$A:$AS,MATCH($F$1,Database!$A$1:$AS$1,),))))</f>
        <v/>
      </c>
      <c r="G182" s="13">
        <f>((((VLOOKUP(B182,Database!$A:$AS,MATCH($G$1,Database!$A$1:$AS$1,),))))-(((VLOOKUP(EDATE(B182,-12),Database!$A:$AS,MATCH($G$1,Database!$A$1:$AS$1,),)))))/(((VLOOKUP(EDATE(B182,-12),Database!$A:$AS,MATCH($G$1,Database!$A$1:$AS$1,),))))</f>
        <v/>
      </c>
      <c r="H182" s="13">
        <f>((((VLOOKUP(B182,Database!$A:$AS,MATCH($H$1,Database!$A$1:$AS$1,),))))-(((VLOOKUP(EDATE(B182,-12),Database!$A:$AS,MATCH($H$1,Database!$A$1:$AS$1,),)))))/(((VLOOKUP(EDATE(B182,-12),Database!$A:$AS,MATCH($H$1,Database!$A$1:$AS$1,),))))</f>
        <v/>
      </c>
      <c r="I182" s="13">
        <f>((((VLOOKUP(B182,Database!$A:$AS,MATCH($I$1,Database!$A$1:$AS$1,),))))-(((VLOOKUP(EDATE(B182,-12),Database!$A:$AS,MATCH($I$1,Database!$A$1:$AS$1,),)))))/(((VLOOKUP(EDATE(B182,-12),Database!$A:$AS,MATCH($I$1,Database!$A$1:$AS$1,),))))</f>
        <v/>
      </c>
      <c r="J182" s="13">
        <f>((((VLOOKUP(B182,Database!$A:$AS,MATCH($J$1,Database!$A$1:$AS$1,),))))-(((VLOOKUP(EDATE(B182,-12),Database!$A:$AS,MATCH($J$1,Database!$A$1:$AS$1,),)))))/(((VLOOKUP(EDATE(B182,-12),Database!$A:$AS,MATCH($J$1,Database!$A$1:$AS$1,),))))</f>
        <v/>
      </c>
      <c r="K182" s="13">
        <f>((((VLOOKUP(B182,Database!$A:$AS,MATCH($K$1,Database!$A$1:$AS$1,),))))-(((VLOOKUP(EDATE(B182,-12),Database!$A:$AS,MATCH($K$1,Database!$A$1:$AS$1,),)))))/(((VLOOKUP(EDATE(B182,-12),Database!$A:$AS,MATCH($K$1,Database!$A$1:$AS$1,),))))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((((VLOOKUP(B182,Database!$A:$AS,MATCH($O$1,Database!$A$1:$AS$1,),))))-(((VLOOKUP(EDATE(B182,-12),Database!$A:$AS,MATCH($O$1,Database!$A$1:$AS$1,),)))))/(((VLOOKUP(EDATE(B182,-12),Database!$A:$AS,MATCH($O$1,Database!$A$1:$AS$1,),))))</f>
        <v/>
      </c>
      <c r="P182" s="13">
        <f>((((VLOOKUP(B182,Database!$A:$AS,MATCH($P$1,Database!$A$1:$AS$1,),))))-(((VLOOKUP(EDATE(B182,-12),Database!$A:$AS,MATCH($P$1,Database!$A$1:$AS$1,),)))))/(((VLOOKUP(EDATE(B182,-12),Database!$A:$AS,MATCH($P$1,Database!$A$1:$AS$1,),))))</f>
        <v/>
      </c>
      <c r="Q182" s="13">
        <f>((((VLOOKUP(B182,Database!$A:$AS,MATCH($Q$1,Database!$A$1:$AS$1,),))))-(((VLOOKUP(EDATE(B182,-12),Database!$A:$AS,MATCH($Q$1,Database!$A$1:$AS$1,),)))))/(((VLOOKUP(EDATE(B182,-12),Database!$A:$AS,MATCH($Q$1,Database!$A$1:$AS$1,),))))</f>
        <v/>
      </c>
      <c r="R182" s="13">
        <f>((((VLOOKUP(B182,Database!$A:$AS,MATCH($R$1,Database!$A$1:$AS$1,),))))-(((VLOOKUP(EDATE(B182,-12),Database!$A:$AS,MATCH($R$1,Database!$A$1:$AS$1,),)))))/(((VLOOKUP(EDATE(B182,-12),Database!$A:$AS,MATCH($R$1,Database!$A$1:$AS$1,),))))</f>
        <v/>
      </c>
      <c r="S182" s="13">
        <f>((((VLOOKUP(B182,Database!$A:$AS,MATCH($S$1,Database!$A$1:$AS$1,),))))-(((VLOOKUP(EDATE(B182,-12),Database!$A:$AS,MATCH($S$1,Database!$A$1:$AS$1,),)))))/(((VLOOKUP(EDATE(B182,-12),Database!$A:$AS,MATCH($S$1,Database!$A$1:$AS$1,),))))</f>
        <v/>
      </c>
      <c r="T182" s="13">
        <f>((((VLOOKUP(B182,Database!$A:$AS,MATCH($T$1,Database!$A$1:$AS$1,),))))-(((VLOOKUP(EDATE(B182,-12),Database!$A:$AS,MATCH($T$1,Database!$A$1:$AS$1,),)))))/(((VLOOKUP(EDATE(B182,-12),Database!$A:$AS,MATCH($T$1,Database!$A$1:$AS$1,),))))</f>
        <v/>
      </c>
      <c r="U182" s="13">
        <f>((((VLOOKUP(B182,Database!$A:$AS,MATCH($U$1,Database!$A$1:$AS$1,),))))-(((VLOOKUP(EDATE(B182,-12),Database!$A:$AS,MATCH($U$1,Database!$A$1:$AS$1,),)))))/(((VLOOKUP(EDATE(B182,-12),Database!$A:$AS,MATCH($U$1,Database!$A$1:$AS$1,),))))</f>
        <v/>
      </c>
      <c r="V182" s="13">
        <f>((((VLOOKUP(B182,Database!$A:$AS,MATCH($V$1,Database!$A$1:$AS$1,),))))-(((VLOOKUP(EDATE(B182,-12),Database!$A:$AS,MATCH($V$1,Database!$A$1:$AS$1,),)))))/(((VLOOKUP(EDATE(B182,-12),Database!$A:$AS,MATCH($V$1,Database!$A$1:$AS$1,),))))</f>
        <v/>
      </c>
    </row>
    <row r="183" customFormat="1" s="94">
      <c r="A183" s="44" t="n"/>
      <c r="B183" s="85" t="n">
        <v>37712</v>
      </c>
      <c r="C183" s="13">
        <f>((((VLOOKUP(B183,Database!$A:$AS,MATCH($C$1,Database!$A$1:$AS$1,),))))-(((VLOOKUP(EDATE(B183,-12),Database!$A:$AS,MATCH($C$1,Database!$A$1:$AS$1,),)))))/(((VLOOKUP(EDATE(B183,-12),Database!$A:$AS,MATCH($C$1,Database!$A$1:$AS$1,),))))</f>
        <v/>
      </c>
      <c r="D183" s="13">
        <f>((((VLOOKUP(B183,Database!$A:$AS,MATCH($D$1,Database!$A$1:$AS$1,),))))-(((VLOOKUP(EDATE(B183,-12),Database!$A:$AS,MATCH($D$1,Database!$A$1:$AS$1,),)))))/(((VLOOKUP(EDATE(B183,-12),Database!$A:$AS,MATCH($D$1,Database!$A$1:$AS$1,),))))</f>
        <v/>
      </c>
      <c r="E183" s="13">
        <f>((((VLOOKUP(B183,Database!$A:$AS,MATCH($E$1,Database!$A$1:$AS$1,),))))-(((VLOOKUP(EDATE(B183,-12),Database!$A:$AS,MATCH($E$1,Database!$A$1:$AS$1,),)))))/(((VLOOKUP(EDATE(B183,-12),Database!$A:$AS,MATCH($E$1,Database!$A$1:$AS$1,),))))</f>
        <v/>
      </c>
      <c r="F183" s="13">
        <f>((((VLOOKUP(B183,Database!$A:$AS,MATCH($F$1,Database!$A$1:$AS$1,),))))-(((VLOOKUP(EDATE(B183,-12),Database!$A:$AS,MATCH($F$1,Database!$A$1:$AS$1,),)))))/(((VLOOKUP(EDATE(B183,-12),Database!$A:$AS,MATCH($F$1,Database!$A$1:$AS$1,),))))</f>
        <v/>
      </c>
      <c r="G183" s="13">
        <f>((((VLOOKUP(B183,Database!$A:$AS,MATCH($G$1,Database!$A$1:$AS$1,),))))-(((VLOOKUP(EDATE(B183,-12),Database!$A:$AS,MATCH($G$1,Database!$A$1:$AS$1,),)))))/(((VLOOKUP(EDATE(B183,-12),Database!$A:$AS,MATCH($G$1,Database!$A$1:$AS$1,),))))</f>
        <v/>
      </c>
      <c r="H183" s="13">
        <f>((((VLOOKUP(B183,Database!$A:$AS,MATCH($H$1,Database!$A$1:$AS$1,),))))-(((VLOOKUP(EDATE(B183,-12),Database!$A:$AS,MATCH($H$1,Database!$A$1:$AS$1,),)))))/(((VLOOKUP(EDATE(B183,-12),Database!$A:$AS,MATCH($H$1,Database!$A$1:$AS$1,),))))</f>
        <v/>
      </c>
      <c r="I183" s="13">
        <f>((((VLOOKUP(B183,Database!$A:$AS,MATCH($I$1,Database!$A$1:$AS$1,),))))-(((VLOOKUP(EDATE(B183,-12),Database!$A:$AS,MATCH($I$1,Database!$A$1:$AS$1,),)))))/(((VLOOKUP(EDATE(B183,-12),Database!$A:$AS,MATCH($I$1,Database!$A$1:$AS$1,),))))</f>
        <v/>
      </c>
      <c r="J183" s="13">
        <f>((((VLOOKUP(B183,Database!$A:$AS,MATCH($J$1,Database!$A$1:$AS$1,),))))-(((VLOOKUP(EDATE(B183,-12),Database!$A:$AS,MATCH($J$1,Database!$A$1:$AS$1,),)))))/(((VLOOKUP(EDATE(B183,-12),Database!$A:$AS,MATCH($J$1,Database!$A$1:$AS$1,),))))</f>
        <v/>
      </c>
      <c r="K183" s="13">
        <f>((((VLOOKUP(B183,Database!$A:$AS,MATCH($K$1,Database!$A$1:$AS$1,),))))-(((VLOOKUP(EDATE(B183,-12),Database!$A:$AS,MATCH($K$1,Database!$A$1:$AS$1,),)))))/(((VLOOKUP(EDATE(B183,-12),Database!$A:$AS,MATCH($K$1,Database!$A$1:$AS$1,),))))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((((VLOOKUP(B183,Database!$A:$AS,MATCH($O$1,Database!$A$1:$AS$1,),))))-(((VLOOKUP(EDATE(B183,-12),Database!$A:$AS,MATCH($O$1,Database!$A$1:$AS$1,),)))))/(((VLOOKUP(EDATE(B183,-12),Database!$A:$AS,MATCH($O$1,Database!$A$1:$AS$1,),))))</f>
        <v/>
      </c>
      <c r="P183" s="13">
        <f>((((VLOOKUP(B183,Database!$A:$AS,MATCH($P$1,Database!$A$1:$AS$1,),))))-(((VLOOKUP(EDATE(B183,-12),Database!$A:$AS,MATCH($P$1,Database!$A$1:$AS$1,),)))))/(((VLOOKUP(EDATE(B183,-12),Database!$A:$AS,MATCH($P$1,Database!$A$1:$AS$1,),))))</f>
        <v/>
      </c>
      <c r="Q183" s="13">
        <f>((((VLOOKUP(B183,Database!$A:$AS,MATCH($Q$1,Database!$A$1:$AS$1,),))))-(((VLOOKUP(EDATE(B183,-12),Database!$A:$AS,MATCH($Q$1,Database!$A$1:$AS$1,),)))))/(((VLOOKUP(EDATE(B183,-12),Database!$A:$AS,MATCH($Q$1,Database!$A$1:$AS$1,),))))</f>
        <v/>
      </c>
      <c r="R183" s="13">
        <f>((((VLOOKUP(B183,Database!$A:$AS,MATCH($R$1,Database!$A$1:$AS$1,),))))-(((VLOOKUP(EDATE(B183,-12),Database!$A:$AS,MATCH($R$1,Database!$A$1:$AS$1,),)))))/(((VLOOKUP(EDATE(B183,-12),Database!$A:$AS,MATCH($R$1,Database!$A$1:$AS$1,),))))</f>
        <v/>
      </c>
      <c r="S183" s="13">
        <f>((((VLOOKUP(B183,Database!$A:$AS,MATCH($S$1,Database!$A$1:$AS$1,),))))-(((VLOOKUP(EDATE(B183,-12),Database!$A:$AS,MATCH($S$1,Database!$A$1:$AS$1,),)))))/(((VLOOKUP(EDATE(B183,-12),Database!$A:$AS,MATCH($S$1,Database!$A$1:$AS$1,),))))</f>
        <v/>
      </c>
      <c r="T183" s="13">
        <f>((((VLOOKUP(B183,Database!$A:$AS,MATCH($T$1,Database!$A$1:$AS$1,),))))-(((VLOOKUP(EDATE(B183,-12),Database!$A:$AS,MATCH($T$1,Database!$A$1:$AS$1,),)))))/(((VLOOKUP(EDATE(B183,-12),Database!$A:$AS,MATCH($T$1,Database!$A$1:$AS$1,),))))</f>
        <v/>
      </c>
      <c r="U183" s="13">
        <f>((((VLOOKUP(B183,Database!$A:$AS,MATCH($U$1,Database!$A$1:$AS$1,),))))-(((VLOOKUP(EDATE(B183,-12),Database!$A:$AS,MATCH($U$1,Database!$A$1:$AS$1,),)))))/(((VLOOKUP(EDATE(B183,-12),Database!$A:$AS,MATCH($U$1,Database!$A$1:$AS$1,),))))</f>
        <v/>
      </c>
      <c r="V183" s="13">
        <f>((((VLOOKUP(B183,Database!$A:$AS,MATCH($V$1,Database!$A$1:$AS$1,),))))-(((VLOOKUP(EDATE(B183,-12),Database!$A:$AS,MATCH($V$1,Database!$A$1:$AS$1,),)))))/(((VLOOKUP(EDATE(B183,-12),Database!$A:$AS,MATCH($V$1,Database!$A$1:$AS$1,),))))</f>
        <v/>
      </c>
    </row>
    <row r="184" customFormat="1" s="94">
      <c r="A184" s="44" t="n"/>
      <c r="B184" s="85" t="n">
        <v>37742</v>
      </c>
      <c r="C184" s="13">
        <f>((((VLOOKUP(B184,Database!$A:$AS,MATCH($C$1,Database!$A$1:$AS$1,),))))-(((VLOOKUP(EDATE(B184,-12),Database!$A:$AS,MATCH($C$1,Database!$A$1:$AS$1,),)))))/(((VLOOKUP(EDATE(B184,-12),Database!$A:$AS,MATCH($C$1,Database!$A$1:$AS$1,),))))</f>
        <v/>
      </c>
      <c r="D184" s="13">
        <f>((((VLOOKUP(B184,Database!$A:$AS,MATCH($D$1,Database!$A$1:$AS$1,),))))-(((VLOOKUP(EDATE(B184,-12),Database!$A:$AS,MATCH($D$1,Database!$A$1:$AS$1,),)))))/(((VLOOKUP(EDATE(B184,-12),Database!$A:$AS,MATCH($D$1,Database!$A$1:$AS$1,),))))</f>
        <v/>
      </c>
      <c r="E184" s="13">
        <f>((((VLOOKUP(B184,Database!$A:$AS,MATCH($E$1,Database!$A$1:$AS$1,),))))-(((VLOOKUP(EDATE(B184,-12),Database!$A:$AS,MATCH($E$1,Database!$A$1:$AS$1,),)))))/(((VLOOKUP(EDATE(B184,-12),Database!$A:$AS,MATCH($E$1,Database!$A$1:$AS$1,),))))</f>
        <v/>
      </c>
      <c r="F184" s="13">
        <f>((((VLOOKUP(B184,Database!$A:$AS,MATCH($F$1,Database!$A$1:$AS$1,),))))-(((VLOOKUP(EDATE(B184,-12),Database!$A:$AS,MATCH($F$1,Database!$A$1:$AS$1,),)))))/(((VLOOKUP(EDATE(B184,-12),Database!$A:$AS,MATCH($F$1,Database!$A$1:$AS$1,),))))</f>
        <v/>
      </c>
      <c r="G184" s="13">
        <f>((((VLOOKUP(B184,Database!$A:$AS,MATCH($G$1,Database!$A$1:$AS$1,),))))-(((VLOOKUP(EDATE(B184,-12),Database!$A:$AS,MATCH($G$1,Database!$A$1:$AS$1,),)))))/(((VLOOKUP(EDATE(B184,-12),Database!$A:$AS,MATCH($G$1,Database!$A$1:$AS$1,),))))</f>
        <v/>
      </c>
      <c r="H184" s="13">
        <f>((((VLOOKUP(B184,Database!$A:$AS,MATCH($H$1,Database!$A$1:$AS$1,),))))-(((VLOOKUP(EDATE(B184,-12),Database!$A:$AS,MATCH($H$1,Database!$A$1:$AS$1,),)))))/(((VLOOKUP(EDATE(B184,-12),Database!$A:$AS,MATCH($H$1,Database!$A$1:$AS$1,),))))</f>
        <v/>
      </c>
      <c r="I184" s="13">
        <f>((((VLOOKUP(B184,Database!$A:$AS,MATCH($I$1,Database!$A$1:$AS$1,),))))-(((VLOOKUP(EDATE(B184,-12),Database!$A:$AS,MATCH($I$1,Database!$A$1:$AS$1,),)))))/(((VLOOKUP(EDATE(B184,-12),Database!$A:$AS,MATCH($I$1,Database!$A$1:$AS$1,),))))</f>
        <v/>
      </c>
      <c r="J184" s="13">
        <f>((((VLOOKUP(B184,Database!$A:$AS,MATCH($J$1,Database!$A$1:$AS$1,),))))-(((VLOOKUP(EDATE(B184,-12),Database!$A:$AS,MATCH($J$1,Database!$A$1:$AS$1,),)))))/(((VLOOKUP(EDATE(B184,-12),Database!$A:$AS,MATCH($J$1,Database!$A$1:$AS$1,),))))</f>
        <v/>
      </c>
      <c r="K184" s="13">
        <f>((((VLOOKUP(B184,Database!$A:$AS,MATCH($K$1,Database!$A$1:$AS$1,),))))-(((VLOOKUP(EDATE(B184,-12),Database!$A:$AS,MATCH($K$1,Database!$A$1:$AS$1,),)))))/(((VLOOKUP(EDATE(B184,-12),Database!$A:$AS,MATCH($K$1,Database!$A$1:$AS$1,),))))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((((VLOOKUP(B184,Database!$A:$AS,MATCH($O$1,Database!$A$1:$AS$1,),))))-(((VLOOKUP(EDATE(B184,-12),Database!$A:$AS,MATCH($O$1,Database!$A$1:$AS$1,),)))))/(((VLOOKUP(EDATE(B184,-12),Database!$A:$AS,MATCH($O$1,Database!$A$1:$AS$1,),))))</f>
        <v/>
      </c>
      <c r="P184" s="13">
        <f>((((VLOOKUP(B184,Database!$A:$AS,MATCH($P$1,Database!$A$1:$AS$1,),))))-(((VLOOKUP(EDATE(B184,-12),Database!$A:$AS,MATCH($P$1,Database!$A$1:$AS$1,),)))))/(((VLOOKUP(EDATE(B184,-12),Database!$A:$AS,MATCH($P$1,Database!$A$1:$AS$1,),))))</f>
        <v/>
      </c>
      <c r="Q184" s="13">
        <f>((((VLOOKUP(B184,Database!$A:$AS,MATCH($Q$1,Database!$A$1:$AS$1,),))))-(((VLOOKUP(EDATE(B184,-12),Database!$A:$AS,MATCH($Q$1,Database!$A$1:$AS$1,),)))))/(((VLOOKUP(EDATE(B184,-12),Database!$A:$AS,MATCH($Q$1,Database!$A$1:$AS$1,),))))</f>
        <v/>
      </c>
      <c r="R184" s="13">
        <f>((((VLOOKUP(B184,Database!$A:$AS,MATCH($R$1,Database!$A$1:$AS$1,),))))-(((VLOOKUP(EDATE(B184,-12),Database!$A:$AS,MATCH($R$1,Database!$A$1:$AS$1,),)))))/(((VLOOKUP(EDATE(B184,-12),Database!$A:$AS,MATCH($R$1,Database!$A$1:$AS$1,),))))</f>
        <v/>
      </c>
      <c r="S184" s="13">
        <f>((((VLOOKUP(B184,Database!$A:$AS,MATCH($S$1,Database!$A$1:$AS$1,),))))-(((VLOOKUP(EDATE(B184,-12),Database!$A:$AS,MATCH($S$1,Database!$A$1:$AS$1,),)))))/(((VLOOKUP(EDATE(B184,-12),Database!$A:$AS,MATCH($S$1,Database!$A$1:$AS$1,),))))</f>
        <v/>
      </c>
      <c r="T184" s="13">
        <f>((((VLOOKUP(B184,Database!$A:$AS,MATCH($T$1,Database!$A$1:$AS$1,),))))-(((VLOOKUP(EDATE(B184,-12),Database!$A:$AS,MATCH($T$1,Database!$A$1:$AS$1,),)))))/(((VLOOKUP(EDATE(B184,-12),Database!$A:$AS,MATCH($T$1,Database!$A$1:$AS$1,),))))</f>
        <v/>
      </c>
      <c r="U184" s="13">
        <f>((((VLOOKUP(B184,Database!$A:$AS,MATCH($U$1,Database!$A$1:$AS$1,),))))-(((VLOOKUP(EDATE(B184,-12),Database!$A:$AS,MATCH($U$1,Database!$A$1:$AS$1,),)))))/(((VLOOKUP(EDATE(B184,-12),Database!$A:$AS,MATCH($U$1,Database!$A$1:$AS$1,),))))</f>
        <v/>
      </c>
      <c r="V184" s="13">
        <f>((((VLOOKUP(B184,Database!$A:$AS,MATCH($V$1,Database!$A$1:$AS$1,),))))-(((VLOOKUP(EDATE(B184,-12),Database!$A:$AS,MATCH($V$1,Database!$A$1:$AS$1,),)))))/(((VLOOKUP(EDATE(B184,-12),Database!$A:$AS,MATCH($V$1,Database!$A$1:$AS$1,),))))</f>
        <v/>
      </c>
    </row>
    <row r="185" customFormat="1" s="94">
      <c r="A185" s="44" t="n"/>
      <c r="B185" s="85" t="n">
        <v>37773</v>
      </c>
      <c r="C185" s="13">
        <f>((((VLOOKUP(B185,Database!$A:$AS,MATCH($C$1,Database!$A$1:$AS$1,),))))-(((VLOOKUP(EDATE(B185,-12),Database!$A:$AS,MATCH($C$1,Database!$A$1:$AS$1,),)))))/(((VLOOKUP(EDATE(B185,-12),Database!$A:$AS,MATCH($C$1,Database!$A$1:$AS$1,),))))</f>
        <v/>
      </c>
      <c r="D185" s="13">
        <f>((((VLOOKUP(B185,Database!$A:$AS,MATCH($D$1,Database!$A$1:$AS$1,),))))-(((VLOOKUP(EDATE(B185,-12),Database!$A:$AS,MATCH($D$1,Database!$A$1:$AS$1,),)))))/(((VLOOKUP(EDATE(B185,-12),Database!$A:$AS,MATCH($D$1,Database!$A$1:$AS$1,),))))</f>
        <v/>
      </c>
      <c r="E185" s="13">
        <f>((((VLOOKUP(B185,Database!$A:$AS,MATCH($E$1,Database!$A$1:$AS$1,),))))-(((VLOOKUP(EDATE(B185,-12),Database!$A:$AS,MATCH($E$1,Database!$A$1:$AS$1,),)))))/(((VLOOKUP(EDATE(B185,-12),Database!$A:$AS,MATCH($E$1,Database!$A$1:$AS$1,),))))</f>
        <v/>
      </c>
      <c r="F185" s="13">
        <f>((((VLOOKUP(B185,Database!$A:$AS,MATCH($F$1,Database!$A$1:$AS$1,),))))-(((VLOOKUP(EDATE(B185,-12),Database!$A:$AS,MATCH($F$1,Database!$A$1:$AS$1,),)))))/(((VLOOKUP(EDATE(B185,-12),Database!$A:$AS,MATCH($F$1,Database!$A$1:$AS$1,),))))</f>
        <v/>
      </c>
      <c r="G185" s="13">
        <f>((((VLOOKUP(B185,Database!$A:$AS,MATCH($G$1,Database!$A$1:$AS$1,),))))-(((VLOOKUP(EDATE(B185,-12),Database!$A:$AS,MATCH($G$1,Database!$A$1:$AS$1,),)))))/(((VLOOKUP(EDATE(B185,-12),Database!$A:$AS,MATCH($G$1,Database!$A$1:$AS$1,),))))</f>
        <v/>
      </c>
      <c r="H185" s="13">
        <f>((((VLOOKUP(B185,Database!$A:$AS,MATCH($H$1,Database!$A$1:$AS$1,),))))-(((VLOOKUP(EDATE(B185,-12),Database!$A:$AS,MATCH($H$1,Database!$A$1:$AS$1,),)))))/(((VLOOKUP(EDATE(B185,-12),Database!$A:$AS,MATCH($H$1,Database!$A$1:$AS$1,),))))</f>
        <v/>
      </c>
      <c r="I185" s="13">
        <f>((((VLOOKUP(B185,Database!$A:$AS,MATCH($I$1,Database!$A$1:$AS$1,),))))-(((VLOOKUP(EDATE(B185,-12),Database!$A:$AS,MATCH($I$1,Database!$A$1:$AS$1,),)))))/(((VLOOKUP(EDATE(B185,-12),Database!$A:$AS,MATCH($I$1,Database!$A$1:$AS$1,),))))</f>
        <v/>
      </c>
      <c r="J185" s="13">
        <f>((((VLOOKUP(B185,Database!$A:$AS,MATCH($J$1,Database!$A$1:$AS$1,),))))-(((VLOOKUP(EDATE(B185,-12),Database!$A:$AS,MATCH($J$1,Database!$A$1:$AS$1,),)))))/(((VLOOKUP(EDATE(B185,-12),Database!$A:$AS,MATCH($J$1,Database!$A$1:$AS$1,),))))</f>
        <v/>
      </c>
      <c r="K185" s="13">
        <f>((((VLOOKUP(B185,Database!$A:$AS,MATCH($K$1,Database!$A$1:$AS$1,),))))-(((VLOOKUP(EDATE(B185,-12),Database!$A:$AS,MATCH($K$1,Database!$A$1:$AS$1,),)))))/(((VLOOKUP(EDATE(B185,-12),Database!$A:$AS,MATCH($K$1,Database!$A$1:$AS$1,),))))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((((VLOOKUP(B185,Database!$A:$AS,MATCH($O$1,Database!$A$1:$AS$1,),))))-(((VLOOKUP(EDATE(B185,-12),Database!$A:$AS,MATCH($O$1,Database!$A$1:$AS$1,),)))))/(((VLOOKUP(EDATE(B185,-12),Database!$A:$AS,MATCH($O$1,Database!$A$1:$AS$1,),))))</f>
        <v/>
      </c>
      <c r="P185" s="13">
        <f>((((VLOOKUP(B185,Database!$A:$AS,MATCH($P$1,Database!$A$1:$AS$1,),))))-(((VLOOKUP(EDATE(B185,-12),Database!$A:$AS,MATCH($P$1,Database!$A$1:$AS$1,),)))))/(((VLOOKUP(EDATE(B185,-12),Database!$A:$AS,MATCH($P$1,Database!$A$1:$AS$1,),))))</f>
        <v/>
      </c>
      <c r="Q185" s="13">
        <f>((((VLOOKUP(B185,Database!$A:$AS,MATCH($Q$1,Database!$A$1:$AS$1,),))))-(((VLOOKUP(EDATE(B185,-12),Database!$A:$AS,MATCH($Q$1,Database!$A$1:$AS$1,),)))))/(((VLOOKUP(EDATE(B185,-12),Database!$A:$AS,MATCH($Q$1,Database!$A$1:$AS$1,),))))</f>
        <v/>
      </c>
      <c r="R185" s="13">
        <f>((((VLOOKUP(B185,Database!$A:$AS,MATCH($R$1,Database!$A$1:$AS$1,),))))-(((VLOOKUP(EDATE(B185,-12),Database!$A:$AS,MATCH($R$1,Database!$A$1:$AS$1,),)))))/(((VLOOKUP(EDATE(B185,-12),Database!$A:$AS,MATCH($R$1,Database!$A$1:$AS$1,),))))</f>
        <v/>
      </c>
      <c r="S185" s="13">
        <f>((((VLOOKUP(B185,Database!$A:$AS,MATCH($S$1,Database!$A$1:$AS$1,),))))-(((VLOOKUP(EDATE(B185,-12),Database!$A:$AS,MATCH($S$1,Database!$A$1:$AS$1,),)))))/(((VLOOKUP(EDATE(B185,-12),Database!$A:$AS,MATCH($S$1,Database!$A$1:$AS$1,),))))</f>
        <v/>
      </c>
      <c r="T185" s="13">
        <f>((((VLOOKUP(B185,Database!$A:$AS,MATCH($T$1,Database!$A$1:$AS$1,),))))-(((VLOOKUP(EDATE(B185,-12),Database!$A:$AS,MATCH($T$1,Database!$A$1:$AS$1,),)))))/(((VLOOKUP(EDATE(B185,-12),Database!$A:$AS,MATCH($T$1,Database!$A$1:$AS$1,),))))</f>
        <v/>
      </c>
      <c r="U185" s="13">
        <f>((((VLOOKUP(B185,Database!$A:$AS,MATCH($U$1,Database!$A$1:$AS$1,),))))-(((VLOOKUP(EDATE(B185,-12),Database!$A:$AS,MATCH($U$1,Database!$A$1:$AS$1,),)))))/(((VLOOKUP(EDATE(B185,-12),Database!$A:$AS,MATCH($U$1,Database!$A$1:$AS$1,),))))</f>
        <v/>
      </c>
      <c r="V185" s="13">
        <f>((((VLOOKUP(B185,Database!$A:$AS,MATCH($V$1,Database!$A$1:$AS$1,),))))-(((VLOOKUP(EDATE(B185,-12),Database!$A:$AS,MATCH($V$1,Database!$A$1:$AS$1,),)))))/(((VLOOKUP(EDATE(B185,-12),Database!$A:$AS,MATCH($V$1,Database!$A$1:$AS$1,),))))</f>
        <v/>
      </c>
    </row>
    <row r="186" customFormat="1" s="94">
      <c r="A186" s="44" t="n"/>
      <c r="B186" s="85" t="n">
        <v>37803</v>
      </c>
      <c r="C186" s="13">
        <f>((((VLOOKUP(B186,Database!$A:$AS,MATCH($C$1,Database!$A$1:$AS$1,),))))-(((VLOOKUP(EDATE(B186,-12),Database!$A:$AS,MATCH($C$1,Database!$A$1:$AS$1,),)))))/(((VLOOKUP(EDATE(B186,-12),Database!$A:$AS,MATCH($C$1,Database!$A$1:$AS$1,),))))</f>
        <v/>
      </c>
      <c r="D186" s="13">
        <f>((((VLOOKUP(B186,Database!$A:$AS,MATCH($D$1,Database!$A$1:$AS$1,),))))-(((VLOOKUP(EDATE(B186,-12),Database!$A:$AS,MATCH($D$1,Database!$A$1:$AS$1,),)))))/(((VLOOKUP(EDATE(B186,-12),Database!$A:$AS,MATCH($D$1,Database!$A$1:$AS$1,),))))</f>
        <v/>
      </c>
      <c r="E186" s="13">
        <f>((((VLOOKUP(B186,Database!$A:$AS,MATCH($E$1,Database!$A$1:$AS$1,),))))-(((VLOOKUP(EDATE(B186,-12),Database!$A:$AS,MATCH($E$1,Database!$A$1:$AS$1,),)))))/(((VLOOKUP(EDATE(B186,-12),Database!$A:$AS,MATCH($E$1,Database!$A$1:$AS$1,),))))</f>
        <v/>
      </c>
      <c r="F186" s="13">
        <f>((((VLOOKUP(B186,Database!$A:$AS,MATCH($F$1,Database!$A$1:$AS$1,),))))-(((VLOOKUP(EDATE(B186,-12),Database!$A:$AS,MATCH($F$1,Database!$A$1:$AS$1,),)))))/(((VLOOKUP(EDATE(B186,-12),Database!$A:$AS,MATCH($F$1,Database!$A$1:$AS$1,),))))</f>
        <v/>
      </c>
      <c r="G186" s="13">
        <f>((((VLOOKUP(B186,Database!$A:$AS,MATCH($G$1,Database!$A$1:$AS$1,),))))-(((VLOOKUP(EDATE(B186,-12),Database!$A:$AS,MATCH($G$1,Database!$A$1:$AS$1,),)))))/(((VLOOKUP(EDATE(B186,-12),Database!$A:$AS,MATCH($G$1,Database!$A$1:$AS$1,),))))</f>
        <v/>
      </c>
      <c r="H186" s="13">
        <f>((((VLOOKUP(B186,Database!$A:$AS,MATCH($H$1,Database!$A$1:$AS$1,),))))-(((VLOOKUP(EDATE(B186,-12),Database!$A:$AS,MATCH($H$1,Database!$A$1:$AS$1,),)))))/(((VLOOKUP(EDATE(B186,-12),Database!$A:$AS,MATCH($H$1,Database!$A$1:$AS$1,),))))</f>
        <v/>
      </c>
      <c r="I186" s="13">
        <f>((((VLOOKUP(B186,Database!$A:$AS,MATCH($I$1,Database!$A$1:$AS$1,),))))-(((VLOOKUP(EDATE(B186,-12),Database!$A:$AS,MATCH($I$1,Database!$A$1:$AS$1,),)))))/(((VLOOKUP(EDATE(B186,-12),Database!$A:$AS,MATCH($I$1,Database!$A$1:$AS$1,),))))</f>
        <v/>
      </c>
      <c r="J186" s="13">
        <f>((((VLOOKUP(B186,Database!$A:$AS,MATCH($J$1,Database!$A$1:$AS$1,),))))-(((VLOOKUP(EDATE(B186,-12),Database!$A:$AS,MATCH($J$1,Database!$A$1:$AS$1,),)))))/(((VLOOKUP(EDATE(B186,-12),Database!$A:$AS,MATCH($J$1,Database!$A$1:$AS$1,),))))</f>
        <v/>
      </c>
      <c r="K186" s="13">
        <f>((((VLOOKUP(B186,Database!$A:$AS,MATCH($K$1,Database!$A$1:$AS$1,),))))-(((VLOOKUP(EDATE(B186,-12),Database!$A:$AS,MATCH($K$1,Database!$A$1:$AS$1,),)))))/(((VLOOKUP(EDATE(B186,-12),Database!$A:$AS,MATCH($K$1,Database!$A$1:$AS$1,),))))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((((VLOOKUP(B186,Database!$A:$AS,MATCH($O$1,Database!$A$1:$AS$1,),))))-(((VLOOKUP(EDATE(B186,-12),Database!$A:$AS,MATCH($O$1,Database!$A$1:$AS$1,),)))))/(((VLOOKUP(EDATE(B186,-12),Database!$A:$AS,MATCH($O$1,Database!$A$1:$AS$1,),))))</f>
        <v/>
      </c>
      <c r="P186" s="13">
        <f>((((VLOOKUP(B186,Database!$A:$AS,MATCH($P$1,Database!$A$1:$AS$1,),))))-(((VLOOKUP(EDATE(B186,-12),Database!$A:$AS,MATCH($P$1,Database!$A$1:$AS$1,),)))))/(((VLOOKUP(EDATE(B186,-12),Database!$A:$AS,MATCH($P$1,Database!$A$1:$AS$1,),))))</f>
        <v/>
      </c>
      <c r="Q186" s="13">
        <f>((((VLOOKUP(B186,Database!$A:$AS,MATCH($Q$1,Database!$A$1:$AS$1,),))))-(((VLOOKUP(EDATE(B186,-12),Database!$A:$AS,MATCH($Q$1,Database!$A$1:$AS$1,),)))))/(((VLOOKUP(EDATE(B186,-12),Database!$A:$AS,MATCH($Q$1,Database!$A$1:$AS$1,),))))</f>
        <v/>
      </c>
      <c r="R186" s="13">
        <f>((((VLOOKUP(B186,Database!$A:$AS,MATCH($R$1,Database!$A$1:$AS$1,),))))-(((VLOOKUP(EDATE(B186,-12),Database!$A:$AS,MATCH($R$1,Database!$A$1:$AS$1,),)))))/(((VLOOKUP(EDATE(B186,-12),Database!$A:$AS,MATCH($R$1,Database!$A$1:$AS$1,),))))</f>
        <v/>
      </c>
      <c r="S186" s="13">
        <f>((((VLOOKUP(B186,Database!$A:$AS,MATCH($S$1,Database!$A$1:$AS$1,),))))-(((VLOOKUP(EDATE(B186,-12),Database!$A:$AS,MATCH($S$1,Database!$A$1:$AS$1,),)))))/(((VLOOKUP(EDATE(B186,-12),Database!$A:$AS,MATCH($S$1,Database!$A$1:$AS$1,),))))</f>
        <v/>
      </c>
      <c r="T186" s="13">
        <f>((((VLOOKUP(B186,Database!$A:$AS,MATCH($T$1,Database!$A$1:$AS$1,),))))-(((VLOOKUP(EDATE(B186,-12),Database!$A:$AS,MATCH($T$1,Database!$A$1:$AS$1,),)))))/(((VLOOKUP(EDATE(B186,-12),Database!$A:$AS,MATCH($T$1,Database!$A$1:$AS$1,),))))</f>
        <v/>
      </c>
      <c r="U186" s="13">
        <f>((((VLOOKUP(B186,Database!$A:$AS,MATCH($U$1,Database!$A$1:$AS$1,),))))-(((VLOOKUP(EDATE(B186,-12),Database!$A:$AS,MATCH($U$1,Database!$A$1:$AS$1,),)))))/(((VLOOKUP(EDATE(B186,-12),Database!$A:$AS,MATCH($U$1,Database!$A$1:$AS$1,),))))</f>
        <v/>
      </c>
      <c r="V186" s="13">
        <f>((((VLOOKUP(B186,Database!$A:$AS,MATCH($V$1,Database!$A$1:$AS$1,),))))-(((VLOOKUP(EDATE(B186,-12),Database!$A:$AS,MATCH($V$1,Database!$A$1:$AS$1,),)))))/(((VLOOKUP(EDATE(B186,-12),Database!$A:$AS,MATCH($V$1,Database!$A$1:$AS$1,),))))</f>
        <v/>
      </c>
    </row>
    <row r="187" customFormat="1" s="94">
      <c r="A187" s="44" t="n"/>
      <c r="B187" s="85" t="n">
        <v>37834</v>
      </c>
      <c r="C187" s="13">
        <f>((((VLOOKUP(B187,Database!$A:$AS,MATCH($C$1,Database!$A$1:$AS$1,),))))-(((VLOOKUP(EDATE(B187,-12),Database!$A:$AS,MATCH($C$1,Database!$A$1:$AS$1,),)))))/(((VLOOKUP(EDATE(B187,-12),Database!$A:$AS,MATCH($C$1,Database!$A$1:$AS$1,),))))</f>
        <v/>
      </c>
      <c r="D187" s="13">
        <f>((((VLOOKUP(B187,Database!$A:$AS,MATCH($D$1,Database!$A$1:$AS$1,),))))-(((VLOOKUP(EDATE(B187,-12),Database!$A:$AS,MATCH($D$1,Database!$A$1:$AS$1,),)))))/(((VLOOKUP(EDATE(B187,-12),Database!$A:$AS,MATCH($D$1,Database!$A$1:$AS$1,),))))</f>
        <v/>
      </c>
      <c r="E187" s="13">
        <f>((((VLOOKUP(B187,Database!$A:$AS,MATCH($E$1,Database!$A$1:$AS$1,),))))-(((VLOOKUP(EDATE(B187,-12),Database!$A:$AS,MATCH($E$1,Database!$A$1:$AS$1,),)))))/(((VLOOKUP(EDATE(B187,-12),Database!$A:$AS,MATCH($E$1,Database!$A$1:$AS$1,),))))</f>
        <v/>
      </c>
      <c r="F187" s="13">
        <f>((((VLOOKUP(B187,Database!$A:$AS,MATCH($F$1,Database!$A$1:$AS$1,),))))-(((VLOOKUP(EDATE(B187,-12),Database!$A:$AS,MATCH($F$1,Database!$A$1:$AS$1,),)))))/(((VLOOKUP(EDATE(B187,-12),Database!$A:$AS,MATCH($F$1,Database!$A$1:$AS$1,),))))</f>
        <v/>
      </c>
      <c r="G187" s="13">
        <f>((((VLOOKUP(B187,Database!$A:$AS,MATCH($G$1,Database!$A$1:$AS$1,),))))-(((VLOOKUP(EDATE(B187,-12),Database!$A:$AS,MATCH($G$1,Database!$A$1:$AS$1,),)))))/(((VLOOKUP(EDATE(B187,-12),Database!$A:$AS,MATCH($G$1,Database!$A$1:$AS$1,),))))</f>
        <v/>
      </c>
      <c r="H187" s="13">
        <f>((((VLOOKUP(B187,Database!$A:$AS,MATCH($H$1,Database!$A$1:$AS$1,),))))-(((VLOOKUP(EDATE(B187,-12),Database!$A:$AS,MATCH($H$1,Database!$A$1:$AS$1,),)))))/(((VLOOKUP(EDATE(B187,-12),Database!$A:$AS,MATCH($H$1,Database!$A$1:$AS$1,),))))</f>
        <v/>
      </c>
      <c r="I187" s="13">
        <f>((((VLOOKUP(B187,Database!$A:$AS,MATCH($I$1,Database!$A$1:$AS$1,),))))-(((VLOOKUP(EDATE(B187,-12),Database!$A:$AS,MATCH($I$1,Database!$A$1:$AS$1,),)))))/(((VLOOKUP(EDATE(B187,-12),Database!$A:$AS,MATCH($I$1,Database!$A$1:$AS$1,),))))</f>
        <v/>
      </c>
      <c r="J187" s="13">
        <f>((((VLOOKUP(B187,Database!$A:$AS,MATCH($J$1,Database!$A$1:$AS$1,),))))-(((VLOOKUP(EDATE(B187,-12),Database!$A:$AS,MATCH($J$1,Database!$A$1:$AS$1,),)))))/(((VLOOKUP(EDATE(B187,-12),Database!$A:$AS,MATCH($J$1,Database!$A$1:$AS$1,),))))</f>
        <v/>
      </c>
      <c r="K187" s="13">
        <f>((((VLOOKUP(B187,Database!$A:$AS,MATCH($K$1,Database!$A$1:$AS$1,),))))-(((VLOOKUP(EDATE(B187,-12),Database!$A:$AS,MATCH($K$1,Database!$A$1:$AS$1,),)))))/(((VLOOKUP(EDATE(B187,-12),Database!$A:$AS,MATCH($K$1,Database!$A$1:$AS$1,),))))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((((VLOOKUP(B187,Database!$A:$AS,MATCH($O$1,Database!$A$1:$AS$1,),))))-(((VLOOKUP(EDATE(B187,-12),Database!$A:$AS,MATCH($O$1,Database!$A$1:$AS$1,),)))))/(((VLOOKUP(EDATE(B187,-12),Database!$A:$AS,MATCH($O$1,Database!$A$1:$AS$1,),))))</f>
        <v/>
      </c>
      <c r="P187" s="13">
        <f>((((VLOOKUP(B187,Database!$A:$AS,MATCH($P$1,Database!$A$1:$AS$1,),))))-(((VLOOKUP(EDATE(B187,-12),Database!$A:$AS,MATCH($P$1,Database!$A$1:$AS$1,),)))))/(((VLOOKUP(EDATE(B187,-12),Database!$A:$AS,MATCH($P$1,Database!$A$1:$AS$1,),))))</f>
        <v/>
      </c>
      <c r="Q187" s="13">
        <f>((((VLOOKUP(B187,Database!$A:$AS,MATCH($Q$1,Database!$A$1:$AS$1,),))))-(((VLOOKUP(EDATE(B187,-12),Database!$A:$AS,MATCH($Q$1,Database!$A$1:$AS$1,),)))))/(((VLOOKUP(EDATE(B187,-12),Database!$A:$AS,MATCH($Q$1,Database!$A$1:$AS$1,),))))</f>
        <v/>
      </c>
      <c r="R187" s="13">
        <f>((((VLOOKUP(B187,Database!$A:$AS,MATCH($R$1,Database!$A$1:$AS$1,),))))-(((VLOOKUP(EDATE(B187,-12),Database!$A:$AS,MATCH($R$1,Database!$A$1:$AS$1,),)))))/(((VLOOKUP(EDATE(B187,-12),Database!$A:$AS,MATCH($R$1,Database!$A$1:$AS$1,),))))</f>
        <v/>
      </c>
      <c r="S187" s="13">
        <f>((((VLOOKUP(B187,Database!$A:$AS,MATCH($S$1,Database!$A$1:$AS$1,),))))-(((VLOOKUP(EDATE(B187,-12),Database!$A:$AS,MATCH($S$1,Database!$A$1:$AS$1,),)))))/(((VLOOKUP(EDATE(B187,-12),Database!$A:$AS,MATCH($S$1,Database!$A$1:$AS$1,),))))</f>
        <v/>
      </c>
      <c r="T187" s="13">
        <f>((((VLOOKUP(B187,Database!$A:$AS,MATCH($T$1,Database!$A$1:$AS$1,),))))-(((VLOOKUP(EDATE(B187,-12),Database!$A:$AS,MATCH($T$1,Database!$A$1:$AS$1,),)))))/(((VLOOKUP(EDATE(B187,-12),Database!$A:$AS,MATCH($T$1,Database!$A$1:$AS$1,),))))</f>
        <v/>
      </c>
      <c r="U187" s="13">
        <f>((((VLOOKUP(B187,Database!$A:$AS,MATCH($U$1,Database!$A$1:$AS$1,),))))-(((VLOOKUP(EDATE(B187,-12),Database!$A:$AS,MATCH($U$1,Database!$A$1:$AS$1,),)))))/(((VLOOKUP(EDATE(B187,-12),Database!$A:$AS,MATCH($U$1,Database!$A$1:$AS$1,),))))</f>
        <v/>
      </c>
      <c r="V187" s="13">
        <f>((((VLOOKUP(B187,Database!$A:$AS,MATCH($V$1,Database!$A$1:$AS$1,),))))-(((VLOOKUP(EDATE(B187,-12),Database!$A:$AS,MATCH($V$1,Database!$A$1:$AS$1,),)))))/(((VLOOKUP(EDATE(B187,-12),Database!$A:$AS,MATCH($V$1,Database!$A$1:$AS$1,),))))</f>
        <v/>
      </c>
    </row>
    <row r="188" customFormat="1" s="94">
      <c r="A188" s="44" t="n"/>
      <c r="B188" s="85" t="n">
        <v>37865</v>
      </c>
      <c r="C188" s="13">
        <f>((((VLOOKUP(B188,Database!$A:$AS,MATCH($C$1,Database!$A$1:$AS$1,),))))-(((VLOOKUP(EDATE(B188,-12),Database!$A:$AS,MATCH($C$1,Database!$A$1:$AS$1,),)))))/(((VLOOKUP(EDATE(B188,-12),Database!$A:$AS,MATCH($C$1,Database!$A$1:$AS$1,),))))</f>
        <v/>
      </c>
      <c r="D188" s="13">
        <f>((((VLOOKUP(B188,Database!$A:$AS,MATCH($D$1,Database!$A$1:$AS$1,),))))-(((VLOOKUP(EDATE(B188,-12),Database!$A:$AS,MATCH($D$1,Database!$A$1:$AS$1,),)))))/(((VLOOKUP(EDATE(B188,-12),Database!$A:$AS,MATCH($D$1,Database!$A$1:$AS$1,),))))</f>
        <v/>
      </c>
      <c r="E188" s="13">
        <f>((((VLOOKUP(B188,Database!$A:$AS,MATCH($E$1,Database!$A$1:$AS$1,),))))-(((VLOOKUP(EDATE(B188,-12),Database!$A:$AS,MATCH($E$1,Database!$A$1:$AS$1,),)))))/(((VLOOKUP(EDATE(B188,-12),Database!$A:$AS,MATCH($E$1,Database!$A$1:$AS$1,),))))</f>
        <v/>
      </c>
      <c r="F188" s="13">
        <f>((((VLOOKUP(B188,Database!$A:$AS,MATCH($F$1,Database!$A$1:$AS$1,),))))-(((VLOOKUP(EDATE(B188,-12),Database!$A:$AS,MATCH($F$1,Database!$A$1:$AS$1,),)))))/(((VLOOKUP(EDATE(B188,-12),Database!$A:$AS,MATCH($F$1,Database!$A$1:$AS$1,),))))</f>
        <v/>
      </c>
      <c r="G188" s="13">
        <f>((((VLOOKUP(B188,Database!$A:$AS,MATCH($G$1,Database!$A$1:$AS$1,),))))-(((VLOOKUP(EDATE(B188,-12),Database!$A:$AS,MATCH($G$1,Database!$A$1:$AS$1,),)))))/(((VLOOKUP(EDATE(B188,-12),Database!$A:$AS,MATCH($G$1,Database!$A$1:$AS$1,),))))</f>
        <v/>
      </c>
      <c r="H188" s="13">
        <f>((((VLOOKUP(B188,Database!$A:$AS,MATCH($H$1,Database!$A$1:$AS$1,),))))-(((VLOOKUP(EDATE(B188,-12),Database!$A:$AS,MATCH($H$1,Database!$A$1:$AS$1,),)))))/(((VLOOKUP(EDATE(B188,-12),Database!$A:$AS,MATCH($H$1,Database!$A$1:$AS$1,),))))</f>
        <v/>
      </c>
      <c r="I188" s="13">
        <f>((((VLOOKUP(B188,Database!$A:$AS,MATCH($I$1,Database!$A$1:$AS$1,),))))-(((VLOOKUP(EDATE(B188,-12),Database!$A:$AS,MATCH($I$1,Database!$A$1:$AS$1,),)))))/(((VLOOKUP(EDATE(B188,-12),Database!$A:$AS,MATCH($I$1,Database!$A$1:$AS$1,),))))</f>
        <v/>
      </c>
      <c r="J188" s="13">
        <f>((((VLOOKUP(B188,Database!$A:$AS,MATCH($J$1,Database!$A$1:$AS$1,),))))-(((VLOOKUP(EDATE(B188,-12),Database!$A:$AS,MATCH($J$1,Database!$A$1:$AS$1,),)))))/(((VLOOKUP(EDATE(B188,-12),Database!$A:$AS,MATCH($J$1,Database!$A$1:$AS$1,),))))</f>
        <v/>
      </c>
      <c r="K188" s="13">
        <f>((((VLOOKUP(B188,Database!$A:$AS,MATCH($K$1,Database!$A$1:$AS$1,),))))-(((VLOOKUP(EDATE(B188,-12),Database!$A:$AS,MATCH($K$1,Database!$A$1:$AS$1,),)))))/(((VLOOKUP(EDATE(B188,-12),Database!$A:$AS,MATCH($K$1,Database!$A$1:$AS$1,),))))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((((VLOOKUP(B188,Database!$A:$AS,MATCH($O$1,Database!$A$1:$AS$1,),))))-(((VLOOKUP(EDATE(B188,-12),Database!$A:$AS,MATCH($O$1,Database!$A$1:$AS$1,),)))))/(((VLOOKUP(EDATE(B188,-12),Database!$A:$AS,MATCH($O$1,Database!$A$1:$AS$1,),))))</f>
        <v/>
      </c>
      <c r="P188" s="13">
        <f>((((VLOOKUP(B188,Database!$A:$AS,MATCH($P$1,Database!$A$1:$AS$1,),))))-(((VLOOKUP(EDATE(B188,-12),Database!$A:$AS,MATCH($P$1,Database!$A$1:$AS$1,),)))))/(((VLOOKUP(EDATE(B188,-12),Database!$A:$AS,MATCH($P$1,Database!$A$1:$AS$1,),))))</f>
        <v/>
      </c>
      <c r="Q188" s="13">
        <f>((((VLOOKUP(B188,Database!$A:$AS,MATCH($Q$1,Database!$A$1:$AS$1,),))))-(((VLOOKUP(EDATE(B188,-12),Database!$A:$AS,MATCH($Q$1,Database!$A$1:$AS$1,),)))))/(((VLOOKUP(EDATE(B188,-12),Database!$A:$AS,MATCH($Q$1,Database!$A$1:$AS$1,),))))</f>
        <v/>
      </c>
      <c r="R188" s="13">
        <f>((((VLOOKUP(B188,Database!$A:$AS,MATCH($R$1,Database!$A$1:$AS$1,),))))-(((VLOOKUP(EDATE(B188,-12),Database!$A:$AS,MATCH($R$1,Database!$A$1:$AS$1,),)))))/(((VLOOKUP(EDATE(B188,-12),Database!$A:$AS,MATCH($R$1,Database!$A$1:$AS$1,),))))</f>
        <v/>
      </c>
      <c r="S188" s="13">
        <f>((((VLOOKUP(B188,Database!$A:$AS,MATCH($S$1,Database!$A$1:$AS$1,),))))-(((VLOOKUP(EDATE(B188,-12),Database!$A:$AS,MATCH($S$1,Database!$A$1:$AS$1,),)))))/(((VLOOKUP(EDATE(B188,-12),Database!$A:$AS,MATCH($S$1,Database!$A$1:$AS$1,),))))</f>
        <v/>
      </c>
      <c r="T188" s="13">
        <f>((((VLOOKUP(B188,Database!$A:$AS,MATCH($T$1,Database!$A$1:$AS$1,),))))-(((VLOOKUP(EDATE(B188,-12),Database!$A:$AS,MATCH($T$1,Database!$A$1:$AS$1,),)))))/(((VLOOKUP(EDATE(B188,-12),Database!$A:$AS,MATCH($T$1,Database!$A$1:$AS$1,),))))</f>
        <v/>
      </c>
      <c r="U188" s="13">
        <f>((((VLOOKUP(B188,Database!$A:$AS,MATCH($U$1,Database!$A$1:$AS$1,),))))-(((VLOOKUP(EDATE(B188,-12),Database!$A:$AS,MATCH($U$1,Database!$A$1:$AS$1,),)))))/(((VLOOKUP(EDATE(B188,-12),Database!$A:$AS,MATCH($U$1,Database!$A$1:$AS$1,),))))</f>
        <v/>
      </c>
      <c r="V188" s="13">
        <f>((((VLOOKUP(B188,Database!$A:$AS,MATCH($V$1,Database!$A$1:$AS$1,),))))-(((VLOOKUP(EDATE(B188,-12),Database!$A:$AS,MATCH($V$1,Database!$A$1:$AS$1,),)))))/(((VLOOKUP(EDATE(B188,-12),Database!$A:$AS,MATCH($V$1,Database!$A$1:$AS$1,),))))</f>
        <v/>
      </c>
    </row>
    <row r="189" customFormat="1" s="94">
      <c r="A189" s="44" t="n"/>
      <c r="B189" s="85" t="n">
        <v>37895</v>
      </c>
      <c r="C189" s="13">
        <f>((((VLOOKUP(B189,Database!$A:$AS,MATCH($C$1,Database!$A$1:$AS$1,),))))-(((VLOOKUP(EDATE(B189,-12),Database!$A:$AS,MATCH($C$1,Database!$A$1:$AS$1,),)))))/(((VLOOKUP(EDATE(B189,-12),Database!$A:$AS,MATCH($C$1,Database!$A$1:$AS$1,),))))</f>
        <v/>
      </c>
      <c r="D189" s="13">
        <f>((((VLOOKUP(B189,Database!$A:$AS,MATCH($D$1,Database!$A$1:$AS$1,),))))-(((VLOOKUP(EDATE(B189,-12),Database!$A:$AS,MATCH($D$1,Database!$A$1:$AS$1,),)))))/(((VLOOKUP(EDATE(B189,-12),Database!$A:$AS,MATCH($D$1,Database!$A$1:$AS$1,),))))</f>
        <v/>
      </c>
      <c r="E189" s="13">
        <f>((((VLOOKUP(B189,Database!$A:$AS,MATCH($E$1,Database!$A$1:$AS$1,),))))-(((VLOOKUP(EDATE(B189,-12),Database!$A:$AS,MATCH($E$1,Database!$A$1:$AS$1,),)))))/(((VLOOKUP(EDATE(B189,-12),Database!$A:$AS,MATCH($E$1,Database!$A$1:$AS$1,),))))</f>
        <v/>
      </c>
      <c r="F189" s="13">
        <f>((((VLOOKUP(B189,Database!$A:$AS,MATCH($F$1,Database!$A$1:$AS$1,),))))-(((VLOOKUP(EDATE(B189,-12),Database!$A:$AS,MATCH($F$1,Database!$A$1:$AS$1,),)))))/(((VLOOKUP(EDATE(B189,-12),Database!$A:$AS,MATCH($F$1,Database!$A$1:$AS$1,),))))</f>
        <v/>
      </c>
      <c r="G189" s="13">
        <f>((((VLOOKUP(B189,Database!$A:$AS,MATCH($G$1,Database!$A$1:$AS$1,),))))-(((VLOOKUP(EDATE(B189,-12),Database!$A:$AS,MATCH($G$1,Database!$A$1:$AS$1,),)))))/(((VLOOKUP(EDATE(B189,-12),Database!$A:$AS,MATCH($G$1,Database!$A$1:$AS$1,),))))</f>
        <v/>
      </c>
      <c r="H189" s="13">
        <f>((((VLOOKUP(B189,Database!$A:$AS,MATCH($H$1,Database!$A$1:$AS$1,),))))-(((VLOOKUP(EDATE(B189,-12),Database!$A:$AS,MATCH($H$1,Database!$A$1:$AS$1,),)))))/(((VLOOKUP(EDATE(B189,-12),Database!$A:$AS,MATCH($H$1,Database!$A$1:$AS$1,),))))</f>
        <v/>
      </c>
      <c r="I189" s="13">
        <f>((((VLOOKUP(B189,Database!$A:$AS,MATCH($I$1,Database!$A$1:$AS$1,),))))-(((VLOOKUP(EDATE(B189,-12),Database!$A:$AS,MATCH($I$1,Database!$A$1:$AS$1,),)))))/(((VLOOKUP(EDATE(B189,-12),Database!$A:$AS,MATCH($I$1,Database!$A$1:$AS$1,),))))</f>
        <v/>
      </c>
      <c r="J189" s="13">
        <f>((((VLOOKUP(B189,Database!$A:$AS,MATCH($J$1,Database!$A$1:$AS$1,),))))-(((VLOOKUP(EDATE(B189,-12),Database!$A:$AS,MATCH($J$1,Database!$A$1:$AS$1,),)))))/(((VLOOKUP(EDATE(B189,-12),Database!$A:$AS,MATCH($J$1,Database!$A$1:$AS$1,),))))</f>
        <v/>
      </c>
      <c r="K189" s="13">
        <f>((((VLOOKUP(B189,Database!$A:$AS,MATCH($K$1,Database!$A$1:$AS$1,),))))-(((VLOOKUP(EDATE(B189,-12),Database!$A:$AS,MATCH($K$1,Database!$A$1:$AS$1,),)))))/(((VLOOKUP(EDATE(B189,-12),Database!$A:$AS,MATCH($K$1,Database!$A$1:$AS$1,),))))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((((VLOOKUP(B189,Database!$A:$AS,MATCH($O$1,Database!$A$1:$AS$1,),))))-(((VLOOKUP(EDATE(B189,-12),Database!$A:$AS,MATCH($O$1,Database!$A$1:$AS$1,),)))))/(((VLOOKUP(EDATE(B189,-12),Database!$A:$AS,MATCH($O$1,Database!$A$1:$AS$1,),))))</f>
        <v/>
      </c>
      <c r="P189" s="13">
        <f>((((VLOOKUP(B189,Database!$A:$AS,MATCH($P$1,Database!$A$1:$AS$1,),))))-(((VLOOKUP(EDATE(B189,-12),Database!$A:$AS,MATCH($P$1,Database!$A$1:$AS$1,),)))))/(((VLOOKUP(EDATE(B189,-12),Database!$A:$AS,MATCH($P$1,Database!$A$1:$AS$1,),))))</f>
        <v/>
      </c>
      <c r="Q189" s="13">
        <f>((((VLOOKUP(B189,Database!$A:$AS,MATCH($Q$1,Database!$A$1:$AS$1,),))))-(((VLOOKUP(EDATE(B189,-12),Database!$A:$AS,MATCH($Q$1,Database!$A$1:$AS$1,),)))))/(((VLOOKUP(EDATE(B189,-12),Database!$A:$AS,MATCH($Q$1,Database!$A$1:$AS$1,),))))</f>
        <v/>
      </c>
      <c r="R189" s="13">
        <f>((((VLOOKUP(B189,Database!$A:$AS,MATCH($R$1,Database!$A$1:$AS$1,),))))-(((VLOOKUP(EDATE(B189,-12),Database!$A:$AS,MATCH($R$1,Database!$A$1:$AS$1,),)))))/(((VLOOKUP(EDATE(B189,-12),Database!$A:$AS,MATCH($R$1,Database!$A$1:$AS$1,),))))</f>
        <v/>
      </c>
      <c r="S189" s="13">
        <f>((((VLOOKUP(B189,Database!$A:$AS,MATCH($S$1,Database!$A$1:$AS$1,),))))-(((VLOOKUP(EDATE(B189,-12),Database!$A:$AS,MATCH($S$1,Database!$A$1:$AS$1,),)))))/(((VLOOKUP(EDATE(B189,-12),Database!$A:$AS,MATCH($S$1,Database!$A$1:$AS$1,),))))</f>
        <v/>
      </c>
      <c r="T189" s="13">
        <f>((((VLOOKUP(B189,Database!$A:$AS,MATCH($T$1,Database!$A$1:$AS$1,),))))-(((VLOOKUP(EDATE(B189,-12),Database!$A:$AS,MATCH($T$1,Database!$A$1:$AS$1,),)))))/(((VLOOKUP(EDATE(B189,-12),Database!$A:$AS,MATCH($T$1,Database!$A$1:$AS$1,),))))</f>
        <v/>
      </c>
      <c r="U189" s="13">
        <f>((((VLOOKUP(B189,Database!$A:$AS,MATCH($U$1,Database!$A$1:$AS$1,),))))-(((VLOOKUP(EDATE(B189,-12),Database!$A:$AS,MATCH($U$1,Database!$A$1:$AS$1,),)))))/(((VLOOKUP(EDATE(B189,-12),Database!$A:$AS,MATCH($U$1,Database!$A$1:$AS$1,),))))</f>
        <v/>
      </c>
      <c r="V189" s="13">
        <f>((((VLOOKUP(B189,Database!$A:$AS,MATCH($V$1,Database!$A$1:$AS$1,),))))-(((VLOOKUP(EDATE(B189,-12),Database!$A:$AS,MATCH($V$1,Database!$A$1:$AS$1,),)))))/(((VLOOKUP(EDATE(B189,-12),Database!$A:$AS,MATCH($V$1,Database!$A$1:$AS$1,),))))</f>
        <v/>
      </c>
    </row>
    <row r="190" customFormat="1" s="94">
      <c r="A190" s="44" t="n"/>
      <c r="B190" s="85" t="n">
        <v>37926</v>
      </c>
      <c r="C190" s="13">
        <f>((((VLOOKUP(B190,Database!$A:$AS,MATCH($C$1,Database!$A$1:$AS$1,),))))-(((VLOOKUP(EDATE(B190,-12),Database!$A:$AS,MATCH($C$1,Database!$A$1:$AS$1,),)))))/(((VLOOKUP(EDATE(B190,-12),Database!$A:$AS,MATCH($C$1,Database!$A$1:$AS$1,),))))</f>
        <v/>
      </c>
      <c r="D190" s="13">
        <f>((((VLOOKUP(B190,Database!$A:$AS,MATCH($D$1,Database!$A$1:$AS$1,),))))-(((VLOOKUP(EDATE(B190,-12),Database!$A:$AS,MATCH($D$1,Database!$A$1:$AS$1,),)))))/(((VLOOKUP(EDATE(B190,-12),Database!$A:$AS,MATCH($D$1,Database!$A$1:$AS$1,),))))</f>
        <v/>
      </c>
      <c r="E190" s="13">
        <f>((((VLOOKUP(B190,Database!$A:$AS,MATCH($E$1,Database!$A$1:$AS$1,),))))-(((VLOOKUP(EDATE(B190,-12),Database!$A:$AS,MATCH($E$1,Database!$A$1:$AS$1,),)))))/(((VLOOKUP(EDATE(B190,-12),Database!$A:$AS,MATCH($E$1,Database!$A$1:$AS$1,),))))</f>
        <v/>
      </c>
      <c r="F190" s="13">
        <f>((((VLOOKUP(B190,Database!$A:$AS,MATCH($F$1,Database!$A$1:$AS$1,),))))-(((VLOOKUP(EDATE(B190,-12),Database!$A:$AS,MATCH($F$1,Database!$A$1:$AS$1,),)))))/(((VLOOKUP(EDATE(B190,-12),Database!$A:$AS,MATCH($F$1,Database!$A$1:$AS$1,),))))</f>
        <v/>
      </c>
      <c r="G190" s="13">
        <f>((((VLOOKUP(B190,Database!$A:$AS,MATCH($G$1,Database!$A$1:$AS$1,),))))-(((VLOOKUP(EDATE(B190,-12),Database!$A:$AS,MATCH($G$1,Database!$A$1:$AS$1,),)))))/(((VLOOKUP(EDATE(B190,-12),Database!$A:$AS,MATCH($G$1,Database!$A$1:$AS$1,),))))</f>
        <v/>
      </c>
      <c r="H190" s="13">
        <f>((((VLOOKUP(B190,Database!$A:$AS,MATCH($H$1,Database!$A$1:$AS$1,),))))-(((VLOOKUP(EDATE(B190,-12),Database!$A:$AS,MATCH($H$1,Database!$A$1:$AS$1,),)))))/(((VLOOKUP(EDATE(B190,-12),Database!$A:$AS,MATCH($H$1,Database!$A$1:$AS$1,),))))</f>
        <v/>
      </c>
      <c r="I190" s="13">
        <f>((((VLOOKUP(B190,Database!$A:$AS,MATCH($I$1,Database!$A$1:$AS$1,),))))-(((VLOOKUP(EDATE(B190,-12),Database!$A:$AS,MATCH($I$1,Database!$A$1:$AS$1,),)))))/(((VLOOKUP(EDATE(B190,-12),Database!$A:$AS,MATCH($I$1,Database!$A$1:$AS$1,),))))</f>
        <v/>
      </c>
      <c r="J190" s="13">
        <f>((((VLOOKUP(B190,Database!$A:$AS,MATCH($J$1,Database!$A$1:$AS$1,),))))-(((VLOOKUP(EDATE(B190,-12),Database!$A:$AS,MATCH($J$1,Database!$A$1:$AS$1,),)))))/(((VLOOKUP(EDATE(B190,-12),Database!$A:$AS,MATCH($J$1,Database!$A$1:$AS$1,),))))</f>
        <v/>
      </c>
      <c r="K190" s="13">
        <f>((((VLOOKUP(B190,Database!$A:$AS,MATCH($K$1,Database!$A$1:$AS$1,),))))-(((VLOOKUP(EDATE(B190,-12),Database!$A:$AS,MATCH($K$1,Database!$A$1:$AS$1,),)))))/(((VLOOKUP(EDATE(B190,-12),Database!$A:$AS,MATCH($K$1,Database!$A$1:$AS$1,),))))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((((VLOOKUP(B190,Database!$A:$AS,MATCH($O$1,Database!$A$1:$AS$1,),))))-(((VLOOKUP(EDATE(B190,-12),Database!$A:$AS,MATCH($O$1,Database!$A$1:$AS$1,),)))))/(((VLOOKUP(EDATE(B190,-12),Database!$A:$AS,MATCH($O$1,Database!$A$1:$AS$1,),))))</f>
        <v/>
      </c>
      <c r="P190" s="13">
        <f>((((VLOOKUP(B190,Database!$A:$AS,MATCH($P$1,Database!$A$1:$AS$1,),))))-(((VLOOKUP(EDATE(B190,-12),Database!$A:$AS,MATCH($P$1,Database!$A$1:$AS$1,),)))))/(((VLOOKUP(EDATE(B190,-12),Database!$A:$AS,MATCH($P$1,Database!$A$1:$AS$1,),))))</f>
        <v/>
      </c>
      <c r="Q190" s="13">
        <f>((((VLOOKUP(B190,Database!$A:$AS,MATCH($Q$1,Database!$A$1:$AS$1,),))))-(((VLOOKUP(EDATE(B190,-12),Database!$A:$AS,MATCH($Q$1,Database!$A$1:$AS$1,),)))))/(((VLOOKUP(EDATE(B190,-12),Database!$A:$AS,MATCH($Q$1,Database!$A$1:$AS$1,),))))</f>
        <v/>
      </c>
      <c r="R190" s="13">
        <f>((((VLOOKUP(B190,Database!$A:$AS,MATCH($R$1,Database!$A$1:$AS$1,),))))-(((VLOOKUP(EDATE(B190,-12),Database!$A:$AS,MATCH($R$1,Database!$A$1:$AS$1,),)))))/(((VLOOKUP(EDATE(B190,-12),Database!$A:$AS,MATCH($R$1,Database!$A$1:$AS$1,),))))</f>
        <v/>
      </c>
      <c r="S190" s="13">
        <f>((((VLOOKUP(B190,Database!$A:$AS,MATCH($S$1,Database!$A$1:$AS$1,),))))-(((VLOOKUP(EDATE(B190,-12),Database!$A:$AS,MATCH($S$1,Database!$A$1:$AS$1,),)))))/(((VLOOKUP(EDATE(B190,-12),Database!$A:$AS,MATCH($S$1,Database!$A$1:$AS$1,),))))</f>
        <v/>
      </c>
      <c r="T190" s="13">
        <f>((((VLOOKUP(B190,Database!$A:$AS,MATCH($T$1,Database!$A$1:$AS$1,),))))-(((VLOOKUP(EDATE(B190,-12),Database!$A:$AS,MATCH($T$1,Database!$A$1:$AS$1,),)))))/(((VLOOKUP(EDATE(B190,-12),Database!$A:$AS,MATCH($T$1,Database!$A$1:$AS$1,),))))</f>
        <v/>
      </c>
      <c r="U190" s="13">
        <f>((((VLOOKUP(B190,Database!$A:$AS,MATCH($U$1,Database!$A$1:$AS$1,),))))-(((VLOOKUP(EDATE(B190,-12),Database!$A:$AS,MATCH($U$1,Database!$A$1:$AS$1,),)))))/(((VLOOKUP(EDATE(B190,-12),Database!$A:$AS,MATCH($U$1,Database!$A$1:$AS$1,),))))</f>
        <v/>
      </c>
      <c r="V190" s="13">
        <f>((((VLOOKUP(B190,Database!$A:$AS,MATCH($V$1,Database!$A$1:$AS$1,),))))-(((VLOOKUP(EDATE(B190,-12),Database!$A:$AS,MATCH($V$1,Database!$A$1:$AS$1,),)))))/(((VLOOKUP(EDATE(B190,-12),Database!$A:$AS,MATCH($V$1,Database!$A$1:$AS$1,),))))</f>
        <v/>
      </c>
    </row>
    <row r="191" customFormat="1" s="94">
      <c r="A191" s="44" t="n"/>
      <c r="B191" s="85" t="n">
        <v>37956</v>
      </c>
      <c r="C191" s="13">
        <f>((((VLOOKUP(B191,Database!$A:$AS,MATCH($C$1,Database!$A$1:$AS$1,),))))-(((VLOOKUP(EDATE(B191,-12),Database!$A:$AS,MATCH($C$1,Database!$A$1:$AS$1,),)))))/(((VLOOKUP(EDATE(B191,-12),Database!$A:$AS,MATCH($C$1,Database!$A$1:$AS$1,),))))</f>
        <v/>
      </c>
      <c r="D191" s="13">
        <f>((((VLOOKUP(B191,Database!$A:$AS,MATCH($D$1,Database!$A$1:$AS$1,),))))-(((VLOOKUP(EDATE(B191,-12),Database!$A:$AS,MATCH($D$1,Database!$A$1:$AS$1,),)))))/(((VLOOKUP(EDATE(B191,-12),Database!$A:$AS,MATCH($D$1,Database!$A$1:$AS$1,),))))</f>
        <v/>
      </c>
      <c r="E191" s="13">
        <f>((((VLOOKUP(B191,Database!$A:$AS,MATCH($E$1,Database!$A$1:$AS$1,),))))-(((VLOOKUP(EDATE(B191,-12),Database!$A:$AS,MATCH($E$1,Database!$A$1:$AS$1,),)))))/(((VLOOKUP(EDATE(B191,-12),Database!$A:$AS,MATCH($E$1,Database!$A$1:$AS$1,),))))</f>
        <v/>
      </c>
      <c r="F191" s="13">
        <f>((((VLOOKUP(B191,Database!$A:$AS,MATCH($F$1,Database!$A$1:$AS$1,),))))-(((VLOOKUP(EDATE(B191,-12),Database!$A:$AS,MATCH($F$1,Database!$A$1:$AS$1,),)))))/(((VLOOKUP(EDATE(B191,-12),Database!$A:$AS,MATCH($F$1,Database!$A$1:$AS$1,),))))</f>
        <v/>
      </c>
      <c r="G191" s="13">
        <f>((((VLOOKUP(B191,Database!$A:$AS,MATCH($G$1,Database!$A$1:$AS$1,),))))-(((VLOOKUP(EDATE(B191,-12),Database!$A:$AS,MATCH($G$1,Database!$A$1:$AS$1,),)))))/(((VLOOKUP(EDATE(B191,-12),Database!$A:$AS,MATCH($G$1,Database!$A$1:$AS$1,),))))</f>
        <v/>
      </c>
      <c r="H191" s="13">
        <f>((((VLOOKUP(B191,Database!$A:$AS,MATCH($H$1,Database!$A$1:$AS$1,),))))-(((VLOOKUP(EDATE(B191,-12),Database!$A:$AS,MATCH($H$1,Database!$A$1:$AS$1,),)))))/(((VLOOKUP(EDATE(B191,-12),Database!$A:$AS,MATCH($H$1,Database!$A$1:$AS$1,),))))</f>
        <v/>
      </c>
      <c r="I191" s="13">
        <f>((((VLOOKUP(B191,Database!$A:$AS,MATCH($I$1,Database!$A$1:$AS$1,),))))-(((VLOOKUP(EDATE(B191,-12),Database!$A:$AS,MATCH($I$1,Database!$A$1:$AS$1,),)))))/(((VLOOKUP(EDATE(B191,-12),Database!$A:$AS,MATCH($I$1,Database!$A$1:$AS$1,),))))</f>
        <v/>
      </c>
      <c r="J191" s="13">
        <f>((((VLOOKUP(B191,Database!$A:$AS,MATCH($J$1,Database!$A$1:$AS$1,),))))-(((VLOOKUP(EDATE(B191,-12),Database!$A:$AS,MATCH($J$1,Database!$A$1:$AS$1,),)))))/(((VLOOKUP(EDATE(B191,-12),Database!$A:$AS,MATCH($J$1,Database!$A$1:$AS$1,),))))</f>
        <v/>
      </c>
      <c r="K191" s="13">
        <f>((((VLOOKUP(B191,Database!$A:$AS,MATCH($K$1,Database!$A$1:$AS$1,),))))-(((VLOOKUP(EDATE(B191,-12),Database!$A:$AS,MATCH($K$1,Database!$A$1:$AS$1,),)))))/(((VLOOKUP(EDATE(B191,-12),Database!$A:$AS,MATCH($K$1,Database!$A$1:$AS$1,),))))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((((VLOOKUP(B191,Database!$A:$AS,MATCH($O$1,Database!$A$1:$AS$1,),))))-(((VLOOKUP(EDATE(B191,-12),Database!$A:$AS,MATCH($O$1,Database!$A$1:$AS$1,),)))))/(((VLOOKUP(EDATE(B191,-12),Database!$A:$AS,MATCH($O$1,Database!$A$1:$AS$1,),))))</f>
        <v/>
      </c>
      <c r="P191" s="13">
        <f>((((VLOOKUP(B191,Database!$A:$AS,MATCH($P$1,Database!$A$1:$AS$1,),))))-(((VLOOKUP(EDATE(B191,-12),Database!$A:$AS,MATCH($P$1,Database!$A$1:$AS$1,),)))))/(((VLOOKUP(EDATE(B191,-12),Database!$A:$AS,MATCH($P$1,Database!$A$1:$AS$1,),))))</f>
        <v/>
      </c>
      <c r="Q191" s="13">
        <f>((((VLOOKUP(B191,Database!$A:$AS,MATCH($Q$1,Database!$A$1:$AS$1,),))))-(((VLOOKUP(EDATE(B191,-12),Database!$A:$AS,MATCH($Q$1,Database!$A$1:$AS$1,),)))))/(((VLOOKUP(EDATE(B191,-12),Database!$A:$AS,MATCH($Q$1,Database!$A$1:$AS$1,),))))</f>
        <v/>
      </c>
      <c r="R191" s="13">
        <f>((((VLOOKUP(B191,Database!$A:$AS,MATCH($R$1,Database!$A$1:$AS$1,),))))-(((VLOOKUP(EDATE(B191,-12),Database!$A:$AS,MATCH($R$1,Database!$A$1:$AS$1,),)))))/(((VLOOKUP(EDATE(B191,-12),Database!$A:$AS,MATCH($R$1,Database!$A$1:$AS$1,),))))</f>
        <v/>
      </c>
      <c r="S191" s="13">
        <f>((((VLOOKUP(B191,Database!$A:$AS,MATCH($S$1,Database!$A$1:$AS$1,),))))-(((VLOOKUP(EDATE(B191,-12),Database!$A:$AS,MATCH($S$1,Database!$A$1:$AS$1,),)))))/(((VLOOKUP(EDATE(B191,-12),Database!$A:$AS,MATCH($S$1,Database!$A$1:$AS$1,),))))</f>
        <v/>
      </c>
      <c r="T191" s="13">
        <f>((((VLOOKUP(B191,Database!$A:$AS,MATCH($T$1,Database!$A$1:$AS$1,),))))-(((VLOOKUP(EDATE(B191,-12),Database!$A:$AS,MATCH($T$1,Database!$A$1:$AS$1,),)))))/(((VLOOKUP(EDATE(B191,-12),Database!$A:$AS,MATCH($T$1,Database!$A$1:$AS$1,),))))</f>
        <v/>
      </c>
      <c r="U191" s="13">
        <f>((((VLOOKUP(B191,Database!$A:$AS,MATCH($U$1,Database!$A$1:$AS$1,),))))-(((VLOOKUP(EDATE(B191,-12),Database!$A:$AS,MATCH($U$1,Database!$A$1:$AS$1,),)))))/(((VLOOKUP(EDATE(B191,-12),Database!$A:$AS,MATCH($U$1,Database!$A$1:$AS$1,),))))</f>
        <v/>
      </c>
      <c r="V191" s="13">
        <f>((((VLOOKUP(B191,Database!$A:$AS,MATCH($V$1,Database!$A$1:$AS$1,),))))-(((VLOOKUP(EDATE(B191,-12),Database!$A:$AS,MATCH($V$1,Database!$A$1:$AS$1,),)))))/(((VLOOKUP(EDATE(B191,-12),Database!$A:$AS,MATCH($V$1,Database!$A$1:$AS$1,),))))</f>
        <v/>
      </c>
    </row>
    <row r="192" customFormat="1" s="94">
      <c r="A192" s="44" t="n"/>
      <c r="B192" s="85" t="n">
        <v>37987</v>
      </c>
      <c r="C192" s="13">
        <f>((((VLOOKUP(B192,Database!$A:$AS,MATCH($C$1,Database!$A$1:$AS$1,),))))-(((VLOOKUP(EDATE(B192,-12),Database!$A:$AS,MATCH($C$1,Database!$A$1:$AS$1,),)))))/(((VLOOKUP(EDATE(B192,-12),Database!$A:$AS,MATCH($C$1,Database!$A$1:$AS$1,),))))</f>
        <v/>
      </c>
      <c r="D192" s="13">
        <f>((((VLOOKUP(B192,Database!$A:$AS,MATCH($D$1,Database!$A$1:$AS$1,),))))-(((VLOOKUP(EDATE(B192,-12),Database!$A:$AS,MATCH($D$1,Database!$A$1:$AS$1,),)))))/(((VLOOKUP(EDATE(B192,-12),Database!$A:$AS,MATCH($D$1,Database!$A$1:$AS$1,),))))</f>
        <v/>
      </c>
      <c r="E192" s="13">
        <f>((((VLOOKUP(B192,Database!$A:$AS,MATCH($E$1,Database!$A$1:$AS$1,),))))-(((VLOOKUP(EDATE(B192,-12),Database!$A:$AS,MATCH($E$1,Database!$A$1:$AS$1,),)))))/(((VLOOKUP(EDATE(B192,-12),Database!$A:$AS,MATCH($E$1,Database!$A$1:$AS$1,),))))</f>
        <v/>
      </c>
      <c r="F192" s="13">
        <f>((((VLOOKUP(B192,Database!$A:$AS,MATCH($F$1,Database!$A$1:$AS$1,),))))-(((VLOOKUP(EDATE(B192,-12),Database!$A:$AS,MATCH($F$1,Database!$A$1:$AS$1,),)))))/(((VLOOKUP(EDATE(B192,-12),Database!$A:$AS,MATCH($F$1,Database!$A$1:$AS$1,),))))</f>
        <v/>
      </c>
      <c r="G192" s="13">
        <f>((((VLOOKUP(B192,Database!$A:$AS,MATCH($G$1,Database!$A$1:$AS$1,),))))-(((VLOOKUP(EDATE(B192,-12),Database!$A:$AS,MATCH($G$1,Database!$A$1:$AS$1,),)))))/(((VLOOKUP(EDATE(B192,-12),Database!$A:$AS,MATCH($G$1,Database!$A$1:$AS$1,),))))</f>
        <v/>
      </c>
      <c r="H192" s="13">
        <f>((((VLOOKUP(B192,Database!$A:$AS,MATCH($H$1,Database!$A$1:$AS$1,),))))-(((VLOOKUP(EDATE(B192,-12),Database!$A:$AS,MATCH($H$1,Database!$A$1:$AS$1,),)))))/(((VLOOKUP(EDATE(B192,-12),Database!$A:$AS,MATCH($H$1,Database!$A$1:$AS$1,),))))</f>
        <v/>
      </c>
      <c r="I192" s="13">
        <f>((((VLOOKUP(B192,Database!$A:$AS,MATCH($I$1,Database!$A$1:$AS$1,),))))-(((VLOOKUP(EDATE(B192,-12),Database!$A:$AS,MATCH($I$1,Database!$A$1:$AS$1,),)))))/(((VLOOKUP(EDATE(B192,-12),Database!$A:$AS,MATCH($I$1,Database!$A$1:$AS$1,),))))</f>
        <v/>
      </c>
      <c r="J192" s="13">
        <f>((((VLOOKUP(B192,Database!$A:$AS,MATCH($J$1,Database!$A$1:$AS$1,),))))-(((VLOOKUP(EDATE(B192,-12),Database!$A:$AS,MATCH($J$1,Database!$A$1:$AS$1,),)))))/(((VLOOKUP(EDATE(B192,-12),Database!$A:$AS,MATCH($J$1,Database!$A$1:$AS$1,),))))</f>
        <v/>
      </c>
      <c r="K192" s="13">
        <f>((((VLOOKUP(B192,Database!$A:$AS,MATCH($K$1,Database!$A$1:$AS$1,),))))-(((VLOOKUP(EDATE(B192,-12),Database!$A:$AS,MATCH($K$1,Database!$A$1:$AS$1,),)))))/(((VLOOKUP(EDATE(B192,-12),Database!$A:$AS,MATCH($K$1,Database!$A$1:$AS$1,),))))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((((VLOOKUP(B192,Database!$A:$AS,MATCH($O$1,Database!$A$1:$AS$1,),))))-(((VLOOKUP(EDATE(B192,-12),Database!$A:$AS,MATCH($O$1,Database!$A$1:$AS$1,),)))))/(((VLOOKUP(EDATE(B192,-12),Database!$A:$AS,MATCH($O$1,Database!$A$1:$AS$1,),))))</f>
        <v/>
      </c>
      <c r="P192" s="13">
        <f>((((VLOOKUP(B192,Database!$A:$AS,MATCH($P$1,Database!$A$1:$AS$1,),))))-(((VLOOKUP(EDATE(B192,-12),Database!$A:$AS,MATCH($P$1,Database!$A$1:$AS$1,),)))))/(((VLOOKUP(EDATE(B192,-12),Database!$A:$AS,MATCH($P$1,Database!$A$1:$AS$1,),))))</f>
        <v/>
      </c>
      <c r="Q192" s="13">
        <f>((((VLOOKUP(B192,Database!$A:$AS,MATCH($Q$1,Database!$A$1:$AS$1,),))))-(((VLOOKUP(EDATE(B192,-12),Database!$A:$AS,MATCH($Q$1,Database!$A$1:$AS$1,),)))))/(((VLOOKUP(EDATE(B192,-12),Database!$A:$AS,MATCH($Q$1,Database!$A$1:$AS$1,),))))</f>
        <v/>
      </c>
      <c r="R192" s="13">
        <f>((((VLOOKUP(B192,Database!$A:$AS,MATCH($R$1,Database!$A$1:$AS$1,),))))-(((VLOOKUP(EDATE(B192,-12),Database!$A:$AS,MATCH($R$1,Database!$A$1:$AS$1,),)))))/(((VLOOKUP(EDATE(B192,-12),Database!$A:$AS,MATCH($R$1,Database!$A$1:$AS$1,),))))</f>
        <v/>
      </c>
      <c r="S192" s="13">
        <f>((((VLOOKUP(B192,Database!$A:$AS,MATCH($S$1,Database!$A$1:$AS$1,),))))-(((VLOOKUP(EDATE(B192,-12),Database!$A:$AS,MATCH($S$1,Database!$A$1:$AS$1,),)))))/(((VLOOKUP(EDATE(B192,-12),Database!$A:$AS,MATCH($S$1,Database!$A$1:$AS$1,),))))</f>
        <v/>
      </c>
      <c r="T192" s="13">
        <f>((((VLOOKUP(B192,Database!$A:$AS,MATCH($T$1,Database!$A$1:$AS$1,),))))-(((VLOOKUP(EDATE(B192,-12),Database!$A:$AS,MATCH($T$1,Database!$A$1:$AS$1,),)))))/(((VLOOKUP(EDATE(B192,-12),Database!$A:$AS,MATCH($T$1,Database!$A$1:$AS$1,),))))</f>
        <v/>
      </c>
      <c r="U192" s="13">
        <f>((((VLOOKUP(B192,Database!$A:$AS,MATCH($U$1,Database!$A$1:$AS$1,),))))-(((VLOOKUP(EDATE(B192,-12),Database!$A:$AS,MATCH($U$1,Database!$A$1:$AS$1,),)))))/(((VLOOKUP(EDATE(B192,-12),Database!$A:$AS,MATCH($U$1,Database!$A$1:$AS$1,),))))</f>
        <v/>
      </c>
      <c r="V192" s="13">
        <f>((((VLOOKUP(B192,Database!$A:$AS,MATCH($V$1,Database!$A$1:$AS$1,),))))-(((VLOOKUP(EDATE(B192,-12),Database!$A:$AS,MATCH($V$1,Database!$A$1:$AS$1,),)))))/(((VLOOKUP(EDATE(B192,-12),Database!$A:$AS,MATCH($V$1,Database!$A$1:$AS$1,),))))</f>
        <v/>
      </c>
    </row>
    <row r="193" customFormat="1" s="94">
      <c r="A193" s="44" t="n"/>
      <c r="B193" s="85" t="n">
        <v>38018</v>
      </c>
      <c r="C193" s="13">
        <f>((((VLOOKUP(B193,Database!$A:$AS,MATCH($C$1,Database!$A$1:$AS$1,),))))-(((VLOOKUP(EDATE(B193,-12),Database!$A:$AS,MATCH($C$1,Database!$A$1:$AS$1,),)))))/(((VLOOKUP(EDATE(B193,-12),Database!$A:$AS,MATCH($C$1,Database!$A$1:$AS$1,),))))</f>
        <v/>
      </c>
      <c r="D193" s="13">
        <f>((((VLOOKUP(B193,Database!$A:$AS,MATCH($D$1,Database!$A$1:$AS$1,),))))-(((VLOOKUP(EDATE(B193,-12),Database!$A:$AS,MATCH($D$1,Database!$A$1:$AS$1,),)))))/(((VLOOKUP(EDATE(B193,-12),Database!$A:$AS,MATCH($D$1,Database!$A$1:$AS$1,),))))</f>
        <v/>
      </c>
      <c r="E193" s="13">
        <f>((((VLOOKUP(B193,Database!$A:$AS,MATCH($E$1,Database!$A$1:$AS$1,),))))-(((VLOOKUP(EDATE(B193,-12),Database!$A:$AS,MATCH($E$1,Database!$A$1:$AS$1,),)))))/(((VLOOKUP(EDATE(B193,-12),Database!$A:$AS,MATCH($E$1,Database!$A$1:$AS$1,),))))</f>
        <v/>
      </c>
      <c r="F193" s="13">
        <f>((((VLOOKUP(B193,Database!$A:$AS,MATCH($F$1,Database!$A$1:$AS$1,),))))-(((VLOOKUP(EDATE(B193,-12),Database!$A:$AS,MATCH($F$1,Database!$A$1:$AS$1,),)))))/(((VLOOKUP(EDATE(B193,-12),Database!$A:$AS,MATCH($F$1,Database!$A$1:$AS$1,),))))</f>
        <v/>
      </c>
      <c r="G193" s="13">
        <f>((((VLOOKUP(B193,Database!$A:$AS,MATCH($G$1,Database!$A$1:$AS$1,),))))-(((VLOOKUP(EDATE(B193,-12),Database!$A:$AS,MATCH($G$1,Database!$A$1:$AS$1,),)))))/(((VLOOKUP(EDATE(B193,-12),Database!$A:$AS,MATCH($G$1,Database!$A$1:$AS$1,),))))</f>
        <v/>
      </c>
      <c r="H193" s="13">
        <f>((((VLOOKUP(B193,Database!$A:$AS,MATCH($H$1,Database!$A$1:$AS$1,),))))-(((VLOOKUP(EDATE(B193,-12),Database!$A:$AS,MATCH($H$1,Database!$A$1:$AS$1,),)))))/(((VLOOKUP(EDATE(B193,-12),Database!$A:$AS,MATCH($H$1,Database!$A$1:$AS$1,),))))</f>
        <v/>
      </c>
      <c r="I193" s="13">
        <f>((((VLOOKUP(B193,Database!$A:$AS,MATCH($I$1,Database!$A$1:$AS$1,),))))-(((VLOOKUP(EDATE(B193,-12),Database!$A:$AS,MATCH($I$1,Database!$A$1:$AS$1,),)))))/(((VLOOKUP(EDATE(B193,-12),Database!$A:$AS,MATCH($I$1,Database!$A$1:$AS$1,),))))</f>
        <v/>
      </c>
      <c r="J193" s="13">
        <f>((((VLOOKUP(B193,Database!$A:$AS,MATCH($J$1,Database!$A$1:$AS$1,),))))-(((VLOOKUP(EDATE(B193,-12),Database!$A:$AS,MATCH($J$1,Database!$A$1:$AS$1,),)))))/(((VLOOKUP(EDATE(B193,-12),Database!$A:$AS,MATCH($J$1,Database!$A$1:$AS$1,),))))</f>
        <v/>
      </c>
      <c r="K193" s="13">
        <f>((((VLOOKUP(B193,Database!$A:$AS,MATCH($K$1,Database!$A$1:$AS$1,),))))-(((VLOOKUP(EDATE(B193,-12),Database!$A:$AS,MATCH($K$1,Database!$A$1:$AS$1,),)))))/(((VLOOKUP(EDATE(B193,-12),Database!$A:$AS,MATCH($K$1,Database!$A$1:$AS$1,),))))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((((VLOOKUP(B193,Database!$A:$AS,MATCH($O$1,Database!$A$1:$AS$1,),))))-(((VLOOKUP(EDATE(B193,-12),Database!$A:$AS,MATCH($O$1,Database!$A$1:$AS$1,),)))))/(((VLOOKUP(EDATE(B193,-12),Database!$A:$AS,MATCH($O$1,Database!$A$1:$AS$1,),))))</f>
        <v/>
      </c>
      <c r="P193" s="13">
        <f>((((VLOOKUP(B193,Database!$A:$AS,MATCH($P$1,Database!$A$1:$AS$1,),))))-(((VLOOKUP(EDATE(B193,-12),Database!$A:$AS,MATCH($P$1,Database!$A$1:$AS$1,),)))))/(((VLOOKUP(EDATE(B193,-12),Database!$A:$AS,MATCH($P$1,Database!$A$1:$AS$1,),))))</f>
        <v/>
      </c>
      <c r="Q193" s="13">
        <f>((((VLOOKUP(B193,Database!$A:$AS,MATCH($Q$1,Database!$A$1:$AS$1,),))))-(((VLOOKUP(EDATE(B193,-12),Database!$A:$AS,MATCH($Q$1,Database!$A$1:$AS$1,),)))))/(((VLOOKUP(EDATE(B193,-12),Database!$A:$AS,MATCH($Q$1,Database!$A$1:$AS$1,),))))</f>
        <v/>
      </c>
      <c r="R193" s="13">
        <f>((((VLOOKUP(B193,Database!$A:$AS,MATCH($R$1,Database!$A$1:$AS$1,),))))-(((VLOOKUP(EDATE(B193,-12),Database!$A:$AS,MATCH($R$1,Database!$A$1:$AS$1,),)))))/(((VLOOKUP(EDATE(B193,-12),Database!$A:$AS,MATCH($R$1,Database!$A$1:$AS$1,),))))</f>
        <v/>
      </c>
      <c r="S193" s="13">
        <f>((((VLOOKUP(B193,Database!$A:$AS,MATCH($S$1,Database!$A$1:$AS$1,),))))-(((VLOOKUP(EDATE(B193,-12),Database!$A:$AS,MATCH($S$1,Database!$A$1:$AS$1,),)))))/(((VLOOKUP(EDATE(B193,-12),Database!$A:$AS,MATCH($S$1,Database!$A$1:$AS$1,),))))</f>
        <v/>
      </c>
      <c r="T193" s="13">
        <f>((((VLOOKUP(B193,Database!$A:$AS,MATCH($T$1,Database!$A$1:$AS$1,),))))-(((VLOOKUP(EDATE(B193,-12),Database!$A:$AS,MATCH($T$1,Database!$A$1:$AS$1,),)))))/(((VLOOKUP(EDATE(B193,-12),Database!$A:$AS,MATCH($T$1,Database!$A$1:$AS$1,),))))</f>
        <v/>
      </c>
      <c r="U193" s="13">
        <f>((((VLOOKUP(B193,Database!$A:$AS,MATCH($U$1,Database!$A$1:$AS$1,),))))-(((VLOOKUP(EDATE(B193,-12),Database!$A:$AS,MATCH($U$1,Database!$A$1:$AS$1,),)))))/(((VLOOKUP(EDATE(B193,-12),Database!$A:$AS,MATCH($U$1,Database!$A$1:$AS$1,),))))</f>
        <v/>
      </c>
      <c r="V193" s="13">
        <f>((((VLOOKUP(B193,Database!$A:$AS,MATCH($V$1,Database!$A$1:$AS$1,),))))-(((VLOOKUP(EDATE(B193,-12),Database!$A:$AS,MATCH($V$1,Database!$A$1:$AS$1,),)))))/(((VLOOKUP(EDATE(B193,-12),Database!$A:$AS,MATCH($V$1,Database!$A$1:$AS$1,),))))</f>
        <v/>
      </c>
    </row>
    <row r="194" customFormat="1" s="94">
      <c r="A194" s="44" t="n"/>
      <c r="B194" s="85" t="n">
        <v>38047</v>
      </c>
      <c r="C194" s="13">
        <f>((((VLOOKUP(B194,Database!$A:$AS,MATCH($C$1,Database!$A$1:$AS$1,),))))-(((VLOOKUP(EDATE(B194,-12),Database!$A:$AS,MATCH($C$1,Database!$A$1:$AS$1,),)))))/(((VLOOKUP(EDATE(B194,-12),Database!$A:$AS,MATCH($C$1,Database!$A$1:$AS$1,),))))</f>
        <v/>
      </c>
      <c r="D194" s="13">
        <f>((((VLOOKUP(B194,Database!$A:$AS,MATCH($D$1,Database!$A$1:$AS$1,),))))-(((VLOOKUP(EDATE(B194,-12),Database!$A:$AS,MATCH($D$1,Database!$A$1:$AS$1,),)))))/(((VLOOKUP(EDATE(B194,-12),Database!$A:$AS,MATCH($D$1,Database!$A$1:$AS$1,),))))</f>
        <v/>
      </c>
      <c r="E194" s="13">
        <f>((((VLOOKUP(B194,Database!$A:$AS,MATCH($E$1,Database!$A$1:$AS$1,),))))-(((VLOOKUP(EDATE(B194,-12),Database!$A:$AS,MATCH($E$1,Database!$A$1:$AS$1,),)))))/(((VLOOKUP(EDATE(B194,-12),Database!$A:$AS,MATCH($E$1,Database!$A$1:$AS$1,),))))</f>
        <v/>
      </c>
      <c r="F194" s="13">
        <f>((((VLOOKUP(B194,Database!$A:$AS,MATCH($F$1,Database!$A$1:$AS$1,),))))-(((VLOOKUP(EDATE(B194,-12),Database!$A:$AS,MATCH($F$1,Database!$A$1:$AS$1,),)))))/(((VLOOKUP(EDATE(B194,-12),Database!$A:$AS,MATCH($F$1,Database!$A$1:$AS$1,),))))</f>
        <v/>
      </c>
      <c r="G194" s="13">
        <f>((((VLOOKUP(B194,Database!$A:$AS,MATCH($G$1,Database!$A$1:$AS$1,),))))-(((VLOOKUP(EDATE(B194,-12),Database!$A:$AS,MATCH($G$1,Database!$A$1:$AS$1,),)))))/(((VLOOKUP(EDATE(B194,-12),Database!$A:$AS,MATCH($G$1,Database!$A$1:$AS$1,),))))</f>
        <v/>
      </c>
      <c r="H194" s="13">
        <f>((((VLOOKUP(B194,Database!$A:$AS,MATCH($H$1,Database!$A$1:$AS$1,),))))-(((VLOOKUP(EDATE(B194,-12),Database!$A:$AS,MATCH($H$1,Database!$A$1:$AS$1,),)))))/(((VLOOKUP(EDATE(B194,-12),Database!$A:$AS,MATCH($H$1,Database!$A$1:$AS$1,),))))</f>
        <v/>
      </c>
      <c r="I194" s="13">
        <f>((((VLOOKUP(B194,Database!$A:$AS,MATCH($I$1,Database!$A$1:$AS$1,),))))-(((VLOOKUP(EDATE(B194,-12),Database!$A:$AS,MATCH($I$1,Database!$A$1:$AS$1,),)))))/(((VLOOKUP(EDATE(B194,-12),Database!$A:$AS,MATCH($I$1,Database!$A$1:$AS$1,),))))</f>
        <v/>
      </c>
      <c r="J194" s="13">
        <f>((((VLOOKUP(B194,Database!$A:$AS,MATCH($J$1,Database!$A$1:$AS$1,),))))-(((VLOOKUP(EDATE(B194,-12),Database!$A:$AS,MATCH($J$1,Database!$A$1:$AS$1,),)))))/(((VLOOKUP(EDATE(B194,-12),Database!$A:$AS,MATCH($J$1,Database!$A$1:$AS$1,),))))</f>
        <v/>
      </c>
      <c r="K194" s="13">
        <f>((((VLOOKUP(B194,Database!$A:$AS,MATCH($K$1,Database!$A$1:$AS$1,),))))-(((VLOOKUP(EDATE(B194,-12),Database!$A:$AS,MATCH($K$1,Database!$A$1:$AS$1,),)))))/(((VLOOKUP(EDATE(B194,-12),Database!$A:$AS,MATCH($K$1,Database!$A$1:$AS$1,),))))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((((VLOOKUP(B194,Database!$A:$AS,MATCH($O$1,Database!$A$1:$AS$1,),))))-(((VLOOKUP(EDATE(B194,-12),Database!$A:$AS,MATCH($O$1,Database!$A$1:$AS$1,),)))))/(((VLOOKUP(EDATE(B194,-12),Database!$A:$AS,MATCH($O$1,Database!$A$1:$AS$1,),))))</f>
        <v/>
      </c>
      <c r="P194" s="13">
        <f>((((VLOOKUP(B194,Database!$A:$AS,MATCH($P$1,Database!$A$1:$AS$1,),))))-(((VLOOKUP(EDATE(B194,-12),Database!$A:$AS,MATCH($P$1,Database!$A$1:$AS$1,),)))))/(((VLOOKUP(EDATE(B194,-12),Database!$A:$AS,MATCH($P$1,Database!$A$1:$AS$1,),))))</f>
        <v/>
      </c>
      <c r="Q194" s="13">
        <f>((((VLOOKUP(B194,Database!$A:$AS,MATCH($Q$1,Database!$A$1:$AS$1,),))))-(((VLOOKUP(EDATE(B194,-12),Database!$A:$AS,MATCH($Q$1,Database!$A$1:$AS$1,),)))))/(((VLOOKUP(EDATE(B194,-12),Database!$A:$AS,MATCH($Q$1,Database!$A$1:$AS$1,),))))</f>
        <v/>
      </c>
      <c r="R194" s="13">
        <f>((((VLOOKUP(B194,Database!$A:$AS,MATCH($R$1,Database!$A$1:$AS$1,),))))-(((VLOOKUP(EDATE(B194,-12),Database!$A:$AS,MATCH($R$1,Database!$A$1:$AS$1,),)))))/(((VLOOKUP(EDATE(B194,-12),Database!$A:$AS,MATCH($R$1,Database!$A$1:$AS$1,),))))</f>
        <v/>
      </c>
      <c r="S194" s="13">
        <f>((((VLOOKUP(B194,Database!$A:$AS,MATCH($S$1,Database!$A$1:$AS$1,),))))-(((VLOOKUP(EDATE(B194,-12),Database!$A:$AS,MATCH($S$1,Database!$A$1:$AS$1,),)))))/(((VLOOKUP(EDATE(B194,-12),Database!$A:$AS,MATCH($S$1,Database!$A$1:$AS$1,),))))</f>
        <v/>
      </c>
      <c r="T194" s="13">
        <f>((((VLOOKUP(B194,Database!$A:$AS,MATCH($T$1,Database!$A$1:$AS$1,),))))-(((VLOOKUP(EDATE(B194,-12),Database!$A:$AS,MATCH($T$1,Database!$A$1:$AS$1,),)))))/(((VLOOKUP(EDATE(B194,-12),Database!$A:$AS,MATCH($T$1,Database!$A$1:$AS$1,),))))</f>
        <v/>
      </c>
      <c r="U194" s="13">
        <f>((((VLOOKUP(B194,Database!$A:$AS,MATCH($U$1,Database!$A$1:$AS$1,),))))-(((VLOOKUP(EDATE(B194,-12),Database!$A:$AS,MATCH($U$1,Database!$A$1:$AS$1,),)))))/(((VLOOKUP(EDATE(B194,-12),Database!$A:$AS,MATCH($U$1,Database!$A$1:$AS$1,),))))</f>
        <v/>
      </c>
      <c r="V194" s="13">
        <f>((((VLOOKUP(B194,Database!$A:$AS,MATCH($V$1,Database!$A$1:$AS$1,),))))-(((VLOOKUP(EDATE(B194,-12),Database!$A:$AS,MATCH($V$1,Database!$A$1:$AS$1,),)))))/(((VLOOKUP(EDATE(B194,-12),Database!$A:$AS,MATCH($V$1,Database!$A$1:$AS$1,),))))</f>
        <v/>
      </c>
    </row>
    <row r="195" customFormat="1" s="94">
      <c r="A195" s="44" t="n"/>
      <c r="B195" s="85" t="n">
        <v>38078</v>
      </c>
      <c r="C195" s="13">
        <f>((((VLOOKUP(B195,Database!$A:$AS,MATCH($C$1,Database!$A$1:$AS$1,),))))-(((VLOOKUP(EDATE(B195,-12),Database!$A:$AS,MATCH($C$1,Database!$A$1:$AS$1,),)))))/(((VLOOKUP(EDATE(B195,-12),Database!$A:$AS,MATCH($C$1,Database!$A$1:$AS$1,),))))</f>
        <v/>
      </c>
      <c r="D195" s="13">
        <f>((((VLOOKUP(B195,Database!$A:$AS,MATCH($D$1,Database!$A$1:$AS$1,),))))-(((VLOOKUP(EDATE(B195,-12),Database!$A:$AS,MATCH($D$1,Database!$A$1:$AS$1,),)))))/(((VLOOKUP(EDATE(B195,-12),Database!$A:$AS,MATCH($D$1,Database!$A$1:$AS$1,),))))</f>
        <v/>
      </c>
      <c r="E195" s="13">
        <f>((((VLOOKUP(B195,Database!$A:$AS,MATCH($E$1,Database!$A$1:$AS$1,),))))-(((VLOOKUP(EDATE(B195,-12),Database!$A:$AS,MATCH($E$1,Database!$A$1:$AS$1,),)))))/(((VLOOKUP(EDATE(B195,-12),Database!$A:$AS,MATCH($E$1,Database!$A$1:$AS$1,),))))</f>
        <v/>
      </c>
      <c r="F195" s="13">
        <f>((((VLOOKUP(B195,Database!$A:$AS,MATCH($F$1,Database!$A$1:$AS$1,),))))-(((VLOOKUP(EDATE(B195,-12),Database!$A:$AS,MATCH($F$1,Database!$A$1:$AS$1,),)))))/(((VLOOKUP(EDATE(B195,-12),Database!$A:$AS,MATCH($F$1,Database!$A$1:$AS$1,),))))</f>
        <v/>
      </c>
      <c r="G195" s="13">
        <f>((((VLOOKUP(B195,Database!$A:$AS,MATCH($G$1,Database!$A$1:$AS$1,),))))-(((VLOOKUP(EDATE(B195,-12),Database!$A:$AS,MATCH($G$1,Database!$A$1:$AS$1,),)))))/(((VLOOKUP(EDATE(B195,-12),Database!$A:$AS,MATCH($G$1,Database!$A$1:$AS$1,),))))</f>
        <v/>
      </c>
      <c r="H195" s="13">
        <f>((((VLOOKUP(B195,Database!$A:$AS,MATCH($H$1,Database!$A$1:$AS$1,),))))-(((VLOOKUP(EDATE(B195,-12),Database!$A:$AS,MATCH($H$1,Database!$A$1:$AS$1,),)))))/(((VLOOKUP(EDATE(B195,-12),Database!$A:$AS,MATCH($H$1,Database!$A$1:$AS$1,),))))</f>
        <v/>
      </c>
      <c r="I195" s="13">
        <f>((((VLOOKUP(B195,Database!$A:$AS,MATCH($I$1,Database!$A$1:$AS$1,),))))-(((VLOOKUP(EDATE(B195,-12),Database!$A:$AS,MATCH($I$1,Database!$A$1:$AS$1,),)))))/(((VLOOKUP(EDATE(B195,-12),Database!$A:$AS,MATCH($I$1,Database!$A$1:$AS$1,),))))</f>
        <v/>
      </c>
      <c r="J195" s="13">
        <f>((((VLOOKUP(B195,Database!$A:$AS,MATCH($J$1,Database!$A$1:$AS$1,),))))-(((VLOOKUP(EDATE(B195,-12),Database!$A:$AS,MATCH($J$1,Database!$A$1:$AS$1,),)))))/(((VLOOKUP(EDATE(B195,-12),Database!$A:$AS,MATCH($J$1,Database!$A$1:$AS$1,),))))</f>
        <v/>
      </c>
      <c r="K195" s="13">
        <f>((((VLOOKUP(B195,Database!$A:$AS,MATCH($K$1,Database!$A$1:$AS$1,),))))-(((VLOOKUP(EDATE(B195,-12),Database!$A:$AS,MATCH($K$1,Database!$A$1:$AS$1,),)))))/(((VLOOKUP(EDATE(B195,-12),Database!$A:$AS,MATCH($K$1,Database!$A$1:$AS$1,),))))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((((VLOOKUP(B195,Database!$A:$AS,MATCH($O$1,Database!$A$1:$AS$1,),))))-(((VLOOKUP(EDATE(B195,-12),Database!$A:$AS,MATCH($O$1,Database!$A$1:$AS$1,),)))))/(((VLOOKUP(EDATE(B195,-12),Database!$A:$AS,MATCH($O$1,Database!$A$1:$AS$1,),))))</f>
        <v/>
      </c>
      <c r="P195" s="13">
        <f>((((VLOOKUP(B195,Database!$A:$AS,MATCH($P$1,Database!$A$1:$AS$1,),))))-(((VLOOKUP(EDATE(B195,-12),Database!$A:$AS,MATCH($P$1,Database!$A$1:$AS$1,),)))))/(((VLOOKUP(EDATE(B195,-12),Database!$A:$AS,MATCH($P$1,Database!$A$1:$AS$1,),))))</f>
        <v/>
      </c>
      <c r="Q195" s="13">
        <f>((((VLOOKUP(B195,Database!$A:$AS,MATCH($Q$1,Database!$A$1:$AS$1,),))))-(((VLOOKUP(EDATE(B195,-12),Database!$A:$AS,MATCH($Q$1,Database!$A$1:$AS$1,),)))))/(((VLOOKUP(EDATE(B195,-12),Database!$A:$AS,MATCH($Q$1,Database!$A$1:$AS$1,),))))</f>
        <v/>
      </c>
      <c r="R195" s="13">
        <f>((((VLOOKUP(B195,Database!$A:$AS,MATCH($R$1,Database!$A$1:$AS$1,),))))-(((VLOOKUP(EDATE(B195,-12),Database!$A:$AS,MATCH($R$1,Database!$A$1:$AS$1,),)))))/(((VLOOKUP(EDATE(B195,-12),Database!$A:$AS,MATCH($R$1,Database!$A$1:$AS$1,),))))</f>
        <v/>
      </c>
      <c r="S195" s="13">
        <f>((((VLOOKUP(B195,Database!$A:$AS,MATCH($S$1,Database!$A$1:$AS$1,),))))-(((VLOOKUP(EDATE(B195,-12),Database!$A:$AS,MATCH($S$1,Database!$A$1:$AS$1,),)))))/(((VLOOKUP(EDATE(B195,-12),Database!$A:$AS,MATCH($S$1,Database!$A$1:$AS$1,),))))</f>
        <v/>
      </c>
      <c r="T195" s="13">
        <f>((((VLOOKUP(B195,Database!$A:$AS,MATCH($T$1,Database!$A$1:$AS$1,),))))-(((VLOOKUP(EDATE(B195,-12),Database!$A:$AS,MATCH($T$1,Database!$A$1:$AS$1,),)))))/(((VLOOKUP(EDATE(B195,-12),Database!$A:$AS,MATCH($T$1,Database!$A$1:$AS$1,),))))</f>
        <v/>
      </c>
      <c r="U195" s="13">
        <f>((((VLOOKUP(B195,Database!$A:$AS,MATCH($U$1,Database!$A$1:$AS$1,),))))-(((VLOOKUP(EDATE(B195,-12),Database!$A:$AS,MATCH($U$1,Database!$A$1:$AS$1,),)))))/(((VLOOKUP(EDATE(B195,-12),Database!$A:$AS,MATCH($U$1,Database!$A$1:$AS$1,),))))</f>
        <v/>
      </c>
      <c r="V195" s="13">
        <f>((((VLOOKUP(B195,Database!$A:$AS,MATCH($V$1,Database!$A$1:$AS$1,),))))-(((VLOOKUP(EDATE(B195,-12),Database!$A:$AS,MATCH($V$1,Database!$A$1:$AS$1,),)))))/(((VLOOKUP(EDATE(B195,-12),Database!$A:$AS,MATCH($V$1,Database!$A$1:$AS$1,),))))</f>
        <v/>
      </c>
    </row>
    <row r="196" customFormat="1" s="94">
      <c r="A196" s="44" t="n"/>
      <c r="B196" s="85" t="n">
        <v>38108</v>
      </c>
      <c r="C196" s="13">
        <f>((((VLOOKUP(B196,Database!$A:$AS,MATCH($C$1,Database!$A$1:$AS$1,),))))-(((VLOOKUP(EDATE(B196,-12),Database!$A:$AS,MATCH($C$1,Database!$A$1:$AS$1,),)))))/(((VLOOKUP(EDATE(B196,-12),Database!$A:$AS,MATCH($C$1,Database!$A$1:$AS$1,),))))</f>
        <v/>
      </c>
      <c r="D196" s="13">
        <f>((((VLOOKUP(B196,Database!$A:$AS,MATCH($D$1,Database!$A$1:$AS$1,),))))-(((VLOOKUP(EDATE(B196,-12),Database!$A:$AS,MATCH($D$1,Database!$A$1:$AS$1,),)))))/(((VLOOKUP(EDATE(B196,-12),Database!$A:$AS,MATCH($D$1,Database!$A$1:$AS$1,),))))</f>
        <v/>
      </c>
      <c r="E196" s="13">
        <f>((((VLOOKUP(B196,Database!$A:$AS,MATCH($E$1,Database!$A$1:$AS$1,),))))-(((VLOOKUP(EDATE(B196,-12),Database!$A:$AS,MATCH($E$1,Database!$A$1:$AS$1,),)))))/(((VLOOKUP(EDATE(B196,-12),Database!$A:$AS,MATCH($E$1,Database!$A$1:$AS$1,),))))</f>
        <v/>
      </c>
      <c r="F196" s="13">
        <f>((((VLOOKUP(B196,Database!$A:$AS,MATCH($F$1,Database!$A$1:$AS$1,),))))-(((VLOOKUP(EDATE(B196,-12),Database!$A:$AS,MATCH($F$1,Database!$A$1:$AS$1,),)))))/(((VLOOKUP(EDATE(B196,-12),Database!$A:$AS,MATCH($F$1,Database!$A$1:$AS$1,),))))</f>
        <v/>
      </c>
      <c r="G196" s="13">
        <f>((((VLOOKUP(B196,Database!$A:$AS,MATCH($G$1,Database!$A$1:$AS$1,),))))-(((VLOOKUP(EDATE(B196,-12),Database!$A:$AS,MATCH($G$1,Database!$A$1:$AS$1,),)))))/(((VLOOKUP(EDATE(B196,-12),Database!$A:$AS,MATCH($G$1,Database!$A$1:$AS$1,),))))</f>
        <v/>
      </c>
      <c r="H196" s="13">
        <f>((((VLOOKUP(B196,Database!$A:$AS,MATCH($H$1,Database!$A$1:$AS$1,),))))-(((VLOOKUP(EDATE(B196,-12),Database!$A:$AS,MATCH($H$1,Database!$A$1:$AS$1,),)))))/(((VLOOKUP(EDATE(B196,-12),Database!$A:$AS,MATCH($H$1,Database!$A$1:$AS$1,),))))</f>
        <v/>
      </c>
      <c r="I196" s="13">
        <f>((((VLOOKUP(B196,Database!$A:$AS,MATCH($I$1,Database!$A$1:$AS$1,),))))-(((VLOOKUP(EDATE(B196,-12),Database!$A:$AS,MATCH($I$1,Database!$A$1:$AS$1,),)))))/(((VLOOKUP(EDATE(B196,-12),Database!$A:$AS,MATCH($I$1,Database!$A$1:$AS$1,),))))</f>
        <v/>
      </c>
      <c r="J196" s="13">
        <f>((((VLOOKUP(B196,Database!$A:$AS,MATCH($J$1,Database!$A$1:$AS$1,),))))-(((VLOOKUP(EDATE(B196,-12),Database!$A:$AS,MATCH($J$1,Database!$A$1:$AS$1,),)))))/(((VLOOKUP(EDATE(B196,-12),Database!$A:$AS,MATCH($J$1,Database!$A$1:$AS$1,),))))</f>
        <v/>
      </c>
      <c r="K196" s="13">
        <f>((((VLOOKUP(B196,Database!$A:$AS,MATCH($K$1,Database!$A$1:$AS$1,),))))-(((VLOOKUP(EDATE(B196,-12),Database!$A:$AS,MATCH($K$1,Database!$A$1:$AS$1,),)))))/(((VLOOKUP(EDATE(B196,-12),Database!$A:$AS,MATCH($K$1,Database!$A$1:$AS$1,),))))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((((VLOOKUP(B196,Database!$A:$AS,MATCH($O$1,Database!$A$1:$AS$1,),))))-(((VLOOKUP(EDATE(B196,-12),Database!$A:$AS,MATCH($O$1,Database!$A$1:$AS$1,),)))))/(((VLOOKUP(EDATE(B196,-12),Database!$A:$AS,MATCH($O$1,Database!$A$1:$AS$1,),))))</f>
        <v/>
      </c>
      <c r="P196" s="13">
        <f>((((VLOOKUP(B196,Database!$A:$AS,MATCH($P$1,Database!$A$1:$AS$1,),))))-(((VLOOKUP(EDATE(B196,-12),Database!$A:$AS,MATCH($P$1,Database!$A$1:$AS$1,),)))))/(((VLOOKUP(EDATE(B196,-12),Database!$A:$AS,MATCH($P$1,Database!$A$1:$AS$1,),))))</f>
        <v/>
      </c>
      <c r="Q196" s="13">
        <f>((((VLOOKUP(B196,Database!$A:$AS,MATCH($Q$1,Database!$A$1:$AS$1,),))))-(((VLOOKUP(EDATE(B196,-12),Database!$A:$AS,MATCH($Q$1,Database!$A$1:$AS$1,),)))))/(((VLOOKUP(EDATE(B196,-12),Database!$A:$AS,MATCH($Q$1,Database!$A$1:$AS$1,),))))</f>
        <v/>
      </c>
      <c r="R196" s="13">
        <f>((((VLOOKUP(B196,Database!$A:$AS,MATCH($R$1,Database!$A$1:$AS$1,),))))-(((VLOOKUP(EDATE(B196,-12),Database!$A:$AS,MATCH($R$1,Database!$A$1:$AS$1,),)))))/(((VLOOKUP(EDATE(B196,-12),Database!$A:$AS,MATCH($R$1,Database!$A$1:$AS$1,),))))</f>
        <v/>
      </c>
      <c r="S196" s="13">
        <f>((((VLOOKUP(B196,Database!$A:$AS,MATCH($S$1,Database!$A$1:$AS$1,),))))-(((VLOOKUP(EDATE(B196,-12),Database!$A:$AS,MATCH($S$1,Database!$A$1:$AS$1,),)))))/(((VLOOKUP(EDATE(B196,-12),Database!$A:$AS,MATCH($S$1,Database!$A$1:$AS$1,),))))</f>
        <v/>
      </c>
      <c r="T196" s="13">
        <f>((((VLOOKUP(B196,Database!$A:$AS,MATCH($T$1,Database!$A$1:$AS$1,),))))-(((VLOOKUP(EDATE(B196,-12),Database!$A:$AS,MATCH($T$1,Database!$A$1:$AS$1,),)))))/(((VLOOKUP(EDATE(B196,-12),Database!$A:$AS,MATCH($T$1,Database!$A$1:$AS$1,),))))</f>
        <v/>
      </c>
      <c r="U196" s="13">
        <f>((((VLOOKUP(B196,Database!$A:$AS,MATCH($U$1,Database!$A$1:$AS$1,),))))-(((VLOOKUP(EDATE(B196,-12),Database!$A:$AS,MATCH($U$1,Database!$A$1:$AS$1,),)))))/(((VLOOKUP(EDATE(B196,-12),Database!$A:$AS,MATCH($U$1,Database!$A$1:$AS$1,),))))</f>
        <v/>
      </c>
      <c r="V196" s="13">
        <f>((((VLOOKUP(B196,Database!$A:$AS,MATCH($V$1,Database!$A$1:$AS$1,),))))-(((VLOOKUP(EDATE(B196,-12),Database!$A:$AS,MATCH($V$1,Database!$A$1:$AS$1,),)))))/(((VLOOKUP(EDATE(B196,-12),Database!$A:$AS,MATCH($V$1,Database!$A$1:$AS$1,),))))</f>
        <v/>
      </c>
    </row>
    <row r="197" customFormat="1" s="94">
      <c r="A197" s="44" t="n"/>
      <c r="B197" s="85" t="n">
        <v>38139</v>
      </c>
      <c r="C197" s="13">
        <f>((((VLOOKUP(B197,Database!$A:$AS,MATCH($C$1,Database!$A$1:$AS$1,),))))-(((VLOOKUP(EDATE(B197,-12),Database!$A:$AS,MATCH($C$1,Database!$A$1:$AS$1,),)))))/(((VLOOKUP(EDATE(B197,-12),Database!$A:$AS,MATCH($C$1,Database!$A$1:$AS$1,),))))</f>
        <v/>
      </c>
      <c r="D197" s="13">
        <f>((((VLOOKUP(B197,Database!$A:$AS,MATCH($D$1,Database!$A$1:$AS$1,),))))-(((VLOOKUP(EDATE(B197,-12),Database!$A:$AS,MATCH($D$1,Database!$A$1:$AS$1,),)))))/(((VLOOKUP(EDATE(B197,-12),Database!$A:$AS,MATCH($D$1,Database!$A$1:$AS$1,),))))</f>
        <v/>
      </c>
      <c r="E197" s="13">
        <f>((((VLOOKUP(B197,Database!$A:$AS,MATCH($E$1,Database!$A$1:$AS$1,),))))-(((VLOOKUP(EDATE(B197,-12),Database!$A:$AS,MATCH($E$1,Database!$A$1:$AS$1,),)))))/(((VLOOKUP(EDATE(B197,-12),Database!$A:$AS,MATCH($E$1,Database!$A$1:$AS$1,),))))</f>
        <v/>
      </c>
      <c r="F197" s="13">
        <f>((((VLOOKUP(B197,Database!$A:$AS,MATCH($F$1,Database!$A$1:$AS$1,),))))-(((VLOOKUP(EDATE(B197,-12),Database!$A:$AS,MATCH($F$1,Database!$A$1:$AS$1,),)))))/(((VLOOKUP(EDATE(B197,-12),Database!$A:$AS,MATCH($F$1,Database!$A$1:$AS$1,),))))</f>
        <v/>
      </c>
      <c r="G197" s="13">
        <f>((((VLOOKUP(B197,Database!$A:$AS,MATCH($G$1,Database!$A$1:$AS$1,),))))-(((VLOOKUP(EDATE(B197,-12),Database!$A:$AS,MATCH($G$1,Database!$A$1:$AS$1,),)))))/(((VLOOKUP(EDATE(B197,-12),Database!$A:$AS,MATCH($G$1,Database!$A$1:$AS$1,),))))</f>
        <v/>
      </c>
      <c r="H197" s="13">
        <f>((((VLOOKUP(B197,Database!$A:$AS,MATCH($H$1,Database!$A$1:$AS$1,),))))-(((VLOOKUP(EDATE(B197,-12),Database!$A:$AS,MATCH($H$1,Database!$A$1:$AS$1,),)))))/(((VLOOKUP(EDATE(B197,-12),Database!$A:$AS,MATCH($H$1,Database!$A$1:$AS$1,),))))</f>
        <v/>
      </c>
      <c r="I197" s="13">
        <f>((((VLOOKUP(B197,Database!$A:$AS,MATCH($I$1,Database!$A$1:$AS$1,),))))-(((VLOOKUP(EDATE(B197,-12),Database!$A:$AS,MATCH($I$1,Database!$A$1:$AS$1,),)))))/(((VLOOKUP(EDATE(B197,-12),Database!$A:$AS,MATCH($I$1,Database!$A$1:$AS$1,),))))</f>
        <v/>
      </c>
      <c r="J197" s="13">
        <f>((((VLOOKUP(B197,Database!$A:$AS,MATCH($J$1,Database!$A$1:$AS$1,),))))-(((VLOOKUP(EDATE(B197,-12),Database!$A:$AS,MATCH($J$1,Database!$A$1:$AS$1,),)))))/(((VLOOKUP(EDATE(B197,-12),Database!$A:$AS,MATCH($J$1,Database!$A$1:$AS$1,),))))</f>
        <v/>
      </c>
      <c r="K197" s="13">
        <f>((((VLOOKUP(B197,Database!$A:$AS,MATCH($K$1,Database!$A$1:$AS$1,),))))-(((VLOOKUP(EDATE(B197,-12),Database!$A:$AS,MATCH($K$1,Database!$A$1:$AS$1,),)))))/(((VLOOKUP(EDATE(B197,-12),Database!$A:$AS,MATCH($K$1,Database!$A$1:$AS$1,),))))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((((VLOOKUP(B197,Database!$A:$AS,MATCH($O$1,Database!$A$1:$AS$1,),))))-(((VLOOKUP(EDATE(B197,-12),Database!$A:$AS,MATCH($O$1,Database!$A$1:$AS$1,),)))))/(((VLOOKUP(EDATE(B197,-12),Database!$A:$AS,MATCH($O$1,Database!$A$1:$AS$1,),))))</f>
        <v/>
      </c>
      <c r="P197" s="13">
        <f>((((VLOOKUP(B197,Database!$A:$AS,MATCH($P$1,Database!$A$1:$AS$1,),))))-(((VLOOKUP(EDATE(B197,-12),Database!$A:$AS,MATCH($P$1,Database!$A$1:$AS$1,),)))))/(((VLOOKUP(EDATE(B197,-12),Database!$A:$AS,MATCH($P$1,Database!$A$1:$AS$1,),))))</f>
        <v/>
      </c>
      <c r="Q197" s="13">
        <f>((((VLOOKUP(B197,Database!$A:$AS,MATCH($Q$1,Database!$A$1:$AS$1,),))))-(((VLOOKUP(EDATE(B197,-12),Database!$A:$AS,MATCH($Q$1,Database!$A$1:$AS$1,),)))))/(((VLOOKUP(EDATE(B197,-12),Database!$A:$AS,MATCH($Q$1,Database!$A$1:$AS$1,),))))</f>
        <v/>
      </c>
      <c r="R197" s="13">
        <f>((((VLOOKUP(B197,Database!$A:$AS,MATCH($R$1,Database!$A$1:$AS$1,),))))-(((VLOOKUP(EDATE(B197,-12),Database!$A:$AS,MATCH($R$1,Database!$A$1:$AS$1,),)))))/(((VLOOKUP(EDATE(B197,-12),Database!$A:$AS,MATCH($R$1,Database!$A$1:$AS$1,),))))</f>
        <v/>
      </c>
      <c r="S197" s="13">
        <f>((((VLOOKUP(B197,Database!$A:$AS,MATCH($S$1,Database!$A$1:$AS$1,),))))-(((VLOOKUP(EDATE(B197,-12),Database!$A:$AS,MATCH($S$1,Database!$A$1:$AS$1,),)))))/(((VLOOKUP(EDATE(B197,-12),Database!$A:$AS,MATCH($S$1,Database!$A$1:$AS$1,),))))</f>
        <v/>
      </c>
      <c r="T197" s="13">
        <f>((((VLOOKUP(B197,Database!$A:$AS,MATCH($T$1,Database!$A$1:$AS$1,),))))-(((VLOOKUP(EDATE(B197,-12),Database!$A:$AS,MATCH($T$1,Database!$A$1:$AS$1,),)))))/(((VLOOKUP(EDATE(B197,-12),Database!$A:$AS,MATCH($T$1,Database!$A$1:$AS$1,),))))</f>
        <v/>
      </c>
      <c r="U197" s="13">
        <f>((((VLOOKUP(B197,Database!$A:$AS,MATCH($U$1,Database!$A$1:$AS$1,),))))-(((VLOOKUP(EDATE(B197,-12),Database!$A:$AS,MATCH($U$1,Database!$A$1:$AS$1,),)))))/(((VLOOKUP(EDATE(B197,-12),Database!$A:$AS,MATCH($U$1,Database!$A$1:$AS$1,),))))</f>
        <v/>
      </c>
      <c r="V197" s="13">
        <f>((((VLOOKUP(B197,Database!$A:$AS,MATCH($V$1,Database!$A$1:$AS$1,),))))-(((VLOOKUP(EDATE(B197,-12),Database!$A:$AS,MATCH($V$1,Database!$A$1:$AS$1,),)))))/(((VLOOKUP(EDATE(B197,-12),Database!$A:$AS,MATCH($V$1,Database!$A$1:$AS$1,),))))</f>
        <v/>
      </c>
    </row>
    <row r="198" customFormat="1" s="94">
      <c r="A198" s="44" t="n"/>
      <c r="B198" s="85" t="n">
        <v>38169</v>
      </c>
      <c r="C198" s="13">
        <f>((((VLOOKUP(B198,Database!$A:$AS,MATCH($C$1,Database!$A$1:$AS$1,),))))-(((VLOOKUP(EDATE(B198,-12),Database!$A:$AS,MATCH($C$1,Database!$A$1:$AS$1,),)))))/(((VLOOKUP(EDATE(B198,-12),Database!$A:$AS,MATCH($C$1,Database!$A$1:$AS$1,),))))</f>
        <v/>
      </c>
      <c r="D198" s="13">
        <f>((((VLOOKUP(B198,Database!$A:$AS,MATCH($D$1,Database!$A$1:$AS$1,),))))-(((VLOOKUP(EDATE(B198,-12),Database!$A:$AS,MATCH($D$1,Database!$A$1:$AS$1,),)))))/(((VLOOKUP(EDATE(B198,-12),Database!$A:$AS,MATCH($D$1,Database!$A$1:$AS$1,),))))</f>
        <v/>
      </c>
      <c r="E198" s="13">
        <f>((((VLOOKUP(B198,Database!$A:$AS,MATCH($E$1,Database!$A$1:$AS$1,),))))-(((VLOOKUP(EDATE(B198,-12),Database!$A:$AS,MATCH($E$1,Database!$A$1:$AS$1,),)))))/(((VLOOKUP(EDATE(B198,-12),Database!$A:$AS,MATCH($E$1,Database!$A$1:$AS$1,),))))</f>
        <v/>
      </c>
      <c r="F198" s="13">
        <f>((((VLOOKUP(B198,Database!$A:$AS,MATCH($F$1,Database!$A$1:$AS$1,),))))-(((VLOOKUP(EDATE(B198,-12),Database!$A:$AS,MATCH($F$1,Database!$A$1:$AS$1,),)))))/(((VLOOKUP(EDATE(B198,-12),Database!$A:$AS,MATCH($F$1,Database!$A$1:$AS$1,),))))</f>
        <v/>
      </c>
      <c r="G198" s="13">
        <f>((((VLOOKUP(B198,Database!$A:$AS,MATCH($G$1,Database!$A$1:$AS$1,),))))-(((VLOOKUP(EDATE(B198,-12),Database!$A:$AS,MATCH($G$1,Database!$A$1:$AS$1,),)))))/(((VLOOKUP(EDATE(B198,-12),Database!$A:$AS,MATCH($G$1,Database!$A$1:$AS$1,),))))</f>
        <v/>
      </c>
      <c r="H198" s="13">
        <f>((((VLOOKUP(B198,Database!$A:$AS,MATCH($H$1,Database!$A$1:$AS$1,),))))-(((VLOOKUP(EDATE(B198,-12),Database!$A:$AS,MATCH($H$1,Database!$A$1:$AS$1,),)))))/(((VLOOKUP(EDATE(B198,-12),Database!$A:$AS,MATCH($H$1,Database!$A$1:$AS$1,),))))</f>
        <v/>
      </c>
      <c r="I198" s="13">
        <f>((((VLOOKUP(B198,Database!$A:$AS,MATCH($I$1,Database!$A$1:$AS$1,),))))-(((VLOOKUP(EDATE(B198,-12),Database!$A:$AS,MATCH($I$1,Database!$A$1:$AS$1,),)))))/(((VLOOKUP(EDATE(B198,-12),Database!$A:$AS,MATCH($I$1,Database!$A$1:$AS$1,),))))</f>
        <v/>
      </c>
      <c r="J198" s="13">
        <f>((((VLOOKUP(B198,Database!$A:$AS,MATCH($J$1,Database!$A$1:$AS$1,),))))-(((VLOOKUP(EDATE(B198,-12),Database!$A:$AS,MATCH($J$1,Database!$A$1:$AS$1,),)))))/(((VLOOKUP(EDATE(B198,-12),Database!$A:$AS,MATCH($J$1,Database!$A$1:$AS$1,),))))</f>
        <v/>
      </c>
      <c r="K198" s="13">
        <f>((((VLOOKUP(B198,Database!$A:$AS,MATCH($K$1,Database!$A$1:$AS$1,),))))-(((VLOOKUP(EDATE(B198,-12),Database!$A:$AS,MATCH($K$1,Database!$A$1:$AS$1,),)))))/(((VLOOKUP(EDATE(B198,-12),Database!$A:$AS,MATCH($K$1,Database!$A$1:$AS$1,),))))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((((VLOOKUP(B198,Database!$A:$AS,MATCH($O$1,Database!$A$1:$AS$1,),))))-(((VLOOKUP(EDATE(B198,-12),Database!$A:$AS,MATCH($O$1,Database!$A$1:$AS$1,),)))))/(((VLOOKUP(EDATE(B198,-12),Database!$A:$AS,MATCH($O$1,Database!$A$1:$AS$1,),))))</f>
        <v/>
      </c>
      <c r="P198" s="13">
        <f>((((VLOOKUP(B198,Database!$A:$AS,MATCH($P$1,Database!$A$1:$AS$1,),))))-(((VLOOKUP(EDATE(B198,-12),Database!$A:$AS,MATCH($P$1,Database!$A$1:$AS$1,),)))))/(((VLOOKUP(EDATE(B198,-12),Database!$A:$AS,MATCH($P$1,Database!$A$1:$AS$1,),))))</f>
        <v/>
      </c>
      <c r="Q198" s="13">
        <f>((((VLOOKUP(B198,Database!$A:$AS,MATCH($Q$1,Database!$A$1:$AS$1,),))))-(((VLOOKUP(EDATE(B198,-12),Database!$A:$AS,MATCH($Q$1,Database!$A$1:$AS$1,),)))))/(((VLOOKUP(EDATE(B198,-12),Database!$A:$AS,MATCH($Q$1,Database!$A$1:$AS$1,),))))</f>
        <v/>
      </c>
      <c r="R198" s="13">
        <f>((((VLOOKUP(B198,Database!$A:$AS,MATCH($R$1,Database!$A$1:$AS$1,),))))-(((VLOOKUP(EDATE(B198,-12),Database!$A:$AS,MATCH($R$1,Database!$A$1:$AS$1,),)))))/(((VLOOKUP(EDATE(B198,-12),Database!$A:$AS,MATCH($R$1,Database!$A$1:$AS$1,),))))</f>
        <v/>
      </c>
      <c r="S198" s="13">
        <f>((((VLOOKUP(B198,Database!$A:$AS,MATCH($S$1,Database!$A$1:$AS$1,),))))-(((VLOOKUP(EDATE(B198,-12),Database!$A:$AS,MATCH($S$1,Database!$A$1:$AS$1,),)))))/(((VLOOKUP(EDATE(B198,-12),Database!$A:$AS,MATCH($S$1,Database!$A$1:$AS$1,),))))</f>
        <v/>
      </c>
      <c r="T198" s="13">
        <f>((((VLOOKUP(B198,Database!$A:$AS,MATCH($T$1,Database!$A$1:$AS$1,),))))-(((VLOOKUP(EDATE(B198,-12),Database!$A:$AS,MATCH($T$1,Database!$A$1:$AS$1,),)))))/(((VLOOKUP(EDATE(B198,-12),Database!$A:$AS,MATCH($T$1,Database!$A$1:$AS$1,),))))</f>
        <v/>
      </c>
      <c r="U198" s="13">
        <f>((((VLOOKUP(B198,Database!$A:$AS,MATCH($U$1,Database!$A$1:$AS$1,),))))-(((VLOOKUP(EDATE(B198,-12),Database!$A:$AS,MATCH($U$1,Database!$A$1:$AS$1,),)))))/(((VLOOKUP(EDATE(B198,-12),Database!$A:$AS,MATCH($U$1,Database!$A$1:$AS$1,),))))</f>
        <v/>
      </c>
      <c r="V198" s="13">
        <f>((((VLOOKUP(B198,Database!$A:$AS,MATCH($V$1,Database!$A$1:$AS$1,),))))-(((VLOOKUP(EDATE(B198,-12),Database!$A:$AS,MATCH($V$1,Database!$A$1:$AS$1,),)))))/(((VLOOKUP(EDATE(B198,-12),Database!$A:$AS,MATCH($V$1,Database!$A$1:$AS$1,),))))</f>
        <v/>
      </c>
    </row>
    <row r="199" customFormat="1" s="94">
      <c r="A199" s="44" t="n"/>
      <c r="B199" s="85" t="n">
        <v>38200</v>
      </c>
      <c r="C199" s="13">
        <f>((((VLOOKUP(B199,Database!$A:$AS,MATCH($C$1,Database!$A$1:$AS$1,),))))-(((VLOOKUP(EDATE(B199,-12),Database!$A:$AS,MATCH($C$1,Database!$A$1:$AS$1,),)))))/(((VLOOKUP(EDATE(B199,-12),Database!$A:$AS,MATCH($C$1,Database!$A$1:$AS$1,),))))</f>
        <v/>
      </c>
      <c r="D199" s="13">
        <f>((((VLOOKUP(B199,Database!$A:$AS,MATCH($D$1,Database!$A$1:$AS$1,),))))-(((VLOOKUP(EDATE(B199,-12),Database!$A:$AS,MATCH($D$1,Database!$A$1:$AS$1,),)))))/(((VLOOKUP(EDATE(B199,-12),Database!$A:$AS,MATCH($D$1,Database!$A$1:$AS$1,),))))</f>
        <v/>
      </c>
      <c r="E199" s="13">
        <f>((((VLOOKUP(B199,Database!$A:$AS,MATCH($E$1,Database!$A$1:$AS$1,),))))-(((VLOOKUP(EDATE(B199,-12),Database!$A:$AS,MATCH($E$1,Database!$A$1:$AS$1,),)))))/(((VLOOKUP(EDATE(B199,-12),Database!$A:$AS,MATCH($E$1,Database!$A$1:$AS$1,),))))</f>
        <v/>
      </c>
      <c r="F199" s="13">
        <f>((((VLOOKUP(B199,Database!$A:$AS,MATCH($F$1,Database!$A$1:$AS$1,),))))-(((VLOOKUP(EDATE(B199,-12),Database!$A:$AS,MATCH($F$1,Database!$A$1:$AS$1,),)))))/(((VLOOKUP(EDATE(B199,-12),Database!$A:$AS,MATCH($F$1,Database!$A$1:$AS$1,),))))</f>
        <v/>
      </c>
      <c r="G199" s="13">
        <f>((((VLOOKUP(B199,Database!$A:$AS,MATCH($G$1,Database!$A$1:$AS$1,),))))-(((VLOOKUP(EDATE(B199,-12),Database!$A:$AS,MATCH($G$1,Database!$A$1:$AS$1,),)))))/(((VLOOKUP(EDATE(B199,-12),Database!$A:$AS,MATCH($G$1,Database!$A$1:$AS$1,),))))</f>
        <v/>
      </c>
      <c r="H199" s="13">
        <f>((((VLOOKUP(B199,Database!$A:$AS,MATCH($H$1,Database!$A$1:$AS$1,),))))-(((VLOOKUP(EDATE(B199,-12),Database!$A:$AS,MATCH($H$1,Database!$A$1:$AS$1,),)))))/(((VLOOKUP(EDATE(B199,-12),Database!$A:$AS,MATCH($H$1,Database!$A$1:$AS$1,),))))</f>
        <v/>
      </c>
      <c r="I199" s="13">
        <f>((((VLOOKUP(B199,Database!$A:$AS,MATCH($I$1,Database!$A$1:$AS$1,),))))-(((VLOOKUP(EDATE(B199,-12),Database!$A:$AS,MATCH($I$1,Database!$A$1:$AS$1,),)))))/(((VLOOKUP(EDATE(B199,-12),Database!$A:$AS,MATCH($I$1,Database!$A$1:$AS$1,),))))</f>
        <v/>
      </c>
      <c r="J199" s="13">
        <f>((((VLOOKUP(B199,Database!$A:$AS,MATCH($J$1,Database!$A$1:$AS$1,),))))-(((VLOOKUP(EDATE(B199,-12),Database!$A:$AS,MATCH($J$1,Database!$A$1:$AS$1,),)))))/(((VLOOKUP(EDATE(B199,-12),Database!$A:$AS,MATCH($J$1,Database!$A$1:$AS$1,),))))</f>
        <v/>
      </c>
      <c r="K199" s="13">
        <f>((((VLOOKUP(B199,Database!$A:$AS,MATCH($K$1,Database!$A$1:$AS$1,),))))-(((VLOOKUP(EDATE(B199,-12),Database!$A:$AS,MATCH($K$1,Database!$A$1:$AS$1,),)))))/(((VLOOKUP(EDATE(B199,-12),Database!$A:$AS,MATCH($K$1,Database!$A$1:$AS$1,),))))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((((VLOOKUP(B199,Database!$A:$AS,MATCH($O$1,Database!$A$1:$AS$1,),))))-(((VLOOKUP(EDATE(B199,-12),Database!$A:$AS,MATCH($O$1,Database!$A$1:$AS$1,),)))))/(((VLOOKUP(EDATE(B199,-12),Database!$A:$AS,MATCH($O$1,Database!$A$1:$AS$1,),))))</f>
        <v/>
      </c>
      <c r="P199" s="13">
        <f>((((VLOOKUP(B199,Database!$A:$AS,MATCH($P$1,Database!$A$1:$AS$1,),))))-(((VLOOKUP(EDATE(B199,-12),Database!$A:$AS,MATCH($P$1,Database!$A$1:$AS$1,),)))))/(((VLOOKUP(EDATE(B199,-12),Database!$A:$AS,MATCH($P$1,Database!$A$1:$AS$1,),))))</f>
        <v/>
      </c>
      <c r="Q199" s="13">
        <f>((((VLOOKUP(B199,Database!$A:$AS,MATCH($Q$1,Database!$A$1:$AS$1,),))))-(((VLOOKUP(EDATE(B199,-12),Database!$A:$AS,MATCH($Q$1,Database!$A$1:$AS$1,),)))))/(((VLOOKUP(EDATE(B199,-12),Database!$A:$AS,MATCH($Q$1,Database!$A$1:$AS$1,),))))</f>
        <v/>
      </c>
      <c r="R199" s="13">
        <f>((((VLOOKUP(B199,Database!$A:$AS,MATCH($R$1,Database!$A$1:$AS$1,),))))-(((VLOOKUP(EDATE(B199,-12),Database!$A:$AS,MATCH($R$1,Database!$A$1:$AS$1,),)))))/(((VLOOKUP(EDATE(B199,-12),Database!$A:$AS,MATCH($R$1,Database!$A$1:$AS$1,),))))</f>
        <v/>
      </c>
      <c r="S199" s="13">
        <f>((((VLOOKUP(B199,Database!$A:$AS,MATCH($S$1,Database!$A$1:$AS$1,),))))-(((VLOOKUP(EDATE(B199,-12),Database!$A:$AS,MATCH($S$1,Database!$A$1:$AS$1,),)))))/(((VLOOKUP(EDATE(B199,-12),Database!$A:$AS,MATCH($S$1,Database!$A$1:$AS$1,),))))</f>
        <v/>
      </c>
      <c r="T199" s="13">
        <f>((((VLOOKUP(B199,Database!$A:$AS,MATCH($T$1,Database!$A$1:$AS$1,),))))-(((VLOOKUP(EDATE(B199,-12),Database!$A:$AS,MATCH($T$1,Database!$A$1:$AS$1,),)))))/(((VLOOKUP(EDATE(B199,-12),Database!$A:$AS,MATCH($T$1,Database!$A$1:$AS$1,),))))</f>
        <v/>
      </c>
      <c r="U199" s="13">
        <f>((((VLOOKUP(B199,Database!$A:$AS,MATCH($U$1,Database!$A$1:$AS$1,),))))-(((VLOOKUP(EDATE(B199,-12),Database!$A:$AS,MATCH($U$1,Database!$A$1:$AS$1,),)))))/(((VLOOKUP(EDATE(B199,-12),Database!$A:$AS,MATCH($U$1,Database!$A$1:$AS$1,),))))</f>
        <v/>
      </c>
      <c r="V199" s="13">
        <f>((((VLOOKUP(B199,Database!$A:$AS,MATCH($V$1,Database!$A$1:$AS$1,),))))-(((VLOOKUP(EDATE(B199,-12),Database!$A:$AS,MATCH($V$1,Database!$A$1:$AS$1,),)))))/(((VLOOKUP(EDATE(B199,-12),Database!$A:$AS,MATCH($V$1,Database!$A$1:$AS$1,),))))</f>
        <v/>
      </c>
    </row>
    <row r="200" customFormat="1" s="94">
      <c r="A200" s="44" t="n"/>
      <c r="B200" s="85" t="n">
        <v>38231</v>
      </c>
      <c r="C200" s="13">
        <f>((((VLOOKUP(B200,Database!$A:$AS,MATCH($C$1,Database!$A$1:$AS$1,),))))-(((VLOOKUP(EDATE(B200,-12),Database!$A:$AS,MATCH($C$1,Database!$A$1:$AS$1,),)))))/(((VLOOKUP(EDATE(B200,-12),Database!$A:$AS,MATCH($C$1,Database!$A$1:$AS$1,),))))</f>
        <v/>
      </c>
      <c r="D200" s="13">
        <f>((((VLOOKUP(B200,Database!$A:$AS,MATCH($D$1,Database!$A$1:$AS$1,),))))-(((VLOOKUP(EDATE(B200,-12),Database!$A:$AS,MATCH($D$1,Database!$A$1:$AS$1,),)))))/(((VLOOKUP(EDATE(B200,-12),Database!$A:$AS,MATCH($D$1,Database!$A$1:$AS$1,),))))</f>
        <v/>
      </c>
      <c r="E200" s="13">
        <f>((((VLOOKUP(B200,Database!$A:$AS,MATCH($E$1,Database!$A$1:$AS$1,),))))-(((VLOOKUP(EDATE(B200,-12),Database!$A:$AS,MATCH($E$1,Database!$A$1:$AS$1,),)))))/(((VLOOKUP(EDATE(B200,-12),Database!$A:$AS,MATCH($E$1,Database!$A$1:$AS$1,),))))</f>
        <v/>
      </c>
      <c r="F200" s="13">
        <f>((((VLOOKUP(B200,Database!$A:$AS,MATCH($F$1,Database!$A$1:$AS$1,),))))-(((VLOOKUP(EDATE(B200,-12),Database!$A:$AS,MATCH($F$1,Database!$A$1:$AS$1,),)))))/(((VLOOKUP(EDATE(B200,-12),Database!$A:$AS,MATCH($F$1,Database!$A$1:$AS$1,),))))</f>
        <v/>
      </c>
      <c r="G200" s="13">
        <f>((((VLOOKUP(B200,Database!$A:$AS,MATCH($G$1,Database!$A$1:$AS$1,),))))-(((VLOOKUP(EDATE(B200,-12),Database!$A:$AS,MATCH($G$1,Database!$A$1:$AS$1,),)))))/(((VLOOKUP(EDATE(B200,-12),Database!$A:$AS,MATCH($G$1,Database!$A$1:$AS$1,),))))</f>
        <v/>
      </c>
      <c r="H200" s="13">
        <f>((((VLOOKUP(B200,Database!$A:$AS,MATCH($H$1,Database!$A$1:$AS$1,),))))-(((VLOOKUP(EDATE(B200,-12),Database!$A:$AS,MATCH($H$1,Database!$A$1:$AS$1,),)))))/(((VLOOKUP(EDATE(B200,-12),Database!$A:$AS,MATCH($H$1,Database!$A$1:$AS$1,),))))</f>
        <v/>
      </c>
      <c r="I200" s="13">
        <f>((((VLOOKUP(B200,Database!$A:$AS,MATCH($I$1,Database!$A$1:$AS$1,),))))-(((VLOOKUP(EDATE(B200,-12),Database!$A:$AS,MATCH($I$1,Database!$A$1:$AS$1,),)))))/(((VLOOKUP(EDATE(B200,-12),Database!$A:$AS,MATCH($I$1,Database!$A$1:$AS$1,),))))</f>
        <v/>
      </c>
      <c r="J200" s="13">
        <f>((((VLOOKUP(B200,Database!$A:$AS,MATCH($J$1,Database!$A$1:$AS$1,),))))-(((VLOOKUP(EDATE(B200,-12),Database!$A:$AS,MATCH($J$1,Database!$A$1:$AS$1,),)))))/(((VLOOKUP(EDATE(B200,-12),Database!$A:$AS,MATCH($J$1,Database!$A$1:$AS$1,),))))</f>
        <v/>
      </c>
      <c r="K200" s="13">
        <f>((((VLOOKUP(B200,Database!$A:$AS,MATCH($K$1,Database!$A$1:$AS$1,),))))-(((VLOOKUP(EDATE(B200,-12),Database!$A:$AS,MATCH($K$1,Database!$A$1:$AS$1,),)))))/(((VLOOKUP(EDATE(B200,-12),Database!$A:$AS,MATCH($K$1,Database!$A$1:$AS$1,),))))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((((VLOOKUP(B200,Database!$A:$AS,MATCH($O$1,Database!$A$1:$AS$1,),))))-(((VLOOKUP(EDATE(B200,-12),Database!$A:$AS,MATCH($O$1,Database!$A$1:$AS$1,),)))))/(((VLOOKUP(EDATE(B200,-12),Database!$A:$AS,MATCH($O$1,Database!$A$1:$AS$1,),))))</f>
        <v/>
      </c>
      <c r="P200" s="13">
        <f>((((VLOOKUP(B200,Database!$A:$AS,MATCH($P$1,Database!$A$1:$AS$1,),))))-(((VLOOKUP(EDATE(B200,-12),Database!$A:$AS,MATCH($P$1,Database!$A$1:$AS$1,),)))))/(((VLOOKUP(EDATE(B200,-12),Database!$A:$AS,MATCH($P$1,Database!$A$1:$AS$1,),))))</f>
        <v/>
      </c>
      <c r="Q200" s="13">
        <f>((((VLOOKUP(B200,Database!$A:$AS,MATCH($Q$1,Database!$A$1:$AS$1,),))))-(((VLOOKUP(EDATE(B200,-12),Database!$A:$AS,MATCH($Q$1,Database!$A$1:$AS$1,),)))))/(((VLOOKUP(EDATE(B200,-12),Database!$A:$AS,MATCH($Q$1,Database!$A$1:$AS$1,),))))</f>
        <v/>
      </c>
      <c r="R200" s="13">
        <f>((((VLOOKUP(B200,Database!$A:$AS,MATCH($R$1,Database!$A$1:$AS$1,),))))-(((VLOOKUP(EDATE(B200,-12),Database!$A:$AS,MATCH($R$1,Database!$A$1:$AS$1,),)))))/(((VLOOKUP(EDATE(B200,-12),Database!$A:$AS,MATCH($R$1,Database!$A$1:$AS$1,),))))</f>
        <v/>
      </c>
      <c r="S200" s="13">
        <f>((((VLOOKUP(B200,Database!$A:$AS,MATCH($S$1,Database!$A$1:$AS$1,),))))-(((VLOOKUP(EDATE(B200,-12),Database!$A:$AS,MATCH($S$1,Database!$A$1:$AS$1,),)))))/(((VLOOKUP(EDATE(B200,-12),Database!$A:$AS,MATCH($S$1,Database!$A$1:$AS$1,),))))</f>
        <v/>
      </c>
      <c r="T200" s="13">
        <f>((((VLOOKUP(B200,Database!$A:$AS,MATCH($T$1,Database!$A$1:$AS$1,),))))-(((VLOOKUP(EDATE(B200,-12),Database!$A:$AS,MATCH($T$1,Database!$A$1:$AS$1,),)))))/(((VLOOKUP(EDATE(B200,-12),Database!$A:$AS,MATCH($T$1,Database!$A$1:$AS$1,),))))</f>
        <v/>
      </c>
      <c r="U200" s="13">
        <f>((((VLOOKUP(B200,Database!$A:$AS,MATCH($U$1,Database!$A$1:$AS$1,),))))-(((VLOOKUP(EDATE(B200,-12),Database!$A:$AS,MATCH($U$1,Database!$A$1:$AS$1,),)))))/(((VLOOKUP(EDATE(B200,-12),Database!$A:$AS,MATCH($U$1,Database!$A$1:$AS$1,),))))</f>
        <v/>
      </c>
      <c r="V200" s="13">
        <f>((((VLOOKUP(B200,Database!$A:$AS,MATCH($V$1,Database!$A$1:$AS$1,),))))-(((VLOOKUP(EDATE(B200,-12),Database!$A:$AS,MATCH($V$1,Database!$A$1:$AS$1,),)))))/(((VLOOKUP(EDATE(B200,-12),Database!$A:$AS,MATCH($V$1,Database!$A$1:$AS$1,),))))</f>
        <v/>
      </c>
    </row>
    <row r="201" customFormat="1" s="94">
      <c r="A201" s="44" t="n"/>
      <c r="B201" s="85" t="n">
        <v>38261</v>
      </c>
      <c r="C201" s="13">
        <f>((((VLOOKUP(B201,Database!$A:$AS,MATCH($C$1,Database!$A$1:$AS$1,),))))-(((VLOOKUP(EDATE(B201,-12),Database!$A:$AS,MATCH($C$1,Database!$A$1:$AS$1,),)))))/(((VLOOKUP(EDATE(B201,-12),Database!$A:$AS,MATCH($C$1,Database!$A$1:$AS$1,),))))</f>
        <v/>
      </c>
      <c r="D201" s="13">
        <f>((((VLOOKUP(B201,Database!$A:$AS,MATCH($D$1,Database!$A$1:$AS$1,),))))-(((VLOOKUP(EDATE(B201,-12),Database!$A:$AS,MATCH($D$1,Database!$A$1:$AS$1,),)))))/(((VLOOKUP(EDATE(B201,-12),Database!$A:$AS,MATCH($D$1,Database!$A$1:$AS$1,),))))</f>
        <v/>
      </c>
      <c r="E201" s="13">
        <f>((((VLOOKUP(B201,Database!$A:$AS,MATCH($E$1,Database!$A$1:$AS$1,),))))-(((VLOOKUP(EDATE(B201,-12),Database!$A:$AS,MATCH($E$1,Database!$A$1:$AS$1,),)))))/(((VLOOKUP(EDATE(B201,-12),Database!$A:$AS,MATCH($E$1,Database!$A$1:$AS$1,),))))</f>
        <v/>
      </c>
      <c r="F201" s="13">
        <f>((((VLOOKUP(B201,Database!$A:$AS,MATCH($F$1,Database!$A$1:$AS$1,),))))-(((VLOOKUP(EDATE(B201,-12),Database!$A:$AS,MATCH($F$1,Database!$A$1:$AS$1,),)))))/(((VLOOKUP(EDATE(B201,-12),Database!$A:$AS,MATCH($F$1,Database!$A$1:$AS$1,),))))</f>
        <v/>
      </c>
      <c r="G201" s="13">
        <f>((((VLOOKUP(B201,Database!$A:$AS,MATCH($G$1,Database!$A$1:$AS$1,),))))-(((VLOOKUP(EDATE(B201,-12),Database!$A:$AS,MATCH($G$1,Database!$A$1:$AS$1,),)))))/(((VLOOKUP(EDATE(B201,-12),Database!$A:$AS,MATCH($G$1,Database!$A$1:$AS$1,),))))</f>
        <v/>
      </c>
      <c r="H201" s="13">
        <f>((((VLOOKUP(B201,Database!$A:$AS,MATCH($H$1,Database!$A$1:$AS$1,),))))-(((VLOOKUP(EDATE(B201,-12),Database!$A:$AS,MATCH($H$1,Database!$A$1:$AS$1,),)))))/(((VLOOKUP(EDATE(B201,-12),Database!$A:$AS,MATCH($H$1,Database!$A$1:$AS$1,),))))</f>
        <v/>
      </c>
      <c r="I201" s="13">
        <f>((((VLOOKUP(B201,Database!$A:$AS,MATCH($I$1,Database!$A$1:$AS$1,),))))-(((VLOOKUP(EDATE(B201,-12),Database!$A:$AS,MATCH($I$1,Database!$A$1:$AS$1,),)))))/(((VLOOKUP(EDATE(B201,-12),Database!$A:$AS,MATCH($I$1,Database!$A$1:$AS$1,),))))</f>
        <v/>
      </c>
      <c r="J201" s="13">
        <f>((((VLOOKUP(B201,Database!$A:$AS,MATCH($J$1,Database!$A$1:$AS$1,),))))-(((VLOOKUP(EDATE(B201,-12),Database!$A:$AS,MATCH($J$1,Database!$A$1:$AS$1,),)))))/(((VLOOKUP(EDATE(B201,-12),Database!$A:$AS,MATCH($J$1,Database!$A$1:$AS$1,),))))</f>
        <v/>
      </c>
      <c r="K201" s="13">
        <f>((((VLOOKUP(B201,Database!$A:$AS,MATCH($K$1,Database!$A$1:$AS$1,),))))-(((VLOOKUP(EDATE(B201,-12),Database!$A:$AS,MATCH($K$1,Database!$A$1:$AS$1,),)))))/(((VLOOKUP(EDATE(B201,-12),Database!$A:$AS,MATCH($K$1,Database!$A$1:$AS$1,),))))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((((VLOOKUP(B201,Database!$A:$AS,MATCH($O$1,Database!$A$1:$AS$1,),))))-(((VLOOKUP(EDATE(B201,-12),Database!$A:$AS,MATCH($O$1,Database!$A$1:$AS$1,),)))))/(((VLOOKUP(EDATE(B201,-12),Database!$A:$AS,MATCH($O$1,Database!$A$1:$AS$1,),))))</f>
        <v/>
      </c>
      <c r="P201" s="13">
        <f>((((VLOOKUP(B201,Database!$A:$AS,MATCH($P$1,Database!$A$1:$AS$1,),))))-(((VLOOKUP(EDATE(B201,-12),Database!$A:$AS,MATCH($P$1,Database!$A$1:$AS$1,),)))))/(((VLOOKUP(EDATE(B201,-12),Database!$A:$AS,MATCH($P$1,Database!$A$1:$AS$1,),))))</f>
        <v/>
      </c>
      <c r="Q201" s="13">
        <f>((((VLOOKUP(B201,Database!$A:$AS,MATCH($Q$1,Database!$A$1:$AS$1,),))))-(((VLOOKUP(EDATE(B201,-12),Database!$A:$AS,MATCH($Q$1,Database!$A$1:$AS$1,),)))))/(((VLOOKUP(EDATE(B201,-12),Database!$A:$AS,MATCH($Q$1,Database!$A$1:$AS$1,),))))</f>
        <v/>
      </c>
      <c r="R201" s="13">
        <f>((((VLOOKUP(B201,Database!$A:$AS,MATCH($R$1,Database!$A$1:$AS$1,),))))-(((VLOOKUP(EDATE(B201,-12),Database!$A:$AS,MATCH($R$1,Database!$A$1:$AS$1,),)))))/(((VLOOKUP(EDATE(B201,-12),Database!$A:$AS,MATCH($R$1,Database!$A$1:$AS$1,),))))</f>
        <v/>
      </c>
      <c r="S201" s="13">
        <f>((((VLOOKUP(B201,Database!$A:$AS,MATCH($S$1,Database!$A$1:$AS$1,),))))-(((VLOOKUP(EDATE(B201,-12),Database!$A:$AS,MATCH($S$1,Database!$A$1:$AS$1,),)))))/(((VLOOKUP(EDATE(B201,-12),Database!$A:$AS,MATCH($S$1,Database!$A$1:$AS$1,),))))</f>
        <v/>
      </c>
      <c r="T201" s="13">
        <f>((((VLOOKUP(B201,Database!$A:$AS,MATCH($T$1,Database!$A$1:$AS$1,),))))-(((VLOOKUP(EDATE(B201,-12),Database!$A:$AS,MATCH($T$1,Database!$A$1:$AS$1,),)))))/(((VLOOKUP(EDATE(B201,-12),Database!$A:$AS,MATCH($T$1,Database!$A$1:$AS$1,),))))</f>
        <v/>
      </c>
      <c r="U201" s="13">
        <f>((((VLOOKUP(B201,Database!$A:$AS,MATCH($U$1,Database!$A$1:$AS$1,),))))-(((VLOOKUP(EDATE(B201,-12),Database!$A:$AS,MATCH($U$1,Database!$A$1:$AS$1,),)))))/(((VLOOKUP(EDATE(B201,-12),Database!$A:$AS,MATCH($U$1,Database!$A$1:$AS$1,),))))</f>
        <v/>
      </c>
      <c r="V201" s="13">
        <f>((((VLOOKUP(B201,Database!$A:$AS,MATCH($V$1,Database!$A$1:$AS$1,),))))-(((VLOOKUP(EDATE(B201,-12),Database!$A:$AS,MATCH($V$1,Database!$A$1:$AS$1,),)))))/(((VLOOKUP(EDATE(B201,-12),Database!$A:$AS,MATCH($V$1,Database!$A$1:$AS$1,),))))</f>
        <v/>
      </c>
    </row>
    <row r="202" customFormat="1" s="94">
      <c r="A202" s="44" t="n"/>
      <c r="B202" s="85" t="n">
        <v>38292</v>
      </c>
      <c r="C202" s="13">
        <f>((((VLOOKUP(B202,Database!$A:$AS,MATCH($C$1,Database!$A$1:$AS$1,),))))-(((VLOOKUP(EDATE(B202,-12),Database!$A:$AS,MATCH($C$1,Database!$A$1:$AS$1,),)))))/(((VLOOKUP(EDATE(B202,-12),Database!$A:$AS,MATCH($C$1,Database!$A$1:$AS$1,),))))</f>
        <v/>
      </c>
      <c r="D202" s="13">
        <f>((((VLOOKUP(B202,Database!$A:$AS,MATCH($D$1,Database!$A$1:$AS$1,),))))-(((VLOOKUP(EDATE(B202,-12),Database!$A:$AS,MATCH($D$1,Database!$A$1:$AS$1,),)))))/(((VLOOKUP(EDATE(B202,-12),Database!$A:$AS,MATCH($D$1,Database!$A$1:$AS$1,),))))</f>
        <v/>
      </c>
      <c r="E202" s="13">
        <f>((((VLOOKUP(B202,Database!$A:$AS,MATCH($E$1,Database!$A$1:$AS$1,),))))-(((VLOOKUP(EDATE(B202,-12),Database!$A:$AS,MATCH($E$1,Database!$A$1:$AS$1,),)))))/(((VLOOKUP(EDATE(B202,-12),Database!$A:$AS,MATCH($E$1,Database!$A$1:$AS$1,),))))</f>
        <v/>
      </c>
      <c r="F202" s="13">
        <f>((((VLOOKUP(B202,Database!$A:$AS,MATCH($F$1,Database!$A$1:$AS$1,),))))-(((VLOOKUP(EDATE(B202,-12),Database!$A:$AS,MATCH($F$1,Database!$A$1:$AS$1,),)))))/(((VLOOKUP(EDATE(B202,-12),Database!$A:$AS,MATCH($F$1,Database!$A$1:$AS$1,),))))</f>
        <v/>
      </c>
      <c r="G202" s="13">
        <f>((((VLOOKUP(B202,Database!$A:$AS,MATCH($G$1,Database!$A$1:$AS$1,),))))-(((VLOOKUP(EDATE(B202,-12),Database!$A:$AS,MATCH($G$1,Database!$A$1:$AS$1,),)))))/(((VLOOKUP(EDATE(B202,-12),Database!$A:$AS,MATCH($G$1,Database!$A$1:$AS$1,),))))</f>
        <v/>
      </c>
      <c r="H202" s="13">
        <f>((((VLOOKUP(B202,Database!$A:$AS,MATCH($H$1,Database!$A$1:$AS$1,),))))-(((VLOOKUP(EDATE(B202,-12),Database!$A:$AS,MATCH($H$1,Database!$A$1:$AS$1,),)))))/(((VLOOKUP(EDATE(B202,-12),Database!$A:$AS,MATCH($H$1,Database!$A$1:$AS$1,),))))</f>
        <v/>
      </c>
      <c r="I202" s="13">
        <f>((((VLOOKUP(B202,Database!$A:$AS,MATCH($I$1,Database!$A$1:$AS$1,),))))-(((VLOOKUP(EDATE(B202,-12),Database!$A:$AS,MATCH($I$1,Database!$A$1:$AS$1,),)))))/(((VLOOKUP(EDATE(B202,-12),Database!$A:$AS,MATCH($I$1,Database!$A$1:$AS$1,),))))</f>
        <v/>
      </c>
      <c r="J202" s="13">
        <f>((((VLOOKUP(B202,Database!$A:$AS,MATCH($J$1,Database!$A$1:$AS$1,),))))-(((VLOOKUP(EDATE(B202,-12),Database!$A:$AS,MATCH($J$1,Database!$A$1:$AS$1,),)))))/(((VLOOKUP(EDATE(B202,-12),Database!$A:$AS,MATCH($J$1,Database!$A$1:$AS$1,),))))</f>
        <v/>
      </c>
      <c r="K202" s="13">
        <f>((((VLOOKUP(B202,Database!$A:$AS,MATCH($K$1,Database!$A$1:$AS$1,),))))-(((VLOOKUP(EDATE(B202,-12),Database!$A:$AS,MATCH($K$1,Database!$A$1:$AS$1,),)))))/(((VLOOKUP(EDATE(B202,-12),Database!$A:$AS,MATCH($K$1,Database!$A$1:$AS$1,),))))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((((VLOOKUP(B202,Database!$A:$AS,MATCH($O$1,Database!$A$1:$AS$1,),))))-(((VLOOKUP(EDATE(B202,-12),Database!$A:$AS,MATCH($O$1,Database!$A$1:$AS$1,),)))))/(((VLOOKUP(EDATE(B202,-12),Database!$A:$AS,MATCH($O$1,Database!$A$1:$AS$1,),))))</f>
        <v/>
      </c>
      <c r="P202" s="13">
        <f>((((VLOOKUP(B202,Database!$A:$AS,MATCH($P$1,Database!$A$1:$AS$1,),))))-(((VLOOKUP(EDATE(B202,-12),Database!$A:$AS,MATCH($P$1,Database!$A$1:$AS$1,),)))))/(((VLOOKUP(EDATE(B202,-12),Database!$A:$AS,MATCH($P$1,Database!$A$1:$AS$1,),))))</f>
        <v/>
      </c>
      <c r="Q202" s="13">
        <f>((((VLOOKUP(B202,Database!$A:$AS,MATCH($Q$1,Database!$A$1:$AS$1,),))))-(((VLOOKUP(EDATE(B202,-12),Database!$A:$AS,MATCH($Q$1,Database!$A$1:$AS$1,),)))))/(((VLOOKUP(EDATE(B202,-12),Database!$A:$AS,MATCH($Q$1,Database!$A$1:$AS$1,),))))</f>
        <v/>
      </c>
      <c r="R202" s="13">
        <f>((((VLOOKUP(B202,Database!$A:$AS,MATCH($R$1,Database!$A$1:$AS$1,),))))-(((VLOOKUP(EDATE(B202,-12),Database!$A:$AS,MATCH($R$1,Database!$A$1:$AS$1,),)))))/(((VLOOKUP(EDATE(B202,-12),Database!$A:$AS,MATCH($R$1,Database!$A$1:$AS$1,),))))</f>
        <v/>
      </c>
      <c r="S202" s="13">
        <f>((((VLOOKUP(B202,Database!$A:$AS,MATCH($S$1,Database!$A$1:$AS$1,),))))-(((VLOOKUP(EDATE(B202,-12),Database!$A:$AS,MATCH($S$1,Database!$A$1:$AS$1,),)))))/(((VLOOKUP(EDATE(B202,-12),Database!$A:$AS,MATCH($S$1,Database!$A$1:$AS$1,),))))</f>
        <v/>
      </c>
      <c r="T202" s="13">
        <f>((((VLOOKUP(B202,Database!$A:$AS,MATCH($T$1,Database!$A$1:$AS$1,),))))-(((VLOOKUP(EDATE(B202,-12),Database!$A:$AS,MATCH($T$1,Database!$A$1:$AS$1,),)))))/(((VLOOKUP(EDATE(B202,-12),Database!$A:$AS,MATCH($T$1,Database!$A$1:$AS$1,),))))</f>
        <v/>
      </c>
      <c r="U202" s="13">
        <f>((((VLOOKUP(B202,Database!$A:$AS,MATCH($U$1,Database!$A$1:$AS$1,),))))-(((VLOOKUP(EDATE(B202,-12),Database!$A:$AS,MATCH($U$1,Database!$A$1:$AS$1,),)))))/(((VLOOKUP(EDATE(B202,-12),Database!$A:$AS,MATCH($U$1,Database!$A$1:$AS$1,),))))</f>
        <v/>
      </c>
      <c r="V202" s="13">
        <f>((((VLOOKUP(B202,Database!$A:$AS,MATCH($V$1,Database!$A$1:$AS$1,),))))-(((VLOOKUP(EDATE(B202,-12),Database!$A:$AS,MATCH($V$1,Database!$A$1:$AS$1,),)))))/(((VLOOKUP(EDATE(B202,-12),Database!$A:$AS,MATCH($V$1,Database!$A$1:$AS$1,),))))</f>
        <v/>
      </c>
    </row>
    <row r="203" customFormat="1" s="94">
      <c r="A203" s="44" t="n"/>
      <c r="B203" s="85" t="n">
        <v>38322</v>
      </c>
      <c r="C203" s="13">
        <f>((((VLOOKUP(B203,Database!$A:$AS,MATCH($C$1,Database!$A$1:$AS$1,),))))-(((VLOOKUP(EDATE(B203,-12),Database!$A:$AS,MATCH($C$1,Database!$A$1:$AS$1,),)))))/(((VLOOKUP(EDATE(B203,-12),Database!$A:$AS,MATCH($C$1,Database!$A$1:$AS$1,),))))</f>
        <v/>
      </c>
      <c r="D203" s="13">
        <f>((((VLOOKUP(B203,Database!$A:$AS,MATCH($D$1,Database!$A$1:$AS$1,),))))-(((VLOOKUP(EDATE(B203,-12),Database!$A:$AS,MATCH($D$1,Database!$A$1:$AS$1,),)))))/(((VLOOKUP(EDATE(B203,-12),Database!$A:$AS,MATCH($D$1,Database!$A$1:$AS$1,),))))</f>
        <v/>
      </c>
      <c r="E203" s="13">
        <f>((((VLOOKUP(B203,Database!$A:$AS,MATCH($E$1,Database!$A$1:$AS$1,),))))-(((VLOOKUP(EDATE(B203,-12),Database!$A:$AS,MATCH($E$1,Database!$A$1:$AS$1,),)))))/(((VLOOKUP(EDATE(B203,-12),Database!$A:$AS,MATCH($E$1,Database!$A$1:$AS$1,),))))</f>
        <v/>
      </c>
      <c r="F203" s="13">
        <f>((((VLOOKUP(B203,Database!$A:$AS,MATCH($F$1,Database!$A$1:$AS$1,),))))-(((VLOOKUP(EDATE(B203,-12),Database!$A:$AS,MATCH($F$1,Database!$A$1:$AS$1,),)))))/(((VLOOKUP(EDATE(B203,-12),Database!$A:$AS,MATCH($F$1,Database!$A$1:$AS$1,),))))</f>
        <v/>
      </c>
      <c r="G203" s="13">
        <f>((((VLOOKUP(B203,Database!$A:$AS,MATCH($G$1,Database!$A$1:$AS$1,),))))-(((VLOOKUP(EDATE(B203,-12),Database!$A:$AS,MATCH($G$1,Database!$A$1:$AS$1,),)))))/(((VLOOKUP(EDATE(B203,-12),Database!$A:$AS,MATCH($G$1,Database!$A$1:$AS$1,),))))</f>
        <v/>
      </c>
      <c r="H203" s="13">
        <f>((((VLOOKUP(B203,Database!$A:$AS,MATCH($H$1,Database!$A$1:$AS$1,),))))-(((VLOOKUP(EDATE(B203,-12),Database!$A:$AS,MATCH($H$1,Database!$A$1:$AS$1,),)))))/(((VLOOKUP(EDATE(B203,-12),Database!$A:$AS,MATCH($H$1,Database!$A$1:$AS$1,),))))</f>
        <v/>
      </c>
      <c r="I203" s="13">
        <f>((((VLOOKUP(B203,Database!$A:$AS,MATCH($I$1,Database!$A$1:$AS$1,),))))-(((VLOOKUP(EDATE(B203,-12),Database!$A:$AS,MATCH($I$1,Database!$A$1:$AS$1,),)))))/(((VLOOKUP(EDATE(B203,-12),Database!$A:$AS,MATCH($I$1,Database!$A$1:$AS$1,),))))</f>
        <v/>
      </c>
      <c r="J203" s="13">
        <f>((((VLOOKUP(B203,Database!$A:$AS,MATCH($J$1,Database!$A$1:$AS$1,),))))-(((VLOOKUP(EDATE(B203,-12),Database!$A:$AS,MATCH($J$1,Database!$A$1:$AS$1,),)))))/(((VLOOKUP(EDATE(B203,-12),Database!$A:$AS,MATCH($J$1,Database!$A$1:$AS$1,),))))</f>
        <v/>
      </c>
      <c r="K203" s="13">
        <f>((((VLOOKUP(B203,Database!$A:$AS,MATCH($K$1,Database!$A$1:$AS$1,),))))-(((VLOOKUP(EDATE(B203,-12),Database!$A:$AS,MATCH($K$1,Database!$A$1:$AS$1,),)))))/(((VLOOKUP(EDATE(B203,-12),Database!$A:$AS,MATCH($K$1,Database!$A$1:$AS$1,),))))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((((VLOOKUP(B203,Database!$A:$AS,MATCH($O$1,Database!$A$1:$AS$1,),))))-(((VLOOKUP(EDATE(B203,-12),Database!$A:$AS,MATCH($O$1,Database!$A$1:$AS$1,),)))))/(((VLOOKUP(EDATE(B203,-12),Database!$A:$AS,MATCH($O$1,Database!$A$1:$AS$1,),))))</f>
        <v/>
      </c>
      <c r="P203" s="13">
        <f>((((VLOOKUP(B203,Database!$A:$AS,MATCH($P$1,Database!$A$1:$AS$1,),))))-(((VLOOKUP(EDATE(B203,-12),Database!$A:$AS,MATCH($P$1,Database!$A$1:$AS$1,),)))))/(((VLOOKUP(EDATE(B203,-12),Database!$A:$AS,MATCH($P$1,Database!$A$1:$AS$1,),))))</f>
        <v/>
      </c>
      <c r="Q203" s="13">
        <f>((((VLOOKUP(B203,Database!$A:$AS,MATCH($Q$1,Database!$A$1:$AS$1,),))))-(((VLOOKUP(EDATE(B203,-12),Database!$A:$AS,MATCH($Q$1,Database!$A$1:$AS$1,),)))))/(((VLOOKUP(EDATE(B203,-12),Database!$A:$AS,MATCH($Q$1,Database!$A$1:$AS$1,),))))</f>
        <v/>
      </c>
      <c r="R203" s="13">
        <f>((((VLOOKUP(B203,Database!$A:$AS,MATCH($R$1,Database!$A$1:$AS$1,),))))-(((VLOOKUP(EDATE(B203,-12),Database!$A:$AS,MATCH($R$1,Database!$A$1:$AS$1,),)))))/(((VLOOKUP(EDATE(B203,-12),Database!$A:$AS,MATCH($R$1,Database!$A$1:$AS$1,),))))</f>
        <v/>
      </c>
      <c r="S203" s="13">
        <f>((((VLOOKUP(B203,Database!$A:$AS,MATCH($S$1,Database!$A$1:$AS$1,),))))-(((VLOOKUP(EDATE(B203,-12),Database!$A:$AS,MATCH($S$1,Database!$A$1:$AS$1,),)))))/(((VLOOKUP(EDATE(B203,-12),Database!$A:$AS,MATCH($S$1,Database!$A$1:$AS$1,),))))</f>
        <v/>
      </c>
      <c r="T203" s="13">
        <f>((((VLOOKUP(B203,Database!$A:$AS,MATCH($T$1,Database!$A$1:$AS$1,),))))-(((VLOOKUP(EDATE(B203,-12),Database!$A:$AS,MATCH($T$1,Database!$A$1:$AS$1,),)))))/(((VLOOKUP(EDATE(B203,-12),Database!$A:$AS,MATCH($T$1,Database!$A$1:$AS$1,),))))</f>
        <v/>
      </c>
      <c r="U203" s="13">
        <f>((((VLOOKUP(B203,Database!$A:$AS,MATCH($U$1,Database!$A$1:$AS$1,),))))-(((VLOOKUP(EDATE(B203,-12),Database!$A:$AS,MATCH($U$1,Database!$A$1:$AS$1,),)))))/(((VLOOKUP(EDATE(B203,-12),Database!$A:$AS,MATCH($U$1,Database!$A$1:$AS$1,),))))</f>
        <v/>
      </c>
      <c r="V203" s="13">
        <f>((((VLOOKUP(B203,Database!$A:$AS,MATCH($V$1,Database!$A$1:$AS$1,),))))-(((VLOOKUP(EDATE(B203,-12),Database!$A:$AS,MATCH($V$1,Database!$A$1:$AS$1,),)))))/(((VLOOKUP(EDATE(B203,-12),Database!$A:$AS,MATCH($V$1,Database!$A$1:$AS$1,),))))</f>
        <v/>
      </c>
    </row>
    <row r="204" customFormat="1" s="94">
      <c r="A204" s="44" t="n"/>
      <c r="B204" s="85" t="n">
        <v>38353</v>
      </c>
      <c r="C204" s="13">
        <f>((((VLOOKUP(B204,Database!$A:$AS,MATCH($C$1,Database!$A$1:$AS$1,),))))-(((VLOOKUP(EDATE(B204,-12),Database!$A:$AS,MATCH($C$1,Database!$A$1:$AS$1,),)))))/(((VLOOKUP(EDATE(B204,-12),Database!$A:$AS,MATCH($C$1,Database!$A$1:$AS$1,),))))</f>
        <v/>
      </c>
      <c r="D204" s="13">
        <f>((((VLOOKUP(B204,Database!$A:$AS,MATCH($D$1,Database!$A$1:$AS$1,),))))-(((VLOOKUP(EDATE(B204,-12),Database!$A:$AS,MATCH($D$1,Database!$A$1:$AS$1,),)))))/(((VLOOKUP(EDATE(B204,-12),Database!$A:$AS,MATCH($D$1,Database!$A$1:$AS$1,),))))</f>
        <v/>
      </c>
      <c r="E204" s="13">
        <f>((((VLOOKUP(B204,Database!$A:$AS,MATCH($E$1,Database!$A$1:$AS$1,),))))-(((VLOOKUP(EDATE(B204,-12),Database!$A:$AS,MATCH($E$1,Database!$A$1:$AS$1,),)))))/(((VLOOKUP(EDATE(B204,-12),Database!$A:$AS,MATCH($E$1,Database!$A$1:$AS$1,),))))</f>
        <v/>
      </c>
      <c r="F204" s="13">
        <f>((((VLOOKUP(B204,Database!$A:$AS,MATCH($F$1,Database!$A$1:$AS$1,),))))-(((VLOOKUP(EDATE(B204,-12),Database!$A:$AS,MATCH($F$1,Database!$A$1:$AS$1,),)))))/(((VLOOKUP(EDATE(B204,-12),Database!$A:$AS,MATCH($F$1,Database!$A$1:$AS$1,),))))</f>
        <v/>
      </c>
      <c r="G204" s="13">
        <f>((((VLOOKUP(B204,Database!$A:$AS,MATCH($G$1,Database!$A$1:$AS$1,),))))-(((VLOOKUP(EDATE(B204,-12),Database!$A:$AS,MATCH($G$1,Database!$A$1:$AS$1,),)))))/(((VLOOKUP(EDATE(B204,-12),Database!$A:$AS,MATCH($G$1,Database!$A$1:$AS$1,),))))</f>
        <v/>
      </c>
      <c r="H204" s="13">
        <f>((((VLOOKUP(B204,Database!$A:$AS,MATCH($H$1,Database!$A$1:$AS$1,),))))-(((VLOOKUP(EDATE(B204,-12),Database!$A:$AS,MATCH($H$1,Database!$A$1:$AS$1,),)))))/(((VLOOKUP(EDATE(B204,-12),Database!$A:$AS,MATCH($H$1,Database!$A$1:$AS$1,),))))</f>
        <v/>
      </c>
      <c r="I204" s="13">
        <f>((((VLOOKUP(B204,Database!$A:$AS,MATCH($I$1,Database!$A$1:$AS$1,),))))-(((VLOOKUP(EDATE(B204,-12),Database!$A:$AS,MATCH($I$1,Database!$A$1:$AS$1,),)))))/(((VLOOKUP(EDATE(B204,-12),Database!$A:$AS,MATCH($I$1,Database!$A$1:$AS$1,),))))</f>
        <v/>
      </c>
      <c r="J204" s="13">
        <f>((((VLOOKUP(B204,Database!$A:$AS,MATCH($J$1,Database!$A$1:$AS$1,),))))-(((VLOOKUP(EDATE(B204,-12),Database!$A:$AS,MATCH($J$1,Database!$A$1:$AS$1,),)))))/(((VLOOKUP(EDATE(B204,-12),Database!$A:$AS,MATCH($J$1,Database!$A$1:$AS$1,),))))</f>
        <v/>
      </c>
      <c r="K204" s="13">
        <f>((((VLOOKUP(B204,Database!$A:$AS,MATCH($K$1,Database!$A$1:$AS$1,),))))-(((VLOOKUP(EDATE(B204,-12),Database!$A:$AS,MATCH($K$1,Database!$A$1:$AS$1,),)))))/(((VLOOKUP(EDATE(B204,-12),Database!$A:$AS,MATCH($K$1,Database!$A$1:$AS$1,),))))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((((VLOOKUP(B204,Database!$A:$AS,MATCH($O$1,Database!$A$1:$AS$1,),))))-(((VLOOKUP(EDATE(B204,-12),Database!$A:$AS,MATCH($O$1,Database!$A$1:$AS$1,),)))))/(((VLOOKUP(EDATE(B204,-12),Database!$A:$AS,MATCH($O$1,Database!$A$1:$AS$1,),))))</f>
        <v/>
      </c>
      <c r="P204" s="13">
        <f>((((VLOOKUP(B204,Database!$A:$AS,MATCH($P$1,Database!$A$1:$AS$1,),))))-(((VLOOKUP(EDATE(B204,-12),Database!$A:$AS,MATCH($P$1,Database!$A$1:$AS$1,),)))))/(((VLOOKUP(EDATE(B204,-12),Database!$A:$AS,MATCH($P$1,Database!$A$1:$AS$1,),))))</f>
        <v/>
      </c>
      <c r="Q204" s="13">
        <f>((((VLOOKUP(B204,Database!$A:$AS,MATCH($Q$1,Database!$A$1:$AS$1,),))))-(((VLOOKUP(EDATE(B204,-12),Database!$A:$AS,MATCH($Q$1,Database!$A$1:$AS$1,),)))))/(((VLOOKUP(EDATE(B204,-12),Database!$A:$AS,MATCH($Q$1,Database!$A$1:$AS$1,),))))</f>
        <v/>
      </c>
      <c r="R204" s="13">
        <f>((((VLOOKUP(B204,Database!$A:$AS,MATCH($R$1,Database!$A$1:$AS$1,),))))-(((VLOOKUP(EDATE(B204,-12),Database!$A:$AS,MATCH($R$1,Database!$A$1:$AS$1,),)))))/(((VLOOKUP(EDATE(B204,-12),Database!$A:$AS,MATCH($R$1,Database!$A$1:$AS$1,),))))</f>
        <v/>
      </c>
      <c r="S204" s="13">
        <f>((((VLOOKUP(B204,Database!$A:$AS,MATCH($S$1,Database!$A$1:$AS$1,),))))-(((VLOOKUP(EDATE(B204,-12),Database!$A:$AS,MATCH($S$1,Database!$A$1:$AS$1,),)))))/(((VLOOKUP(EDATE(B204,-12),Database!$A:$AS,MATCH($S$1,Database!$A$1:$AS$1,),))))</f>
        <v/>
      </c>
      <c r="T204" s="13">
        <f>((((VLOOKUP(B204,Database!$A:$AS,MATCH($T$1,Database!$A$1:$AS$1,),))))-(((VLOOKUP(EDATE(B204,-12),Database!$A:$AS,MATCH($T$1,Database!$A$1:$AS$1,),)))))/(((VLOOKUP(EDATE(B204,-12),Database!$A:$AS,MATCH($T$1,Database!$A$1:$AS$1,),))))</f>
        <v/>
      </c>
      <c r="U204" s="13">
        <f>((((VLOOKUP(B204,Database!$A:$AS,MATCH($U$1,Database!$A$1:$AS$1,),))))-(((VLOOKUP(EDATE(B204,-12),Database!$A:$AS,MATCH($U$1,Database!$A$1:$AS$1,),)))))/(((VLOOKUP(EDATE(B204,-12),Database!$A:$AS,MATCH($U$1,Database!$A$1:$AS$1,),))))</f>
        <v/>
      </c>
      <c r="V204" s="13">
        <f>((((VLOOKUP(B204,Database!$A:$AS,MATCH($V$1,Database!$A$1:$AS$1,),))))-(((VLOOKUP(EDATE(B204,-12),Database!$A:$AS,MATCH($V$1,Database!$A$1:$AS$1,),)))))/(((VLOOKUP(EDATE(B204,-12),Database!$A:$AS,MATCH($V$1,Database!$A$1:$AS$1,),))))</f>
        <v/>
      </c>
    </row>
    <row r="205" customFormat="1" s="94">
      <c r="A205" s="44" t="n"/>
      <c r="B205" s="85" t="n">
        <v>38384</v>
      </c>
      <c r="C205" s="13">
        <f>((((VLOOKUP(B205,Database!$A:$AS,MATCH($C$1,Database!$A$1:$AS$1,),))))-(((VLOOKUP(EDATE(B205,-12),Database!$A:$AS,MATCH($C$1,Database!$A$1:$AS$1,),)))))/(((VLOOKUP(EDATE(B205,-12),Database!$A:$AS,MATCH($C$1,Database!$A$1:$AS$1,),))))</f>
        <v/>
      </c>
      <c r="D205" s="13">
        <f>((((VLOOKUP(B205,Database!$A:$AS,MATCH($D$1,Database!$A$1:$AS$1,),))))-(((VLOOKUP(EDATE(B205,-12),Database!$A:$AS,MATCH($D$1,Database!$A$1:$AS$1,),)))))/(((VLOOKUP(EDATE(B205,-12),Database!$A:$AS,MATCH($D$1,Database!$A$1:$AS$1,),))))</f>
        <v/>
      </c>
      <c r="E205" s="13">
        <f>((((VLOOKUP(B205,Database!$A:$AS,MATCH($E$1,Database!$A$1:$AS$1,),))))-(((VLOOKUP(EDATE(B205,-12),Database!$A:$AS,MATCH($E$1,Database!$A$1:$AS$1,),)))))/(((VLOOKUP(EDATE(B205,-12),Database!$A:$AS,MATCH($E$1,Database!$A$1:$AS$1,),))))</f>
        <v/>
      </c>
      <c r="F205" s="13">
        <f>((((VLOOKUP(B205,Database!$A:$AS,MATCH($F$1,Database!$A$1:$AS$1,),))))-(((VLOOKUP(EDATE(B205,-12),Database!$A:$AS,MATCH($F$1,Database!$A$1:$AS$1,),)))))/(((VLOOKUP(EDATE(B205,-12),Database!$A:$AS,MATCH($F$1,Database!$A$1:$AS$1,),))))</f>
        <v/>
      </c>
      <c r="G205" s="13">
        <f>((((VLOOKUP(B205,Database!$A:$AS,MATCH($G$1,Database!$A$1:$AS$1,),))))-(((VLOOKUP(EDATE(B205,-12),Database!$A:$AS,MATCH($G$1,Database!$A$1:$AS$1,),)))))/(((VLOOKUP(EDATE(B205,-12),Database!$A:$AS,MATCH($G$1,Database!$A$1:$AS$1,),))))</f>
        <v/>
      </c>
      <c r="H205" s="13">
        <f>((((VLOOKUP(B205,Database!$A:$AS,MATCH($H$1,Database!$A$1:$AS$1,),))))-(((VLOOKUP(EDATE(B205,-12),Database!$A:$AS,MATCH($H$1,Database!$A$1:$AS$1,),)))))/(((VLOOKUP(EDATE(B205,-12),Database!$A:$AS,MATCH($H$1,Database!$A$1:$AS$1,),))))</f>
        <v/>
      </c>
      <c r="I205" s="13">
        <f>((((VLOOKUP(B205,Database!$A:$AS,MATCH($I$1,Database!$A$1:$AS$1,),))))-(((VLOOKUP(EDATE(B205,-12),Database!$A:$AS,MATCH($I$1,Database!$A$1:$AS$1,),)))))/(((VLOOKUP(EDATE(B205,-12),Database!$A:$AS,MATCH($I$1,Database!$A$1:$AS$1,),))))</f>
        <v/>
      </c>
      <c r="J205" s="13">
        <f>((((VLOOKUP(B205,Database!$A:$AS,MATCH($J$1,Database!$A$1:$AS$1,),))))-(((VLOOKUP(EDATE(B205,-12),Database!$A:$AS,MATCH($J$1,Database!$A$1:$AS$1,),)))))/(((VLOOKUP(EDATE(B205,-12),Database!$A:$AS,MATCH($J$1,Database!$A$1:$AS$1,),))))</f>
        <v/>
      </c>
      <c r="K205" s="13">
        <f>((((VLOOKUP(B205,Database!$A:$AS,MATCH($K$1,Database!$A$1:$AS$1,),))))-(((VLOOKUP(EDATE(B205,-12),Database!$A:$AS,MATCH($K$1,Database!$A$1:$AS$1,),)))))/(((VLOOKUP(EDATE(B205,-12),Database!$A:$AS,MATCH($K$1,Database!$A$1:$AS$1,),))))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((((VLOOKUP(B205,Database!$A:$AS,MATCH($O$1,Database!$A$1:$AS$1,),))))-(((VLOOKUP(EDATE(B205,-12),Database!$A:$AS,MATCH($O$1,Database!$A$1:$AS$1,),)))))/(((VLOOKUP(EDATE(B205,-12),Database!$A:$AS,MATCH($O$1,Database!$A$1:$AS$1,),))))</f>
        <v/>
      </c>
      <c r="P205" s="13">
        <f>((((VLOOKUP(B205,Database!$A:$AS,MATCH($P$1,Database!$A$1:$AS$1,),))))-(((VLOOKUP(EDATE(B205,-12),Database!$A:$AS,MATCH($P$1,Database!$A$1:$AS$1,),)))))/(((VLOOKUP(EDATE(B205,-12),Database!$A:$AS,MATCH($P$1,Database!$A$1:$AS$1,),))))</f>
        <v/>
      </c>
      <c r="Q205" s="13">
        <f>((((VLOOKUP(B205,Database!$A:$AS,MATCH($Q$1,Database!$A$1:$AS$1,),))))-(((VLOOKUP(EDATE(B205,-12),Database!$A:$AS,MATCH($Q$1,Database!$A$1:$AS$1,),)))))/(((VLOOKUP(EDATE(B205,-12),Database!$A:$AS,MATCH($Q$1,Database!$A$1:$AS$1,),))))</f>
        <v/>
      </c>
      <c r="R205" s="13">
        <f>((((VLOOKUP(B205,Database!$A:$AS,MATCH($R$1,Database!$A$1:$AS$1,),))))-(((VLOOKUP(EDATE(B205,-12),Database!$A:$AS,MATCH($R$1,Database!$A$1:$AS$1,),)))))/(((VLOOKUP(EDATE(B205,-12),Database!$A:$AS,MATCH($R$1,Database!$A$1:$AS$1,),))))</f>
        <v/>
      </c>
      <c r="S205" s="13">
        <f>((((VLOOKUP(B205,Database!$A:$AS,MATCH($S$1,Database!$A$1:$AS$1,),))))-(((VLOOKUP(EDATE(B205,-12),Database!$A:$AS,MATCH($S$1,Database!$A$1:$AS$1,),)))))/(((VLOOKUP(EDATE(B205,-12),Database!$A:$AS,MATCH($S$1,Database!$A$1:$AS$1,),))))</f>
        <v/>
      </c>
      <c r="T205" s="13">
        <f>((((VLOOKUP(B205,Database!$A:$AS,MATCH($T$1,Database!$A$1:$AS$1,),))))-(((VLOOKUP(EDATE(B205,-12),Database!$A:$AS,MATCH($T$1,Database!$A$1:$AS$1,),)))))/(((VLOOKUP(EDATE(B205,-12),Database!$A:$AS,MATCH($T$1,Database!$A$1:$AS$1,),))))</f>
        <v/>
      </c>
      <c r="U205" s="13">
        <f>((((VLOOKUP(B205,Database!$A:$AS,MATCH($U$1,Database!$A$1:$AS$1,),))))-(((VLOOKUP(EDATE(B205,-12),Database!$A:$AS,MATCH($U$1,Database!$A$1:$AS$1,),)))))/(((VLOOKUP(EDATE(B205,-12),Database!$A:$AS,MATCH($U$1,Database!$A$1:$AS$1,),))))</f>
        <v/>
      </c>
      <c r="V205" s="13">
        <f>((((VLOOKUP(B205,Database!$A:$AS,MATCH($V$1,Database!$A$1:$AS$1,),))))-(((VLOOKUP(EDATE(B205,-12),Database!$A:$AS,MATCH($V$1,Database!$A$1:$AS$1,),)))))/(((VLOOKUP(EDATE(B205,-12),Database!$A:$AS,MATCH($V$1,Database!$A$1:$AS$1,),))))</f>
        <v/>
      </c>
    </row>
    <row r="206" customFormat="1" s="94">
      <c r="A206" s="44" t="n"/>
      <c r="B206" s="85" t="n">
        <v>38412</v>
      </c>
      <c r="C206" s="13">
        <f>((((VLOOKUP(B206,Database!$A:$AS,MATCH($C$1,Database!$A$1:$AS$1,),))))-(((VLOOKUP(EDATE(B206,-12),Database!$A:$AS,MATCH($C$1,Database!$A$1:$AS$1,),)))))/(((VLOOKUP(EDATE(B206,-12),Database!$A:$AS,MATCH($C$1,Database!$A$1:$AS$1,),))))</f>
        <v/>
      </c>
      <c r="D206" s="13">
        <f>((((VLOOKUP(B206,Database!$A:$AS,MATCH($D$1,Database!$A$1:$AS$1,),))))-(((VLOOKUP(EDATE(B206,-12),Database!$A:$AS,MATCH($D$1,Database!$A$1:$AS$1,),)))))/(((VLOOKUP(EDATE(B206,-12),Database!$A:$AS,MATCH($D$1,Database!$A$1:$AS$1,),))))</f>
        <v/>
      </c>
      <c r="E206" s="13">
        <f>((((VLOOKUP(B206,Database!$A:$AS,MATCH($E$1,Database!$A$1:$AS$1,),))))-(((VLOOKUP(EDATE(B206,-12),Database!$A:$AS,MATCH($E$1,Database!$A$1:$AS$1,),)))))/(((VLOOKUP(EDATE(B206,-12),Database!$A:$AS,MATCH($E$1,Database!$A$1:$AS$1,),))))</f>
        <v/>
      </c>
      <c r="F206" s="13">
        <f>((((VLOOKUP(B206,Database!$A:$AS,MATCH($F$1,Database!$A$1:$AS$1,),))))-(((VLOOKUP(EDATE(B206,-12),Database!$A:$AS,MATCH($F$1,Database!$A$1:$AS$1,),)))))/(((VLOOKUP(EDATE(B206,-12),Database!$A:$AS,MATCH($F$1,Database!$A$1:$AS$1,),))))</f>
        <v/>
      </c>
      <c r="G206" s="13">
        <f>((((VLOOKUP(B206,Database!$A:$AS,MATCH($G$1,Database!$A$1:$AS$1,),))))-(((VLOOKUP(EDATE(B206,-12),Database!$A:$AS,MATCH($G$1,Database!$A$1:$AS$1,),)))))/(((VLOOKUP(EDATE(B206,-12),Database!$A:$AS,MATCH($G$1,Database!$A$1:$AS$1,),))))</f>
        <v/>
      </c>
      <c r="H206" s="13">
        <f>((((VLOOKUP(B206,Database!$A:$AS,MATCH($H$1,Database!$A$1:$AS$1,),))))-(((VLOOKUP(EDATE(B206,-12),Database!$A:$AS,MATCH($H$1,Database!$A$1:$AS$1,),)))))/(((VLOOKUP(EDATE(B206,-12),Database!$A:$AS,MATCH($H$1,Database!$A$1:$AS$1,),))))</f>
        <v/>
      </c>
      <c r="I206" s="13">
        <f>((((VLOOKUP(B206,Database!$A:$AS,MATCH($I$1,Database!$A$1:$AS$1,),))))-(((VLOOKUP(EDATE(B206,-12),Database!$A:$AS,MATCH($I$1,Database!$A$1:$AS$1,),)))))/(((VLOOKUP(EDATE(B206,-12),Database!$A:$AS,MATCH($I$1,Database!$A$1:$AS$1,),))))</f>
        <v/>
      </c>
      <c r="J206" s="13">
        <f>((((VLOOKUP(B206,Database!$A:$AS,MATCH($J$1,Database!$A$1:$AS$1,),))))-(((VLOOKUP(EDATE(B206,-12),Database!$A:$AS,MATCH($J$1,Database!$A$1:$AS$1,),)))))/(((VLOOKUP(EDATE(B206,-12),Database!$A:$AS,MATCH($J$1,Database!$A$1:$AS$1,),))))</f>
        <v/>
      </c>
      <c r="K206" s="13">
        <f>((((VLOOKUP(B206,Database!$A:$AS,MATCH($K$1,Database!$A$1:$AS$1,),))))-(((VLOOKUP(EDATE(B206,-12),Database!$A:$AS,MATCH($K$1,Database!$A$1:$AS$1,),)))))/(((VLOOKUP(EDATE(B206,-12),Database!$A:$AS,MATCH($K$1,Database!$A$1:$AS$1,),))))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((((VLOOKUP(B206,Database!$A:$AS,MATCH($O$1,Database!$A$1:$AS$1,),))))-(((VLOOKUP(EDATE(B206,-12),Database!$A:$AS,MATCH($O$1,Database!$A$1:$AS$1,),)))))/(((VLOOKUP(EDATE(B206,-12),Database!$A:$AS,MATCH($O$1,Database!$A$1:$AS$1,),))))</f>
        <v/>
      </c>
      <c r="P206" s="13">
        <f>((((VLOOKUP(B206,Database!$A:$AS,MATCH($P$1,Database!$A$1:$AS$1,),))))-(((VLOOKUP(EDATE(B206,-12),Database!$A:$AS,MATCH($P$1,Database!$A$1:$AS$1,),)))))/(((VLOOKUP(EDATE(B206,-12),Database!$A:$AS,MATCH($P$1,Database!$A$1:$AS$1,),))))</f>
        <v/>
      </c>
      <c r="Q206" s="13">
        <f>((((VLOOKUP(B206,Database!$A:$AS,MATCH($Q$1,Database!$A$1:$AS$1,),))))-(((VLOOKUP(EDATE(B206,-12),Database!$A:$AS,MATCH($Q$1,Database!$A$1:$AS$1,),)))))/(((VLOOKUP(EDATE(B206,-12),Database!$A:$AS,MATCH($Q$1,Database!$A$1:$AS$1,),))))</f>
        <v/>
      </c>
      <c r="R206" s="13">
        <f>((((VLOOKUP(B206,Database!$A:$AS,MATCH($R$1,Database!$A$1:$AS$1,),))))-(((VLOOKUP(EDATE(B206,-12),Database!$A:$AS,MATCH($R$1,Database!$A$1:$AS$1,),)))))/(((VLOOKUP(EDATE(B206,-12),Database!$A:$AS,MATCH($R$1,Database!$A$1:$AS$1,),))))</f>
        <v/>
      </c>
      <c r="S206" s="13">
        <f>((((VLOOKUP(B206,Database!$A:$AS,MATCH($S$1,Database!$A$1:$AS$1,),))))-(((VLOOKUP(EDATE(B206,-12),Database!$A:$AS,MATCH($S$1,Database!$A$1:$AS$1,),)))))/(((VLOOKUP(EDATE(B206,-12),Database!$A:$AS,MATCH($S$1,Database!$A$1:$AS$1,),))))</f>
        <v/>
      </c>
      <c r="T206" s="13">
        <f>((((VLOOKUP(B206,Database!$A:$AS,MATCH($T$1,Database!$A$1:$AS$1,),))))-(((VLOOKUP(EDATE(B206,-12),Database!$A:$AS,MATCH($T$1,Database!$A$1:$AS$1,),)))))/(((VLOOKUP(EDATE(B206,-12),Database!$A:$AS,MATCH($T$1,Database!$A$1:$AS$1,),))))</f>
        <v/>
      </c>
      <c r="U206" s="13">
        <f>((((VLOOKUP(B206,Database!$A:$AS,MATCH($U$1,Database!$A$1:$AS$1,),))))-(((VLOOKUP(EDATE(B206,-12),Database!$A:$AS,MATCH($U$1,Database!$A$1:$AS$1,),)))))/(((VLOOKUP(EDATE(B206,-12),Database!$A:$AS,MATCH($U$1,Database!$A$1:$AS$1,),))))</f>
        <v/>
      </c>
      <c r="V206" s="13">
        <f>((((VLOOKUP(B206,Database!$A:$AS,MATCH($V$1,Database!$A$1:$AS$1,),))))-(((VLOOKUP(EDATE(B206,-12),Database!$A:$AS,MATCH($V$1,Database!$A$1:$AS$1,),)))))/(((VLOOKUP(EDATE(B206,-12),Database!$A:$AS,MATCH($V$1,Database!$A$1:$AS$1,),))))</f>
        <v/>
      </c>
    </row>
    <row r="207" customFormat="1" s="94">
      <c r="A207" s="44" t="n"/>
      <c r="B207" s="85" t="n">
        <v>38443</v>
      </c>
      <c r="C207" s="13">
        <f>((((VLOOKUP(B207,Database!$A:$AS,MATCH($C$1,Database!$A$1:$AS$1,),))))-(((VLOOKUP(EDATE(B207,-12),Database!$A:$AS,MATCH($C$1,Database!$A$1:$AS$1,),)))))/(((VLOOKUP(EDATE(B207,-12),Database!$A:$AS,MATCH($C$1,Database!$A$1:$AS$1,),))))</f>
        <v/>
      </c>
      <c r="D207" s="13">
        <f>((((VLOOKUP(B207,Database!$A:$AS,MATCH($D$1,Database!$A$1:$AS$1,),))))-(((VLOOKUP(EDATE(B207,-12),Database!$A:$AS,MATCH($D$1,Database!$A$1:$AS$1,),)))))/(((VLOOKUP(EDATE(B207,-12),Database!$A:$AS,MATCH($D$1,Database!$A$1:$AS$1,),))))</f>
        <v/>
      </c>
      <c r="E207" s="13">
        <f>((((VLOOKUP(B207,Database!$A:$AS,MATCH($E$1,Database!$A$1:$AS$1,),))))-(((VLOOKUP(EDATE(B207,-12),Database!$A:$AS,MATCH($E$1,Database!$A$1:$AS$1,),)))))/(((VLOOKUP(EDATE(B207,-12),Database!$A:$AS,MATCH($E$1,Database!$A$1:$AS$1,),))))</f>
        <v/>
      </c>
      <c r="F207" s="13">
        <f>((((VLOOKUP(B207,Database!$A:$AS,MATCH($F$1,Database!$A$1:$AS$1,),))))-(((VLOOKUP(EDATE(B207,-12),Database!$A:$AS,MATCH($F$1,Database!$A$1:$AS$1,),)))))/(((VLOOKUP(EDATE(B207,-12),Database!$A:$AS,MATCH($F$1,Database!$A$1:$AS$1,),))))</f>
        <v/>
      </c>
      <c r="G207" s="13">
        <f>((((VLOOKUP(B207,Database!$A:$AS,MATCH($G$1,Database!$A$1:$AS$1,),))))-(((VLOOKUP(EDATE(B207,-12),Database!$A:$AS,MATCH($G$1,Database!$A$1:$AS$1,),)))))/(((VLOOKUP(EDATE(B207,-12),Database!$A:$AS,MATCH($G$1,Database!$A$1:$AS$1,),))))</f>
        <v/>
      </c>
      <c r="H207" s="13">
        <f>((((VLOOKUP(B207,Database!$A:$AS,MATCH($H$1,Database!$A$1:$AS$1,),))))-(((VLOOKUP(EDATE(B207,-12),Database!$A:$AS,MATCH($H$1,Database!$A$1:$AS$1,),)))))/(((VLOOKUP(EDATE(B207,-12),Database!$A:$AS,MATCH($H$1,Database!$A$1:$AS$1,),))))</f>
        <v/>
      </c>
      <c r="I207" s="13">
        <f>((((VLOOKUP(B207,Database!$A:$AS,MATCH($I$1,Database!$A$1:$AS$1,),))))-(((VLOOKUP(EDATE(B207,-12),Database!$A:$AS,MATCH($I$1,Database!$A$1:$AS$1,),)))))/(((VLOOKUP(EDATE(B207,-12),Database!$A:$AS,MATCH($I$1,Database!$A$1:$AS$1,),))))</f>
        <v/>
      </c>
      <c r="J207" s="13">
        <f>((((VLOOKUP(B207,Database!$A:$AS,MATCH($J$1,Database!$A$1:$AS$1,),))))-(((VLOOKUP(EDATE(B207,-12),Database!$A:$AS,MATCH($J$1,Database!$A$1:$AS$1,),)))))/(((VLOOKUP(EDATE(B207,-12),Database!$A:$AS,MATCH($J$1,Database!$A$1:$AS$1,),))))</f>
        <v/>
      </c>
      <c r="K207" s="13">
        <f>((((VLOOKUP(B207,Database!$A:$AS,MATCH($K$1,Database!$A$1:$AS$1,),))))-(((VLOOKUP(EDATE(B207,-12),Database!$A:$AS,MATCH($K$1,Database!$A$1:$AS$1,),)))))/(((VLOOKUP(EDATE(B207,-12),Database!$A:$AS,MATCH($K$1,Database!$A$1:$AS$1,),))))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((((VLOOKUP(B207,Database!$A:$AS,MATCH($O$1,Database!$A$1:$AS$1,),))))-(((VLOOKUP(EDATE(B207,-12),Database!$A:$AS,MATCH($O$1,Database!$A$1:$AS$1,),)))))/(((VLOOKUP(EDATE(B207,-12),Database!$A:$AS,MATCH($O$1,Database!$A$1:$AS$1,),))))</f>
        <v/>
      </c>
      <c r="P207" s="13">
        <f>((((VLOOKUP(B207,Database!$A:$AS,MATCH($P$1,Database!$A$1:$AS$1,),))))-(((VLOOKUP(EDATE(B207,-12),Database!$A:$AS,MATCH($P$1,Database!$A$1:$AS$1,),)))))/(((VLOOKUP(EDATE(B207,-12),Database!$A:$AS,MATCH($P$1,Database!$A$1:$AS$1,),))))</f>
        <v/>
      </c>
      <c r="Q207" s="13">
        <f>((((VLOOKUP(B207,Database!$A:$AS,MATCH($Q$1,Database!$A$1:$AS$1,),))))-(((VLOOKUP(EDATE(B207,-12),Database!$A:$AS,MATCH($Q$1,Database!$A$1:$AS$1,),)))))/(((VLOOKUP(EDATE(B207,-12),Database!$A:$AS,MATCH($Q$1,Database!$A$1:$AS$1,),))))</f>
        <v/>
      </c>
      <c r="R207" s="13">
        <f>((((VLOOKUP(B207,Database!$A:$AS,MATCH($R$1,Database!$A$1:$AS$1,),))))-(((VLOOKUP(EDATE(B207,-12),Database!$A:$AS,MATCH($R$1,Database!$A$1:$AS$1,),)))))/(((VLOOKUP(EDATE(B207,-12),Database!$A:$AS,MATCH($R$1,Database!$A$1:$AS$1,),))))</f>
        <v/>
      </c>
      <c r="S207" s="13">
        <f>((((VLOOKUP(B207,Database!$A:$AS,MATCH($S$1,Database!$A$1:$AS$1,),))))-(((VLOOKUP(EDATE(B207,-12),Database!$A:$AS,MATCH($S$1,Database!$A$1:$AS$1,),)))))/(((VLOOKUP(EDATE(B207,-12),Database!$A:$AS,MATCH($S$1,Database!$A$1:$AS$1,),))))</f>
        <v/>
      </c>
      <c r="T207" s="13">
        <f>((((VLOOKUP(B207,Database!$A:$AS,MATCH($T$1,Database!$A$1:$AS$1,),))))-(((VLOOKUP(EDATE(B207,-12),Database!$A:$AS,MATCH($T$1,Database!$A$1:$AS$1,),)))))/(((VLOOKUP(EDATE(B207,-12),Database!$A:$AS,MATCH($T$1,Database!$A$1:$AS$1,),))))</f>
        <v/>
      </c>
      <c r="U207" s="13">
        <f>((((VLOOKUP(B207,Database!$A:$AS,MATCH($U$1,Database!$A$1:$AS$1,),))))-(((VLOOKUP(EDATE(B207,-12),Database!$A:$AS,MATCH($U$1,Database!$A$1:$AS$1,),)))))/(((VLOOKUP(EDATE(B207,-12),Database!$A:$AS,MATCH($U$1,Database!$A$1:$AS$1,),))))</f>
        <v/>
      </c>
      <c r="V207" s="13">
        <f>((((VLOOKUP(B207,Database!$A:$AS,MATCH($V$1,Database!$A$1:$AS$1,),))))-(((VLOOKUP(EDATE(B207,-12),Database!$A:$AS,MATCH($V$1,Database!$A$1:$AS$1,),)))))/(((VLOOKUP(EDATE(B207,-12),Database!$A:$AS,MATCH($V$1,Database!$A$1:$AS$1,),))))</f>
        <v/>
      </c>
    </row>
    <row r="208" customFormat="1" s="94">
      <c r="A208" s="44" t="n"/>
      <c r="B208" s="85" t="n">
        <v>38473</v>
      </c>
      <c r="C208" s="13">
        <f>((((VLOOKUP(B208,Database!$A:$AS,MATCH($C$1,Database!$A$1:$AS$1,),))))-(((VLOOKUP(EDATE(B208,-12),Database!$A:$AS,MATCH($C$1,Database!$A$1:$AS$1,),)))))/(((VLOOKUP(EDATE(B208,-12),Database!$A:$AS,MATCH($C$1,Database!$A$1:$AS$1,),))))</f>
        <v/>
      </c>
      <c r="D208" s="13">
        <f>((((VLOOKUP(B208,Database!$A:$AS,MATCH($D$1,Database!$A$1:$AS$1,),))))-(((VLOOKUP(EDATE(B208,-12),Database!$A:$AS,MATCH($D$1,Database!$A$1:$AS$1,),)))))/(((VLOOKUP(EDATE(B208,-12),Database!$A:$AS,MATCH($D$1,Database!$A$1:$AS$1,),))))</f>
        <v/>
      </c>
      <c r="E208" s="13">
        <f>((((VLOOKUP(B208,Database!$A:$AS,MATCH($E$1,Database!$A$1:$AS$1,),))))-(((VLOOKUP(EDATE(B208,-12),Database!$A:$AS,MATCH($E$1,Database!$A$1:$AS$1,),)))))/(((VLOOKUP(EDATE(B208,-12),Database!$A:$AS,MATCH($E$1,Database!$A$1:$AS$1,),))))</f>
        <v/>
      </c>
      <c r="F208" s="13">
        <f>((((VLOOKUP(B208,Database!$A:$AS,MATCH($F$1,Database!$A$1:$AS$1,),))))-(((VLOOKUP(EDATE(B208,-12),Database!$A:$AS,MATCH($F$1,Database!$A$1:$AS$1,),)))))/(((VLOOKUP(EDATE(B208,-12),Database!$A:$AS,MATCH($F$1,Database!$A$1:$AS$1,),))))</f>
        <v/>
      </c>
      <c r="G208" s="13">
        <f>((((VLOOKUP(B208,Database!$A:$AS,MATCH($G$1,Database!$A$1:$AS$1,),))))-(((VLOOKUP(EDATE(B208,-12),Database!$A:$AS,MATCH($G$1,Database!$A$1:$AS$1,),)))))/(((VLOOKUP(EDATE(B208,-12),Database!$A:$AS,MATCH($G$1,Database!$A$1:$AS$1,),))))</f>
        <v/>
      </c>
      <c r="H208" s="13">
        <f>((((VLOOKUP(B208,Database!$A:$AS,MATCH($H$1,Database!$A$1:$AS$1,),))))-(((VLOOKUP(EDATE(B208,-12),Database!$A:$AS,MATCH($H$1,Database!$A$1:$AS$1,),)))))/(((VLOOKUP(EDATE(B208,-12),Database!$A:$AS,MATCH($H$1,Database!$A$1:$AS$1,),))))</f>
        <v/>
      </c>
      <c r="I208" s="13">
        <f>((((VLOOKUP(B208,Database!$A:$AS,MATCH($I$1,Database!$A$1:$AS$1,),))))-(((VLOOKUP(EDATE(B208,-12),Database!$A:$AS,MATCH($I$1,Database!$A$1:$AS$1,),)))))/(((VLOOKUP(EDATE(B208,-12),Database!$A:$AS,MATCH($I$1,Database!$A$1:$AS$1,),))))</f>
        <v/>
      </c>
      <c r="J208" s="13">
        <f>((((VLOOKUP(B208,Database!$A:$AS,MATCH($J$1,Database!$A$1:$AS$1,),))))-(((VLOOKUP(EDATE(B208,-12),Database!$A:$AS,MATCH($J$1,Database!$A$1:$AS$1,),)))))/(((VLOOKUP(EDATE(B208,-12),Database!$A:$AS,MATCH($J$1,Database!$A$1:$AS$1,),))))</f>
        <v/>
      </c>
      <c r="K208" s="13">
        <f>((((VLOOKUP(B208,Database!$A:$AS,MATCH($K$1,Database!$A$1:$AS$1,),))))-(((VLOOKUP(EDATE(B208,-12),Database!$A:$AS,MATCH($K$1,Database!$A$1:$AS$1,),)))))/(((VLOOKUP(EDATE(B208,-12),Database!$A:$AS,MATCH($K$1,Database!$A$1:$AS$1,),))))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((((VLOOKUP(B208,Database!$A:$AS,MATCH($O$1,Database!$A$1:$AS$1,),))))-(((VLOOKUP(EDATE(B208,-12),Database!$A:$AS,MATCH($O$1,Database!$A$1:$AS$1,),)))))/(((VLOOKUP(EDATE(B208,-12),Database!$A:$AS,MATCH($O$1,Database!$A$1:$AS$1,),))))</f>
        <v/>
      </c>
      <c r="P208" s="13">
        <f>((((VLOOKUP(B208,Database!$A:$AS,MATCH($P$1,Database!$A$1:$AS$1,),))))-(((VLOOKUP(EDATE(B208,-12),Database!$A:$AS,MATCH($P$1,Database!$A$1:$AS$1,),)))))/(((VLOOKUP(EDATE(B208,-12),Database!$A:$AS,MATCH($P$1,Database!$A$1:$AS$1,),))))</f>
        <v/>
      </c>
      <c r="Q208" s="13">
        <f>((((VLOOKUP(B208,Database!$A:$AS,MATCH($Q$1,Database!$A$1:$AS$1,),))))-(((VLOOKUP(EDATE(B208,-12),Database!$A:$AS,MATCH($Q$1,Database!$A$1:$AS$1,),)))))/(((VLOOKUP(EDATE(B208,-12),Database!$A:$AS,MATCH($Q$1,Database!$A$1:$AS$1,),))))</f>
        <v/>
      </c>
      <c r="R208" s="13">
        <f>((((VLOOKUP(B208,Database!$A:$AS,MATCH($R$1,Database!$A$1:$AS$1,),))))-(((VLOOKUP(EDATE(B208,-12),Database!$A:$AS,MATCH($R$1,Database!$A$1:$AS$1,),)))))/(((VLOOKUP(EDATE(B208,-12),Database!$A:$AS,MATCH($R$1,Database!$A$1:$AS$1,),))))</f>
        <v/>
      </c>
      <c r="S208" s="13">
        <f>((((VLOOKUP(B208,Database!$A:$AS,MATCH($S$1,Database!$A$1:$AS$1,),))))-(((VLOOKUP(EDATE(B208,-12),Database!$A:$AS,MATCH($S$1,Database!$A$1:$AS$1,),)))))/(((VLOOKUP(EDATE(B208,-12),Database!$A:$AS,MATCH($S$1,Database!$A$1:$AS$1,),))))</f>
        <v/>
      </c>
      <c r="T208" s="13">
        <f>((((VLOOKUP(B208,Database!$A:$AS,MATCH($T$1,Database!$A$1:$AS$1,),))))-(((VLOOKUP(EDATE(B208,-12),Database!$A:$AS,MATCH($T$1,Database!$A$1:$AS$1,),)))))/(((VLOOKUP(EDATE(B208,-12),Database!$A:$AS,MATCH($T$1,Database!$A$1:$AS$1,),))))</f>
        <v/>
      </c>
      <c r="U208" s="13">
        <f>((((VLOOKUP(B208,Database!$A:$AS,MATCH($U$1,Database!$A$1:$AS$1,),))))-(((VLOOKUP(EDATE(B208,-12),Database!$A:$AS,MATCH($U$1,Database!$A$1:$AS$1,),)))))/(((VLOOKUP(EDATE(B208,-12),Database!$A:$AS,MATCH($U$1,Database!$A$1:$AS$1,),))))</f>
        <v/>
      </c>
      <c r="V208" s="13">
        <f>((((VLOOKUP(B208,Database!$A:$AS,MATCH($V$1,Database!$A$1:$AS$1,),))))-(((VLOOKUP(EDATE(B208,-12),Database!$A:$AS,MATCH($V$1,Database!$A$1:$AS$1,),)))))/(((VLOOKUP(EDATE(B208,-12),Database!$A:$AS,MATCH($V$1,Database!$A$1:$AS$1,),))))</f>
        <v/>
      </c>
    </row>
    <row r="209" customFormat="1" s="94">
      <c r="A209" s="44" t="n"/>
      <c r="B209" s="85" t="n">
        <v>38504</v>
      </c>
      <c r="C209" s="13">
        <f>((((VLOOKUP(B209,Database!$A:$AS,MATCH($C$1,Database!$A$1:$AS$1,),))))-(((VLOOKUP(EDATE(B209,-12),Database!$A:$AS,MATCH($C$1,Database!$A$1:$AS$1,),)))))/(((VLOOKUP(EDATE(B209,-12),Database!$A:$AS,MATCH($C$1,Database!$A$1:$AS$1,),))))</f>
        <v/>
      </c>
      <c r="D209" s="13">
        <f>((((VLOOKUP(B209,Database!$A:$AS,MATCH($D$1,Database!$A$1:$AS$1,),))))-(((VLOOKUP(EDATE(B209,-12),Database!$A:$AS,MATCH($D$1,Database!$A$1:$AS$1,),)))))/(((VLOOKUP(EDATE(B209,-12),Database!$A:$AS,MATCH($D$1,Database!$A$1:$AS$1,),))))</f>
        <v/>
      </c>
      <c r="E209" s="13">
        <f>((((VLOOKUP(B209,Database!$A:$AS,MATCH($E$1,Database!$A$1:$AS$1,),))))-(((VLOOKUP(EDATE(B209,-12),Database!$A:$AS,MATCH($E$1,Database!$A$1:$AS$1,),)))))/(((VLOOKUP(EDATE(B209,-12),Database!$A:$AS,MATCH($E$1,Database!$A$1:$AS$1,),))))</f>
        <v/>
      </c>
      <c r="F209" s="13">
        <f>((((VLOOKUP(B209,Database!$A:$AS,MATCH($F$1,Database!$A$1:$AS$1,),))))-(((VLOOKUP(EDATE(B209,-12),Database!$A:$AS,MATCH($F$1,Database!$A$1:$AS$1,),)))))/(((VLOOKUP(EDATE(B209,-12),Database!$A:$AS,MATCH($F$1,Database!$A$1:$AS$1,),))))</f>
        <v/>
      </c>
      <c r="G209" s="13">
        <f>((((VLOOKUP(B209,Database!$A:$AS,MATCH($G$1,Database!$A$1:$AS$1,),))))-(((VLOOKUP(EDATE(B209,-12),Database!$A:$AS,MATCH($G$1,Database!$A$1:$AS$1,),)))))/(((VLOOKUP(EDATE(B209,-12),Database!$A:$AS,MATCH($G$1,Database!$A$1:$AS$1,),))))</f>
        <v/>
      </c>
      <c r="H209" s="13">
        <f>((((VLOOKUP(B209,Database!$A:$AS,MATCH($H$1,Database!$A$1:$AS$1,),))))-(((VLOOKUP(EDATE(B209,-12),Database!$A:$AS,MATCH($H$1,Database!$A$1:$AS$1,),)))))/(((VLOOKUP(EDATE(B209,-12),Database!$A:$AS,MATCH($H$1,Database!$A$1:$AS$1,),))))</f>
        <v/>
      </c>
      <c r="I209" s="13">
        <f>((((VLOOKUP(B209,Database!$A:$AS,MATCH($I$1,Database!$A$1:$AS$1,),))))-(((VLOOKUP(EDATE(B209,-12),Database!$A:$AS,MATCH($I$1,Database!$A$1:$AS$1,),)))))/(((VLOOKUP(EDATE(B209,-12),Database!$A:$AS,MATCH($I$1,Database!$A$1:$AS$1,),))))</f>
        <v/>
      </c>
      <c r="J209" s="13">
        <f>((((VLOOKUP(B209,Database!$A:$AS,MATCH($J$1,Database!$A$1:$AS$1,),))))-(((VLOOKUP(EDATE(B209,-12),Database!$A:$AS,MATCH($J$1,Database!$A$1:$AS$1,),)))))/(((VLOOKUP(EDATE(B209,-12),Database!$A:$AS,MATCH($J$1,Database!$A$1:$AS$1,),))))</f>
        <v/>
      </c>
      <c r="K209" s="13">
        <f>((((VLOOKUP(B209,Database!$A:$AS,MATCH($K$1,Database!$A$1:$AS$1,),))))-(((VLOOKUP(EDATE(B209,-12),Database!$A:$AS,MATCH($K$1,Database!$A$1:$AS$1,),)))))/(((VLOOKUP(EDATE(B209,-12),Database!$A:$AS,MATCH($K$1,Database!$A$1:$AS$1,),))))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((((VLOOKUP(B209,Database!$A:$AS,MATCH($O$1,Database!$A$1:$AS$1,),))))-(((VLOOKUP(EDATE(B209,-12),Database!$A:$AS,MATCH($O$1,Database!$A$1:$AS$1,),)))))/(((VLOOKUP(EDATE(B209,-12),Database!$A:$AS,MATCH($O$1,Database!$A$1:$AS$1,),))))</f>
        <v/>
      </c>
      <c r="P209" s="13">
        <f>((((VLOOKUP(B209,Database!$A:$AS,MATCH($P$1,Database!$A$1:$AS$1,),))))-(((VLOOKUP(EDATE(B209,-12),Database!$A:$AS,MATCH($P$1,Database!$A$1:$AS$1,),)))))/(((VLOOKUP(EDATE(B209,-12),Database!$A:$AS,MATCH($P$1,Database!$A$1:$AS$1,),))))</f>
        <v/>
      </c>
      <c r="Q209" s="13">
        <f>((((VLOOKUP(B209,Database!$A:$AS,MATCH($Q$1,Database!$A$1:$AS$1,),))))-(((VLOOKUP(EDATE(B209,-12),Database!$A:$AS,MATCH($Q$1,Database!$A$1:$AS$1,),)))))/(((VLOOKUP(EDATE(B209,-12),Database!$A:$AS,MATCH($Q$1,Database!$A$1:$AS$1,),))))</f>
        <v/>
      </c>
      <c r="R209" s="13">
        <f>((((VLOOKUP(B209,Database!$A:$AS,MATCH($R$1,Database!$A$1:$AS$1,),))))-(((VLOOKUP(EDATE(B209,-12),Database!$A:$AS,MATCH($R$1,Database!$A$1:$AS$1,),)))))/(((VLOOKUP(EDATE(B209,-12),Database!$A:$AS,MATCH($R$1,Database!$A$1:$AS$1,),))))</f>
        <v/>
      </c>
      <c r="S209" s="13">
        <f>((((VLOOKUP(B209,Database!$A:$AS,MATCH($S$1,Database!$A$1:$AS$1,),))))-(((VLOOKUP(EDATE(B209,-12),Database!$A:$AS,MATCH($S$1,Database!$A$1:$AS$1,),)))))/(((VLOOKUP(EDATE(B209,-12),Database!$A:$AS,MATCH($S$1,Database!$A$1:$AS$1,),))))</f>
        <v/>
      </c>
      <c r="T209" s="13">
        <f>((((VLOOKUP(B209,Database!$A:$AS,MATCH($T$1,Database!$A$1:$AS$1,),))))-(((VLOOKUP(EDATE(B209,-12),Database!$A:$AS,MATCH($T$1,Database!$A$1:$AS$1,),)))))/(((VLOOKUP(EDATE(B209,-12),Database!$A:$AS,MATCH($T$1,Database!$A$1:$AS$1,),))))</f>
        <v/>
      </c>
      <c r="U209" s="13">
        <f>((((VLOOKUP(B209,Database!$A:$AS,MATCH($U$1,Database!$A$1:$AS$1,),))))-(((VLOOKUP(EDATE(B209,-12),Database!$A:$AS,MATCH($U$1,Database!$A$1:$AS$1,),)))))/(((VLOOKUP(EDATE(B209,-12),Database!$A:$AS,MATCH($U$1,Database!$A$1:$AS$1,),))))</f>
        <v/>
      </c>
      <c r="V209" s="13">
        <f>((((VLOOKUP(B209,Database!$A:$AS,MATCH($V$1,Database!$A$1:$AS$1,),))))-(((VLOOKUP(EDATE(B209,-12),Database!$A:$AS,MATCH($V$1,Database!$A$1:$AS$1,),)))))/(((VLOOKUP(EDATE(B209,-12),Database!$A:$AS,MATCH($V$1,Database!$A$1:$AS$1,),))))</f>
        <v/>
      </c>
    </row>
    <row r="210" customFormat="1" s="94">
      <c r="A210" s="44" t="n"/>
      <c r="B210" s="85" t="n">
        <v>38534</v>
      </c>
      <c r="C210" s="13">
        <f>((((VLOOKUP(B210,Database!$A:$AS,MATCH($C$1,Database!$A$1:$AS$1,),))))-(((VLOOKUP(EDATE(B210,-12),Database!$A:$AS,MATCH($C$1,Database!$A$1:$AS$1,),)))))/(((VLOOKUP(EDATE(B210,-12),Database!$A:$AS,MATCH($C$1,Database!$A$1:$AS$1,),))))</f>
        <v/>
      </c>
      <c r="D210" s="13">
        <f>((((VLOOKUP(B210,Database!$A:$AS,MATCH($D$1,Database!$A$1:$AS$1,),))))-(((VLOOKUP(EDATE(B210,-12),Database!$A:$AS,MATCH($D$1,Database!$A$1:$AS$1,),)))))/(((VLOOKUP(EDATE(B210,-12),Database!$A:$AS,MATCH($D$1,Database!$A$1:$AS$1,),))))</f>
        <v/>
      </c>
      <c r="E210" s="13">
        <f>((((VLOOKUP(B210,Database!$A:$AS,MATCH($E$1,Database!$A$1:$AS$1,),))))-(((VLOOKUP(EDATE(B210,-12),Database!$A:$AS,MATCH($E$1,Database!$A$1:$AS$1,),)))))/(((VLOOKUP(EDATE(B210,-12),Database!$A:$AS,MATCH($E$1,Database!$A$1:$AS$1,),))))</f>
        <v/>
      </c>
      <c r="F210" s="13">
        <f>((((VLOOKUP(B210,Database!$A:$AS,MATCH($F$1,Database!$A$1:$AS$1,),))))-(((VLOOKUP(EDATE(B210,-12),Database!$A:$AS,MATCH($F$1,Database!$A$1:$AS$1,),)))))/(((VLOOKUP(EDATE(B210,-12),Database!$A:$AS,MATCH($F$1,Database!$A$1:$AS$1,),))))</f>
        <v/>
      </c>
      <c r="G210" s="13">
        <f>((((VLOOKUP(B210,Database!$A:$AS,MATCH($G$1,Database!$A$1:$AS$1,),))))-(((VLOOKUP(EDATE(B210,-12),Database!$A:$AS,MATCH($G$1,Database!$A$1:$AS$1,),)))))/(((VLOOKUP(EDATE(B210,-12),Database!$A:$AS,MATCH($G$1,Database!$A$1:$AS$1,),))))</f>
        <v/>
      </c>
      <c r="H210" s="13">
        <f>((((VLOOKUP(B210,Database!$A:$AS,MATCH($H$1,Database!$A$1:$AS$1,),))))-(((VLOOKUP(EDATE(B210,-12),Database!$A:$AS,MATCH($H$1,Database!$A$1:$AS$1,),)))))/(((VLOOKUP(EDATE(B210,-12),Database!$A:$AS,MATCH($H$1,Database!$A$1:$AS$1,),))))</f>
        <v/>
      </c>
      <c r="I210" s="13">
        <f>((((VLOOKUP(B210,Database!$A:$AS,MATCH($I$1,Database!$A$1:$AS$1,),))))-(((VLOOKUP(EDATE(B210,-12),Database!$A:$AS,MATCH($I$1,Database!$A$1:$AS$1,),)))))/(((VLOOKUP(EDATE(B210,-12),Database!$A:$AS,MATCH($I$1,Database!$A$1:$AS$1,),))))</f>
        <v/>
      </c>
      <c r="J210" s="13">
        <f>((((VLOOKUP(B210,Database!$A:$AS,MATCH($J$1,Database!$A$1:$AS$1,),))))-(((VLOOKUP(EDATE(B210,-12),Database!$A:$AS,MATCH($J$1,Database!$A$1:$AS$1,),)))))/(((VLOOKUP(EDATE(B210,-12),Database!$A:$AS,MATCH($J$1,Database!$A$1:$AS$1,),))))</f>
        <v/>
      </c>
      <c r="K210" s="13">
        <f>((((VLOOKUP(B210,Database!$A:$AS,MATCH($K$1,Database!$A$1:$AS$1,),))))-(((VLOOKUP(EDATE(B210,-12),Database!$A:$AS,MATCH($K$1,Database!$A$1:$AS$1,),)))))/(((VLOOKUP(EDATE(B210,-12),Database!$A:$AS,MATCH($K$1,Database!$A$1:$AS$1,),))))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((((VLOOKUP(B210,Database!$A:$AS,MATCH($O$1,Database!$A$1:$AS$1,),))))-(((VLOOKUP(EDATE(B210,-12),Database!$A:$AS,MATCH($O$1,Database!$A$1:$AS$1,),)))))/(((VLOOKUP(EDATE(B210,-12),Database!$A:$AS,MATCH($O$1,Database!$A$1:$AS$1,),))))</f>
        <v/>
      </c>
      <c r="P210" s="13">
        <f>((((VLOOKUP(B210,Database!$A:$AS,MATCH($P$1,Database!$A$1:$AS$1,),))))-(((VLOOKUP(EDATE(B210,-12),Database!$A:$AS,MATCH($P$1,Database!$A$1:$AS$1,),)))))/(((VLOOKUP(EDATE(B210,-12),Database!$A:$AS,MATCH($P$1,Database!$A$1:$AS$1,),))))</f>
        <v/>
      </c>
      <c r="Q210" s="13">
        <f>((((VLOOKUP(B210,Database!$A:$AS,MATCH($Q$1,Database!$A$1:$AS$1,),))))-(((VLOOKUP(EDATE(B210,-12),Database!$A:$AS,MATCH($Q$1,Database!$A$1:$AS$1,),)))))/(((VLOOKUP(EDATE(B210,-12),Database!$A:$AS,MATCH($Q$1,Database!$A$1:$AS$1,),))))</f>
        <v/>
      </c>
      <c r="R210" s="13">
        <f>((((VLOOKUP(B210,Database!$A:$AS,MATCH($R$1,Database!$A$1:$AS$1,),))))-(((VLOOKUP(EDATE(B210,-12),Database!$A:$AS,MATCH($R$1,Database!$A$1:$AS$1,),)))))/(((VLOOKUP(EDATE(B210,-12),Database!$A:$AS,MATCH($R$1,Database!$A$1:$AS$1,),))))</f>
        <v/>
      </c>
      <c r="S210" s="13">
        <f>((((VLOOKUP(B210,Database!$A:$AS,MATCH($S$1,Database!$A$1:$AS$1,),))))-(((VLOOKUP(EDATE(B210,-12),Database!$A:$AS,MATCH($S$1,Database!$A$1:$AS$1,),)))))/(((VLOOKUP(EDATE(B210,-12),Database!$A:$AS,MATCH($S$1,Database!$A$1:$AS$1,),))))</f>
        <v/>
      </c>
      <c r="T210" s="13">
        <f>((((VLOOKUP(B210,Database!$A:$AS,MATCH($T$1,Database!$A$1:$AS$1,),))))-(((VLOOKUP(EDATE(B210,-12),Database!$A:$AS,MATCH($T$1,Database!$A$1:$AS$1,),)))))/(((VLOOKUP(EDATE(B210,-12),Database!$A:$AS,MATCH($T$1,Database!$A$1:$AS$1,),))))</f>
        <v/>
      </c>
      <c r="U210" s="13">
        <f>((((VLOOKUP(B210,Database!$A:$AS,MATCH($U$1,Database!$A$1:$AS$1,),))))-(((VLOOKUP(EDATE(B210,-12),Database!$A:$AS,MATCH($U$1,Database!$A$1:$AS$1,),)))))/(((VLOOKUP(EDATE(B210,-12),Database!$A:$AS,MATCH($U$1,Database!$A$1:$AS$1,),))))</f>
        <v/>
      </c>
      <c r="V210" s="13">
        <f>((((VLOOKUP(B210,Database!$A:$AS,MATCH($V$1,Database!$A$1:$AS$1,),))))-(((VLOOKUP(EDATE(B210,-12),Database!$A:$AS,MATCH($V$1,Database!$A$1:$AS$1,),)))))/(((VLOOKUP(EDATE(B210,-12),Database!$A:$AS,MATCH($V$1,Database!$A$1:$AS$1,),))))</f>
        <v/>
      </c>
    </row>
    <row r="211" customFormat="1" s="94">
      <c r="A211" s="44" t="n"/>
      <c r="B211" s="85" t="n">
        <v>38565</v>
      </c>
      <c r="C211" s="13">
        <f>((((VLOOKUP(B211,Database!$A:$AS,MATCH($C$1,Database!$A$1:$AS$1,),))))-(((VLOOKUP(EDATE(B211,-12),Database!$A:$AS,MATCH($C$1,Database!$A$1:$AS$1,),)))))/(((VLOOKUP(EDATE(B211,-12),Database!$A:$AS,MATCH($C$1,Database!$A$1:$AS$1,),))))</f>
        <v/>
      </c>
      <c r="D211" s="13">
        <f>((((VLOOKUP(B211,Database!$A:$AS,MATCH($D$1,Database!$A$1:$AS$1,),))))-(((VLOOKUP(EDATE(B211,-12),Database!$A:$AS,MATCH($D$1,Database!$A$1:$AS$1,),)))))/(((VLOOKUP(EDATE(B211,-12),Database!$A:$AS,MATCH($D$1,Database!$A$1:$AS$1,),))))</f>
        <v/>
      </c>
      <c r="E211" s="13">
        <f>((((VLOOKUP(B211,Database!$A:$AS,MATCH($E$1,Database!$A$1:$AS$1,),))))-(((VLOOKUP(EDATE(B211,-12),Database!$A:$AS,MATCH($E$1,Database!$A$1:$AS$1,),)))))/(((VLOOKUP(EDATE(B211,-12),Database!$A:$AS,MATCH($E$1,Database!$A$1:$AS$1,),))))</f>
        <v/>
      </c>
      <c r="F211" s="13">
        <f>((((VLOOKUP(B211,Database!$A:$AS,MATCH($F$1,Database!$A$1:$AS$1,),))))-(((VLOOKUP(EDATE(B211,-12),Database!$A:$AS,MATCH($F$1,Database!$A$1:$AS$1,),)))))/(((VLOOKUP(EDATE(B211,-12),Database!$A:$AS,MATCH($F$1,Database!$A$1:$AS$1,),))))</f>
        <v/>
      </c>
      <c r="G211" s="13">
        <f>((((VLOOKUP(B211,Database!$A:$AS,MATCH($G$1,Database!$A$1:$AS$1,),))))-(((VLOOKUP(EDATE(B211,-12),Database!$A:$AS,MATCH($G$1,Database!$A$1:$AS$1,),)))))/(((VLOOKUP(EDATE(B211,-12),Database!$A:$AS,MATCH($G$1,Database!$A$1:$AS$1,),))))</f>
        <v/>
      </c>
      <c r="H211" s="13">
        <f>((((VLOOKUP(B211,Database!$A:$AS,MATCH($H$1,Database!$A$1:$AS$1,),))))-(((VLOOKUP(EDATE(B211,-12),Database!$A:$AS,MATCH($H$1,Database!$A$1:$AS$1,),)))))/(((VLOOKUP(EDATE(B211,-12),Database!$A:$AS,MATCH($H$1,Database!$A$1:$AS$1,),))))</f>
        <v/>
      </c>
      <c r="I211" s="13">
        <f>((((VLOOKUP(B211,Database!$A:$AS,MATCH($I$1,Database!$A$1:$AS$1,),))))-(((VLOOKUP(EDATE(B211,-12),Database!$A:$AS,MATCH($I$1,Database!$A$1:$AS$1,),)))))/(((VLOOKUP(EDATE(B211,-12),Database!$A:$AS,MATCH($I$1,Database!$A$1:$AS$1,),))))</f>
        <v/>
      </c>
      <c r="J211" s="13">
        <f>((((VLOOKUP(B211,Database!$A:$AS,MATCH($J$1,Database!$A$1:$AS$1,),))))-(((VLOOKUP(EDATE(B211,-12),Database!$A:$AS,MATCH($J$1,Database!$A$1:$AS$1,),)))))/(((VLOOKUP(EDATE(B211,-12),Database!$A:$AS,MATCH($J$1,Database!$A$1:$AS$1,),))))</f>
        <v/>
      </c>
      <c r="K211" s="13">
        <f>((((VLOOKUP(B211,Database!$A:$AS,MATCH($K$1,Database!$A$1:$AS$1,),))))-(((VLOOKUP(EDATE(B211,-12),Database!$A:$AS,MATCH($K$1,Database!$A$1:$AS$1,),)))))/(((VLOOKUP(EDATE(B211,-12),Database!$A:$AS,MATCH($K$1,Database!$A$1:$AS$1,),))))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((((VLOOKUP(B211,Database!$A:$AS,MATCH($O$1,Database!$A$1:$AS$1,),))))-(((VLOOKUP(EDATE(B211,-12),Database!$A:$AS,MATCH($O$1,Database!$A$1:$AS$1,),)))))/(((VLOOKUP(EDATE(B211,-12),Database!$A:$AS,MATCH($O$1,Database!$A$1:$AS$1,),))))</f>
        <v/>
      </c>
      <c r="P211" s="13">
        <f>((((VLOOKUP(B211,Database!$A:$AS,MATCH($P$1,Database!$A$1:$AS$1,),))))-(((VLOOKUP(EDATE(B211,-12),Database!$A:$AS,MATCH($P$1,Database!$A$1:$AS$1,),)))))/(((VLOOKUP(EDATE(B211,-12),Database!$A:$AS,MATCH($P$1,Database!$A$1:$AS$1,),))))</f>
        <v/>
      </c>
      <c r="Q211" s="13">
        <f>((((VLOOKUP(B211,Database!$A:$AS,MATCH($Q$1,Database!$A$1:$AS$1,),))))-(((VLOOKUP(EDATE(B211,-12),Database!$A:$AS,MATCH($Q$1,Database!$A$1:$AS$1,),)))))/(((VLOOKUP(EDATE(B211,-12),Database!$A:$AS,MATCH($Q$1,Database!$A$1:$AS$1,),))))</f>
        <v/>
      </c>
      <c r="R211" s="13">
        <f>((((VLOOKUP(B211,Database!$A:$AS,MATCH($R$1,Database!$A$1:$AS$1,),))))-(((VLOOKUP(EDATE(B211,-12),Database!$A:$AS,MATCH($R$1,Database!$A$1:$AS$1,),)))))/(((VLOOKUP(EDATE(B211,-12),Database!$A:$AS,MATCH($R$1,Database!$A$1:$AS$1,),))))</f>
        <v/>
      </c>
      <c r="S211" s="13">
        <f>((((VLOOKUP(B211,Database!$A:$AS,MATCH($S$1,Database!$A$1:$AS$1,),))))-(((VLOOKUP(EDATE(B211,-12),Database!$A:$AS,MATCH($S$1,Database!$A$1:$AS$1,),)))))/(((VLOOKUP(EDATE(B211,-12),Database!$A:$AS,MATCH($S$1,Database!$A$1:$AS$1,),))))</f>
        <v/>
      </c>
      <c r="T211" s="13">
        <f>((((VLOOKUP(B211,Database!$A:$AS,MATCH($T$1,Database!$A$1:$AS$1,),))))-(((VLOOKUP(EDATE(B211,-12),Database!$A:$AS,MATCH($T$1,Database!$A$1:$AS$1,),)))))/(((VLOOKUP(EDATE(B211,-12),Database!$A:$AS,MATCH($T$1,Database!$A$1:$AS$1,),))))</f>
        <v/>
      </c>
      <c r="U211" s="13">
        <f>((((VLOOKUP(B211,Database!$A:$AS,MATCH($U$1,Database!$A$1:$AS$1,),))))-(((VLOOKUP(EDATE(B211,-12),Database!$A:$AS,MATCH($U$1,Database!$A$1:$AS$1,),)))))/(((VLOOKUP(EDATE(B211,-12),Database!$A:$AS,MATCH($U$1,Database!$A$1:$AS$1,),))))</f>
        <v/>
      </c>
      <c r="V211" s="13">
        <f>((((VLOOKUP(B211,Database!$A:$AS,MATCH($V$1,Database!$A$1:$AS$1,),))))-(((VLOOKUP(EDATE(B211,-12),Database!$A:$AS,MATCH($V$1,Database!$A$1:$AS$1,),)))))/(((VLOOKUP(EDATE(B211,-12),Database!$A:$AS,MATCH($V$1,Database!$A$1:$AS$1,),))))</f>
        <v/>
      </c>
    </row>
    <row r="212" customFormat="1" s="94">
      <c r="A212" s="44" t="n"/>
      <c r="B212" s="85" t="n">
        <v>38596</v>
      </c>
      <c r="C212" s="13">
        <f>((((VLOOKUP(B212,Database!$A:$AS,MATCH($C$1,Database!$A$1:$AS$1,),))))-(((VLOOKUP(EDATE(B212,-12),Database!$A:$AS,MATCH($C$1,Database!$A$1:$AS$1,),)))))/(((VLOOKUP(EDATE(B212,-12),Database!$A:$AS,MATCH($C$1,Database!$A$1:$AS$1,),))))</f>
        <v/>
      </c>
      <c r="D212" s="13">
        <f>((((VLOOKUP(B212,Database!$A:$AS,MATCH($D$1,Database!$A$1:$AS$1,),))))-(((VLOOKUP(EDATE(B212,-12),Database!$A:$AS,MATCH($D$1,Database!$A$1:$AS$1,),)))))/(((VLOOKUP(EDATE(B212,-12),Database!$A:$AS,MATCH($D$1,Database!$A$1:$AS$1,),))))</f>
        <v/>
      </c>
      <c r="E212" s="13">
        <f>((((VLOOKUP(B212,Database!$A:$AS,MATCH($E$1,Database!$A$1:$AS$1,),))))-(((VLOOKUP(EDATE(B212,-12),Database!$A:$AS,MATCH($E$1,Database!$A$1:$AS$1,),)))))/(((VLOOKUP(EDATE(B212,-12),Database!$A:$AS,MATCH($E$1,Database!$A$1:$AS$1,),))))</f>
        <v/>
      </c>
      <c r="F212" s="13">
        <f>((((VLOOKUP(B212,Database!$A:$AS,MATCH($F$1,Database!$A$1:$AS$1,),))))-(((VLOOKUP(EDATE(B212,-12),Database!$A:$AS,MATCH($F$1,Database!$A$1:$AS$1,),)))))/(((VLOOKUP(EDATE(B212,-12),Database!$A:$AS,MATCH($F$1,Database!$A$1:$AS$1,),))))</f>
        <v/>
      </c>
      <c r="G212" s="13">
        <f>((((VLOOKUP(B212,Database!$A:$AS,MATCH($G$1,Database!$A$1:$AS$1,),))))-(((VLOOKUP(EDATE(B212,-12),Database!$A:$AS,MATCH($G$1,Database!$A$1:$AS$1,),)))))/(((VLOOKUP(EDATE(B212,-12),Database!$A:$AS,MATCH($G$1,Database!$A$1:$AS$1,),))))</f>
        <v/>
      </c>
      <c r="H212" s="13">
        <f>((((VLOOKUP(B212,Database!$A:$AS,MATCH($H$1,Database!$A$1:$AS$1,),))))-(((VLOOKUP(EDATE(B212,-12),Database!$A:$AS,MATCH($H$1,Database!$A$1:$AS$1,),)))))/(((VLOOKUP(EDATE(B212,-12),Database!$A:$AS,MATCH($H$1,Database!$A$1:$AS$1,),))))</f>
        <v/>
      </c>
      <c r="I212" s="13">
        <f>((((VLOOKUP(B212,Database!$A:$AS,MATCH($I$1,Database!$A$1:$AS$1,),))))-(((VLOOKUP(EDATE(B212,-12),Database!$A:$AS,MATCH($I$1,Database!$A$1:$AS$1,),)))))/(((VLOOKUP(EDATE(B212,-12),Database!$A:$AS,MATCH($I$1,Database!$A$1:$AS$1,),))))</f>
        <v/>
      </c>
      <c r="J212" s="13">
        <f>((((VLOOKUP(B212,Database!$A:$AS,MATCH($J$1,Database!$A$1:$AS$1,),))))-(((VLOOKUP(EDATE(B212,-12),Database!$A:$AS,MATCH($J$1,Database!$A$1:$AS$1,),)))))/(((VLOOKUP(EDATE(B212,-12),Database!$A:$AS,MATCH($J$1,Database!$A$1:$AS$1,),))))</f>
        <v/>
      </c>
      <c r="K212" s="13">
        <f>((((VLOOKUP(B212,Database!$A:$AS,MATCH($K$1,Database!$A$1:$AS$1,),))))-(((VLOOKUP(EDATE(B212,-12),Database!$A:$AS,MATCH($K$1,Database!$A$1:$AS$1,),)))))/(((VLOOKUP(EDATE(B212,-12),Database!$A:$AS,MATCH($K$1,Database!$A$1:$AS$1,),))))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((((VLOOKUP(B212,Database!$A:$AS,MATCH($O$1,Database!$A$1:$AS$1,),))))-(((VLOOKUP(EDATE(B212,-12),Database!$A:$AS,MATCH($O$1,Database!$A$1:$AS$1,),)))))/(((VLOOKUP(EDATE(B212,-12),Database!$A:$AS,MATCH($O$1,Database!$A$1:$AS$1,),))))</f>
        <v/>
      </c>
      <c r="P212" s="13">
        <f>((((VLOOKUP(B212,Database!$A:$AS,MATCH($P$1,Database!$A$1:$AS$1,),))))-(((VLOOKUP(EDATE(B212,-12),Database!$A:$AS,MATCH($P$1,Database!$A$1:$AS$1,),)))))/(((VLOOKUP(EDATE(B212,-12),Database!$A:$AS,MATCH($P$1,Database!$A$1:$AS$1,),))))</f>
        <v/>
      </c>
      <c r="Q212" s="13">
        <f>((((VLOOKUP(B212,Database!$A:$AS,MATCH($Q$1,Database!$A$1:$AS$1,),))))-(((VLOOKUP(EDATE(B212,-12),Database!$A:$AS,MATCH($Q$1,Database!$A$1:$AS$1,),)))))/(((VLOOKUP(EDATE(B212,-12),Database!$A:$AS,MATCH($Q$1,Database!$A$1:$AS$1,),))))</f>
        <v/>
      </c>
      <c r="R212" s="13">
        <f>((((VLOOKUP(B212,Database!$A:$AS,MATCH($R$1,Database!$A$1:$AS$1,),))))-(((VLOOKUP(EDATE(B212,-12),Database!$A:$AS,MATCH($R$1,Database!$A$1:$AS$1,),)))))/(((VLOOKUP(EDATE(B212,-12),Database!$A:$AS,MATCH($R$1,Database!$A$1:$AS$1,),))))</f>
        <v/>
      </c>
      <c r="S212" s="13">
        <f>((((VLOOKUP(B212,Database!$A:$AS,MATCH($S$1,Database!$A$1:$AS$1,),))))-(((VLOOKUP(EDATE(B212,-12),Database!$A:$AS,MATCH($S$1,Database!$A$1:$AS$1,),)))))/(((VLOOKUP(EDATE(B212,-12),Database!$A:$AS,MATCH($S$1,Database!$A$1:$AS$1,),))))</f>
        <v/>
      </c>
      <c r="T212" s="13">
        <f>((((VLOOKUP(B212,Database!$A:$AS,MATCH($T$1,Database!$A$1:$AS$1,),))))-(((VLOOKUP(EDATE(B212,-12),Database!$A:$AS,MATCH($T$1,Database!$A$1:$AS$1,),)))))/(((VLOOKUP(EDATE(B212,-12),Database!$A:$AS,MATCH($T$1,Database!$A$1:$AS$1,),))))</f>
        <v/>
      </c>
      <c r="U212" s="13">
        <f>((((VLOOKUP(B212,Database!$A:$AS,MATCH($U$1,Database!$A$1:$AS$1,),))))-(((VLOOKUP(EDATE(B212,-12),Database!$A:$AS,MATCH($U$1,Database!$A$1:$AS$1,),)))))/(((VLOOKUP(EDATE(B212,-12),Database!$A:$AS,MATCH($U$1,Database!$A$1:$AS$1,),))))</f>
        <v/>
      </c>
      <c r="V212" s="13">
        <f>((((VLOOKUP(B212,Database!$A:$AS,MATCH($V$1,Database!$A$1:$AS$1,),))))-(((VLOOKUP(EDATE(B212,-12),Database!$A:$AS,MATCH($V$1,Database!$A$1:$AS$1,),)))))/(((VLOOKUP(EDATE(B212,-12),Database!$A:$AS,MATCH($V$1,Database!$A$1:$AS$1,),))))</f>
        <v/>
      </c>
    </row>
    <row r="213" customFormat="1" s="94">
      <c r="A213" s="44" t="n"/>
      <c r="B213" s="85" t="n">
        <v>38626</v>
      </c>
      <c r="C213" s="13">
        <f>((((VLOOKUP(B213,Database!$A:$AS,MATCH($C$1,Database!$A$1:$AS$1,),))))-(((VLOOKUP(EDATE(B213,-12),Database!$A:$AS,MATCH($C$1,Database!$A$1:$AS$1,),)))))/(((VLOOKUP(EDATE(B213,-12),Database!$A:$AS,MATCH($C$1,Database!$A$1:$AS$1,),))))</f>
        <v/>
      </c>
      <c r="D213" s="13">
        <f>((((VLOOKUP(B213,Database!$A:$AS,MATCH($D$1,Database!$A$1:$AS$1,),))))-(((VLOOKUP(EDATE(B213,-12),Database!$A:$AS,MATCH($D$1,Database!$A$1:$AS$1,),)))))/(((VLOOKUP(EDATE(B213,-12),Database!$A:$AS,MATCH($D$1,Database!$A$1:$AS$1,),))))</f>
        <v/>
      </c>
      <c r="E213" s="13">
        <f>((((VLOOKUP(B213,Database!$A:$AS,MATCH($E$1,Database!$A$1:$AS$1,),))))-(((VLOOKUP(EDATE(B213,-12),Database!$A:$AS,MATCH($E$1,Database!$A$1:$AS$1,),)))))/(((VLOOKUP(EDATE(B213,-12),Database!$A:$AS,MATCH($E$1,Database!$A$1:$AS$1,),))))</f>
        <v/>
      </c>
      <c r="F213" s="13">
        <f>((((VLOOKUP(B213,Database!$A:$AS,MATCH($F$1,Database!$A$1:$AS$1,),))))-(((VLOOKUP(EDATE(B213,-12),Database!$A:$AS,MATCH($F$1,Database!$A$1:$AS$1,),)))))/(((VLOOKUP(EDATE(B213,-12),Database!$A:$AS,MATCH($F$1,Database!$A$1:$AS$1,),))))</f>
        <v/>
      </c>
      <c r="G213" s="13">
        <f>((((VLOOKUP(B213,Database!$A:$AS,MATCH($G$1,Database!$A$1:$AS$1,),))))-(((VLOOKUP(EDATE(B213,-12),Database!$A:$AS,MATCH($G$1,Database!$A$1:$AS$1,),)))))/(((VLOOKUP(EDATE(B213,-12),Database!$A:$AS,MATCH($G$1,Database!$A$1:$AS$1,),))))</f>
        <v/>
      </c>
      <c r="H213" s="13">
        <f>((((VLOOKUP(B213,Database!$A:$AS,MATCH($H$1,Database!$A$1:$AS$1,),))))-(((VLOOKUP(EDATE(B213,-12),Database!$A:$AS,MATCH($H$1,Database!$A$1:$AS$1,),)))))/(((VLOOKUP(EDATE(B213,-12),Database!$A:$AS,MATCH($H$1,Database!$A$1:$AS$1,),))))</f>
        <v/>
      </c>
      <c r="I213" s="13">
        <f>((((VLOOKUP(B213,Database!$A:$AS,MATCH($I$1,Database!$A$1:$AS$1,),))))-(((VLOOKUP(EDATE(B213,-12),Database!$A:$AS,MATCH($I$1,Database!$A$1:$AS$1,),)))))/(((VLOOKUP(EDATE(B213,-12),Database!$A:$AS,MATCH($I$1,Database!$A$1:$AS$1,),))))</f>
        <v/>
      </c>
      <c r="J213" s="13">
        <f>((((VLOOKUP(B213,Database!$A:$AS,MATCH($J$1,Database!$A$1:$AS$1,),))))-(((VLOOKUP(EDATE(B213,-12),Database!$A:$AS,MATCH($J$1,Database!$A$1:$AS$1,),)))))/(((VLOOKUP(EDATE(B213,-12),Database!$A:$AS,MATCH($J$1,Database!$A$1:$AS$1,),))))</f>
        <v/>
      </c>
      <c r="K213" s="13">
        <f>((((VLOOKUP(B213,Database!$A:$AS,MATCH($K$1,Database!$A$1:$AS$1,),))))-(((VLOOKUP(EDATE(B213,-12),Database!$A:$AS,MATCH($K$1,Database!$A$1:$AS$1,),)))))/(((VLOOKUP(EDATE(B213,-12),Database!$A:$AS,MATCH($K$1,Database!$A$1:$AS$1,),))))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((((VLOOKUP(B213,Database!$A:$AS,MATCH($O$1,Database!$A$1:$AS$1,),))))-(((VLOOKUP(EDATE(B213,-12),Database!$A:$AS,MATCH($O$1,Database!$A$1:$AS$1,),)))))/(((VLOOKUP(EDATE(B213,-12),Database!$A:$AS,MATCH($O$1,Database!$A$1:$AS$1,),))))</f>
        <v/>
      </c>
      <c r="P213" s="13">
        <f>((((VLOOKUP(B213,Database!$A:$AS,MATCH($P$1,Database!$A$1:$AS$1,),))))-(((VLOOKUP(EDATE(B213,-12),Database!$A:$AS,MATCH($P$1,Database!$A$1:$AS$1,),)))))/(((VLOOKUP(EDATE(B213,-12),Database!$A:$AS,MATCH($P$1,Database!$A$1:$AS$1,),))))</f>
        <v/>
      </c>
      <c r="Q213" s="13">
        <f>((((VLOOKUP(B213,Database!$A:$AS,MATCH($Q$1,Database!$A$1:$AS$1,),))))-(((VLOOKUP(EDATE(B213,-12),Database!$A:$AS,MATCH($Q$1,Database!$A$1:$AS$1,),)))))/(((VLOOKUP(EDATE(B213,-12),Database!$A:$AS,MATCH($Q$1,Database!$A$1:$AS$1,),))))</f>
        <v/>
      </c>
      <c r="R213" s="13">
        <f>((((VLOOKUP(B213,Database!$A:$AS,MATCH($R$1,Database!$A$1:$AS$1,),))))-(((VLOOKUP(EDATE(B213,-12),Database!$A:$AS,MATCH($R$1,Database!$A$1:$AS$1,),)))))/(((VLOOKUP(EDATE(B213,-12),Database!$A:$AS,MATCH($R$1,Database!$A$1:$AS$1,),))))</f>
        <v/>
      </c>
      <c r="S213" s="13">
        <f>((((VLOOKUP(B213,Database!$A:$AS,MATCH($S$1,Database!$A$1:$AS$1,),))))-(((VLOOKUP(EDATE(B213,-12),Database!$A:$AS,MATCH($S$1,Database!$A$1:$AS$1,),)))))/(((VLOOKUP(EDATE(B213,-12),Database!$A:$AS,MATCH($S$1,Database!$A$1:$AS$1,),))))</f>
        <v/>
      </c>
      <c r="T213" s="13">
        <f>((((VLOOKUP(B213,Database!$A:$AS,MATCH($T$1,Database!$A$1:$AS$1,),))))-(((VLOOKUP(EDATE(B213,-12),Database!$A:$AS,MATCH($T$1,Database!$A$1:$AS$1,),)))))/(((VLOOKUP(EDATE(B213,-12),Database!$A:$AS,MATCH($T$1,Database!$A$1:$AS$1,),))))</f>
        <v/>
      </c>
      <c r="U213" s="13">
        <f>((((VLOOKUP(B213,Database!$A:$AS,MATCH($U$1,Database!$A$1:$AS$1,),))))-(((VLOOKUP(EDATE(B213,-12),Database!$A:$AS,MATCH($U$1,Database!$A$1:$AS$1,),)))))/(((VLOOKUP(EDATE(B213,-12),Database!$A:$AS,MATCH($U$1,Database!$A$1:$AS$1,),))))</f>
        <v/>
      </c>
      <c r="V213" s="13">
        <f>((((VLOOKUP(B213,Database!$A:$AS,MATCH($V$1,Database!$A$1:$AS$1,),))))-(((VLOOKUP(EDATE(B213,-12),Database!$A:$AS,MATCH($V$1,Database!$A$1:$AS$1,),)))))/(((VLOOKUP(EDATE(B213,-12),Database!$A:$AS,MATCH($V$1,Database!$A$1:$AS$1,),))))</f>
        <v/>
      </c>
    </row>
    <row r="214" customFormat="1" s="94">
      <c r="A214" s="44" t="n"/>
      <c r="B214" s="85" t="n">
        <v>38657</v>
      </c>
      <c r="C214" s="13">
        <f>((((VLOOKUP(B214,Database!$A:$AS,MATCH($C$1,Database!$A$1:$AS$1,),))))-(((VLOOKUP(EDATE(B214,-12),Database!$A:$AS,MATCH($C$1,Database!$A$1:$AS$1,),)))))/(((VLOOKUP(EDATE(B214,-12),Database!$A:$AS,MATCH($C$1,Database!$A$1:$AS$1,),))))</f>
        <v/>
      </c>
      <c r="D214" s="13">
        <f>((((VLOOKUP(B214,Database!$A:$AS,MATCH($D$1,Database!$A$1:$AS$1,),))))-(((VLOOKUP(EDATE(B214,-12),Database!$A:$AS,MATCH($D$1,Database!$A$1:$AS$1,),)))))/(((VLOOKUP(EDATE(B214,-12),Database!$A:$AS,MATCH($D$1,Database!$A$1:$AS$1,),))))</f>
        <v/>
      </c>
      <c r="E214" s="13">
        <f>((((VLOOKUP(B214,Database!$A:$AS,MATCH($E$1,Database!$A$1:$AS$1,),))))-(((VLOOKUP(EDATE(B214,-12),Database!$A:$AS,MATCH($E$1,Database!$A$1:$AS$1,),)))))/(((VLOOKUP(EDATE(B214,-12),Database!$A:$AS,MATCH($E$1,Database!$A$1:$AS$1,),))))</f>
        <v/>
      </c>
      <c r="F214" s="13">
        <f>((((VLOOKUP(B214,Database!$A:$AS,MATCH($F$1,Database!$A$1:$AS$1,),))))-(((VLOOKUP(EDATE(B214,-12),Database!$A:$AS,MATCH($F$1,Database!$A$1:$AS$1,),)))))/(((VLOOKUP(EDATE(B214,-12),Database!$A:$AS,MATCH($F$1,Database!$A$1:$AS$1,),))))</f>
        <v/>
      </c>
      <c r="G214" s="13">
        <f>((((VLOOKUP(B214,Database!$A:$AS,MATCH($G$1,Database!$A$1:$AS$1,),))))-(((VLOOKUP(EDATE(B214,-12),Database!$A:$AS,MATCH($G$1,Database!$A$1:$AS$1,),)))))/(((VLOOKUP(EDATE(B214,-12),Database!$A:$AS,MATCH($G$1,Database!$A$1:$AS$1,),))))</f>
        <v/>
      </c>
      <c r="H214" s="13">
        <f>((((VLOOKUP(B214,Database!$A:$AS,MATCH($H$1,Database!$A$1:$AS$1,),))))-(((VLOOKUP(EDATE(B214,-12),Database!$A:$AS,MATCH($H$1,Database!$A$1:$AS$1,),)))))/(((VLOOKUP(EDATE(B214,-12),Database!$A:$AS,MATCH($H$1,Database!$A$1:$AS$1,),))))</f>
        <v/>
      </c>
      <c r="I214" s="13">
        <f>((((VLOOKUP(B214,Database!$A:$AS,MATCH($I$1,Database!$A$1:$AS$1,),))))-(((VLOOKUP(EDATE(B214,-12),Database!$A:$AS,MATCH($I$1,Database!$A$1:$AS$1,),)))))/(((VLOOKUP(EDATE(B214,-12),Database!$A:$AS,MATCH($I$1,Database!$A$1:$AS$1,),))))</f>
        <v/>
      </c>
      <c r="J214" s="13">
        <f>((((VLOOKUP(B214,Database!$A:$AS,MATCH($J$1,Database!$A$1:$AS$1,),))))-(((VLOOKUP(EDATE(B214,-12),Database!$A:$AS,MATCH($J$1,Database!$A$1:$AS$1,),)))))/(((VLOOKUP(EDATE(B214,-12),Database!$A:$AS,MATCH($J$1,Database!$A$1:$AS$1,),))))</f>
        <v/>
      </c>
      <c r="K214" s="13">
        <f>((((VLOOKUP(B214,Database!$A:$AS,MATCH($K$1,Database!$A$1:$AS$1,),))))-(((VLOOKUP(EDATE(B214,-12),Database!$A:$AS,MATCH($K$1,Database!$A$1:$AS$1,),)))))/(((VLOOKUP(EDATE(B214,-12),Database!$A:$AS,MATCH($K$1,Database!$A$1:$AS$1,),))))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((((VLOOKUP(B214,Database!$A:$AS,MATCH($O$1,Database!$A$1:$AS$1,),))))-(((VLOOKUP(EDATE(B214,-12),Database!$A:$AS,MATCH($O$1,Database!$A$1:$AS$1,),)))))/(((VLOOKUP(EDATE(B214,-12),Database!$A:$AS,MATCH($O$1,Database!$A$1:$AS$1,),))))</f>
        <v/>
      </c>
      <c r="P214" s="13">
        <f>((((VLOOKUP(B214,Database!$A:$AS,MATCH($P$1,Database!$A$1:$AS$1,),))))-(((VLOOKUP(EDATE(B214,-12),Database!$A:$AS,MATCH($P$1,Database!$A$1:$AS$1,),)))))/(((VLOOKUP(EDATE(B214,-12),Database!$A:$AS,MATCH($P$1,Database!$A$1:$AS$1,),))))</f>
        <v/>
      </c>
      <c r="Q214" s="13">
        <f>((((VLOOKUP(B214,Database!$A:$AS,MATCH($Q$1,Database!$A$1:$AS$1,),))))-(((VLOOKUP(EDATE(B214,-12),Database!$A:$AS,MATCH($Q$1,Database!$A$1:$AS$1,),)))))/(((VLOOKUP(EDATE(B214,-12),Database!$A:$AS,MATCH($Q$1,Database!$A$1:$AS$1,),))))</f>
        <v/>
      </c>
      <c r="R214" s="13">
        <f>((((VLOOKUP(B214,Database!$A:$AS,MATCH($R$1,Database!$A$1:$AS$1,),))))-(((VLOOKUP(EDATE(B214,-12),Database!$A:$AS,MATCH($R$1,Database!$A$1:$AS$1,),)))))/(((VLOOKUP(EDATE(B214,-12),Database!$A:$AS,MATCH($R$1,Database!$A$1:$AS$1,),))))</f>
        <v/>
      </c>
      <c r="S214" s="13">
        <f>((((VLOOKUP(B214,Database!$A:$AS,MATCH($S$1,Database!$A$1:$AS$1,),))))-(((VLOOKUP(EDATE(B214,-12),Database!$A:$AS,MATCH($S$1,Database!$A$1:$AS$1,),)))))/(((VLOOKUP(EDATE(B214,-12),Database!$A:$AS,MATCH($S$1,Database!$A$1:$AS$1,),))))</f>
        <v/>
      </c>
      <c r="T214" s="13">
        <f>((((VLOOKUP(B214,Database!$A:$AS,MATCH($T$1,Database!$A$1:$AS$1,),))))-(((VLOOKUP(EDATE(B214,-12),Database!$A:$AS,MATCH($T$1,Database!$A$1:$AS$1,),)))))/(((VLOOKUP(EDATE(B214,-12),Database!$A:$AS,MATCH($T$1,Database!$A$1:$AS$1,),))))</f>
        <v/>
      </c>
      <c r="U214" s="13">
        <f>((((VLOOKUP(B214,Database!$A:$AS,MATCH($U$1,Database!$A$1:$AS$1,),))))-(((VLOOKUP(EDATE(B214,-12),Database!$A:$AS,MATCH($U$1,Database!$A$1:$AS$1,),)))))/(((VLOOKUP(EDATE(B214,-12),Database!$A:$AS,MATCH($U$1,Database!$A$1:$AS$1,),))))</f>
        <v/>
      </c>
      <c r="V214" s="13">
        <f>((((VLOOKUP(B214,Database!$A:$AS,MATCH($V$1,Database!$A$1:$AS$1,),))))-(((VLOOKUP(EDATE(B214,-12),Database!$A:$AS,MATCH($V$1,Database!$A$1:$AS$1,),)))))/(((VLOOKUP(EDATE(B214,-12),Database!$A:$AS,MATCH($V$1,Database!$A$1:$AS$1,),))))</f>
        <v/>
      </c>
    </row>
    <row r="215" customFormat="1" s="94">
      <c r="A215" s="44" t="n"/>
      <c r="B215" s="85" t="n">
        <v>38687</v>
      </c>
      <c r="C215" s="13">
        <f>((((VLOOKUP(B215,Database!$A:$AS,MATCH($C$1,Database!$A$1:$AS$1,),))))-(((VLOOKUP(EDATE(B215,-12),Database!$A:$AS,MATCH($C$1,Database!$A$1:$AS$1,),)))))/(((VLOOKUP(EDATE(B215,-12),Database!$A:$AS,MATCH($C$1,Database!$A$1:$AS$1,),))))</f>
        <v/>
      </c>
      <c r="D215" s="13">
        <f>((((VLOOKUP(B215,Database!$A:$AS,MATCH($D$1,Database!$A$1:$AS$1,),))))-(((VLOOKUP(EDATE(B215,-12),Database!$A:$AS,MATCH($D$1,Database!$A$1:$AS$1,),)))))/(((VLOOKUP(EDATE(B215,-12),Database!$A:$AS,MATCH($D$1,Database!$A$1:$AS$1,),))))</f>
        <v/>
      </c>
      <c r="E215" s="13">
        <f>((((VLOOKUP(B215,Database!$A:$AS,MATCH($E$1,Database!$A$1:$AS$1,),))))-(((VLOOKUP(EDATE(B215,-12),Database!$A:$AS,MATCH($E$1,Database!$A$1:$AS$1,),)))))/(((VLOOKUP(EDATE(B215,-12),Database!$A:$AS,MATCH($E$1,Database!$A$1:$AS$1,),))))</f>
        <v/>
      </c>
      <c r="F215" s="13">
        <f>((((VLOOKUP(B215,Database!$A:$AS,MATCH($F$1,Database!$A$1:$AS$1,),))))-(((VLOOKUP(EDATE(B215,-12),Database!$A:$AS,MATCH($F$1,Database!$A$1:$AS$1,),)))))/(((VLOOKUP(EDATE(B215,-12),Database!$A:$AS,MATCH($F$1,Database!$A$1:$AS$1,),))))</f>
        <v/>
      </c>
      <c r="G215" s="13">
        <f>((((VLOOKUP(B215,Database!$A:$AS,MATCH($G$1,Database!$A$1:$AS$1,),))))-(((VLOOKUP(EDATE(B215,-12),Database!$A:$AS,MATCH($G$1,Database!$A$1:$AS$1,),)))))/(((VLOOKUP(EDATE(B215,-12),Database!$A:$AS,MATCH($G$1,Database!$A$1:$AS$1,),))))</f>
        <v/>
      </c>
      <c r="H215" s="13">
        <f>((((VLOOKUP(B215,Database!$A:$AS,MATCH($H$1,Database!$A$1:$AS$1,),))))-(((VLOOKUP(EDATE(B215,-12),Database!$A:$AS,MATCH($H$1,Database!$A$1:$AS$1,),)))))/(((VLOOKUP(EDATE(B215,-12),Database!$A:$AS,MATCH($H$1,Database!$A$1:$AS$1,),))))</f>
        <v/>
      </c>
      <c r="I215" s="13">
        <f>((((VLOOKUP(B215,Database!$A:$AS,MATCH($I$1,Database!$A$1:$AS$1,),))))-(((VLOOKUP(EDATE(B215,-12),Database!$A:$AS,MATCH($I$1,Database!$A$1:$AS$1,),)))))/(((VLOOKUP(EDATE(B215,-12),Database!$A:$AS,MATCH($I$1,Database!$A$1:$AS$1,),))))</f>
        <v/>
      </c>
      <c r="J215" s="13">
        <f>((((VLOOKUP(B215,Database!$A:$AS,MATCH($J$1,Database!$A$1:$AS$1,),))))-(((VLOOKUP(EDATE(B215,-12),Database!$A:$AS,MATCH($J$1,Database!$A$1:$AS$1,),)))))/(((VLOOKUP(EDATE(B215,-12),Database!$A:$AS,MATCH($J$1,Database!$A$1:$AS$1,),))))</f>
        <v/>
      </c>
      <c r="K215" s="13">
        <f>((((VLOOKUP(B215,Database!$A:$AS,MATCH($K$1,Database!$A$1:$AS$1,),))))-(((VLOOKUP(EDATE(B215,-12),Database!$A:$AS,MATCH($K$1,Database!$A$1:$AS$1,),)))))/(((VLOOKUP(EDATE(B215,-12),Database!$A:$AS,MATCH($K$1,Database!$A$1:$AS$1,),))))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((((VLOOKUP(B215,Database!$A:$AS,MATCH($O$1,Database!$A$1:$AS$1,),))))-(((VLOOKUP(EDATE(B215,-12),Database!$A:$AS,MATCH($O$1,Database!$A$1:$AS$1,),)))))/(((VLOOKUP(EDATE(B215,-12),Database!$A:$AS,MATCH($O$1,Database!$A$1:$AS$1,),))))</f>
        <v/>
      </c>
      <c r="P215" s="13">
        <f>((((VLOOKUP(B215,Database!$A:$AS,MATCH($P$1,Database!$A$1:$AS$1,),))))-(((VLOOKUP(EDATE(B215,-12),Database!$A:$AS,MATCH($P$1,Database!$A$1:$AS$1,),)))))/(((VLOOKUP(EDATE(B215,-12),Database!$A:$AS,MATCH($P$1,Database!$A$1:$AS$1,),))))</f>
        <v/>
      </c>
      <c r="Q215" s="13">
        <f>((((VLOOKUP(B215,Database!$A:$AS,MATCH($Q$1,Database!$A$1:$AS$1,),))))-(((VLOOKUP(EDATE(B215,-12),Database!$A:$AS,MATCH($Q$1,Database!$A$1:$AS$1,),)))))/(((VLOOKUP(EDATE(B215,-12),Database!$A:$AS,MATCH($Q$1,Database!$A$1:$AS$1,),))))</f>
        <v/>
      </c>
      <c r="R215" s="13">
        <f>((((VLOOKUP(B215,Database!$A:$AS,MATCH($R$1,Database!$A$1:$AS$1,),))))-(((VLOOKUP(EDATE(B215,-12),Database!$A:$AS,MATCH($R$1,Database!$A$1:$AS$1,),)))))/(((VLOOKUP(EDATE(B215,-12),Database!$A:$AS,MATCH($R$1,Database!$A$1:$AS$1,),))))</f>
        <v/>
      </c>
      <c r="S215" s="13">
        <f>((((VLOOKUP(B215,Database!$A:$AS,MATCH($S$1,Database!$A$1:$AS$1,),))))-(((VLOOKUP(EDATE(B215,-12),Database!$A:$AS,MATCH($S$1,Database!$A$1:$AS$1,),)))))/(((VLOOKUP(EDATE(B215,-12),Database!$A:$AS,MATCH($S$1,Database!$A$1:$AS$1,),))))</f>
        <v/>
      </c>
      <c r="T215" s="13">
        <f>((((VLOOKUP(B215,Database!$A:$AS,MATCH($T$1,Database!$A$1:$AS$1,),))))-(((VLOOKUP(EDATE(B215,-12),Database!$A:$AS,MATCH($T$1,Database!$A$1:$AS$1,),)))))/(((VLOOKUP(EDATE(B215,-12),Database!$A:$AS,MATCH($T$1,Database!$A$1:$AS$1,),))))</f>
        <v/>
      </c>
      <c r="U215" s="13">
        <f>((((VLOOKUP(B215,Database!$A:$AS,MATCH($U$1,Database!$A$1:$AS$1,),))))-(((VLOOKUP(EDATE(B215,-12),Database!$A:$AS,MATCH($U$1,Database!$A$1:$AS$1,),)))))/(((VLOOKUP(EDATE(B215,-12),Database!$A:$AS,MATCH($U$1,Database!$A$1:$AS$1,),))))</f>
        <v/>
      </c>
      <c r="V215" s="13">
        <f>((((VLOOKUP(B215,Database!$A:$AS,MATCH($V$1,Database!$A$1:$AS$1,),))))-(((VLOOKUP(EDATE(B215,-12),Database!$A:$AS,MATCH($V$1,Database!$A$1:$AS$1,),)))))/(((VLOOKUP(EDATE(B215,-12),Database!$A:$AS,MATCH($V$1,Database!$A$1:$AS$1,),))))</f>
        <v/>
      </c>
    </row>
    <row r="216" customFormat="1" s="94">
      <c r="A216" s="44" t="n"/>
      <c r="B216" s="85" t="n">
        <v>38718</v>
      </c>
      <c r="C216" s="13">
        <f>((((VLOOKUP(B216,Database!$A:$AS,MATCH($C$1,Database!$A$1:$AS$1,),))))-(((VLOOKUP(EDATE(B216,-12),Database!$A:$AS,MATCH($C$1,Database!$A$1:$AS$1,),)))))/(((VLOOKUP(EDATE(B216,-12),Database!$A:$AS,MATCH($C$1,Database!$A$1:$AS$1,),))))</f>
        <v/>
      </c>
      <c r="D216" s="13">
        <f>((((VLOOKUP(B216,Database!$A:$AS,MATCH($D$1,Database!$A$1:$AS$1,),))))-(((VLOOKUP(EDATE(B216,-12),Database!$A:$AS,MATCH($D$1,Database!$A$1:$AS$1,),)))))/(((VLOOKUP(EDATE(B216,-12),Database!$A:$AS,MATCH($D$1,Database!$A$1:$AS$1,),))))</f>
        <v/>
      </c>
      <c r="E216" s="13">
        <f>((((VLOOKUP(B216,Database!$A:$AS,MATCH($E$1,Database!$A$1:$AS$1,),))))-(((VLOOKUP(EDATE(B216,-12),Database!$A:$AS,MATCH($E$1,Database!$A$1:$AS$1,),)))))/(((VLOOKUP(EDATE(B216,-12),Database!$A:$AS,MATCH($E$1,Database!$A$1:$AS$1,),))))</f>
        <v/>
      </c>
      <c r="F216" s="13">
        <f>((((VLOOKUP(B216,Database!$A:$AS,MATCH($F$1,Database!$A$1:$AS$1,),))))-(((VLOOKUP(EDATE(B216,-12),Database!$A:$AS,MATCH($F$1,Database!$A$1:$AS$1,),)))))/(((VLOOKUP(EDATE(B216,-12),Database!$A:$AS,MATCH($F$1,Database!$A$1:$AS$1,),))))</f>
        <v/>
      </c>
      <c r="G216" s="13">
        <f>((((VLOOKUP(B216,Database!$A:$AS,MATCH($G$1,Database!$A$1:$AS$1,),))))-(((VLOOKUP(EDATE(B216,-12),Database!$A:$AS,MATCH($G$1,Database!$A$1:$AS$1,),)))))/(((VLOOKUP(EDATE(B216,-12),Database!$A:$AS,MATCH($G$1,Database!$A$1:$AS$1,),))))</f>
        <v/>
      </c>
      <c r="H216" s="13">
        <f>((((VLOOKUP(B216,Database!$A:$AS,MATCH($H$1,Database!$A$1:$AS$1,),))))-(((VLOOKUP(EDATE(B216,-12),Database!$A:$AS,MATCH($H$1,Database!$A$1:$AS$1,),)))))/(((VLOOKUP(EDATE(B216,-12),Database!$A:$AS,MATCH($H$1,Database!$A$1:$AS$1,),))))</f>
        <v/>
      </c>
      <c r="I216" s="13">
        <f>((((VLOOKUP(B216,Database!$A:$AS,MATCH($I$1,Database!$A$1:$AS$1,),))))-(((VLOOKUP(EDATE(B216,-12),Database!$A:$AS,MATCH($I$1,Database!$A$1:$AS$1,),)))))/(((VLOOKUP(EDATE(B216,-12),Database!$A:$AS,MATCH($I$1,Database!$A$1:$AS$1,),))))</f>
        <v/>
      </c>
      <c r="J216" s="13">
        <f>((((VLOOKUP(B216,Database!$A:$AS,MATCH($J$1,Database!$A$1:$AS$1,),))))-(((VLOOKUP(EDATE(B216,-12),Database!$A:$AS,MATCH($J$1,Database!$A$1:$AS$1,),)))))/(((VLOOKUP(EDATE(B216,-12),Database!$A:$AS,MATCH($J$1,Database!$A$1:$AS$1,),))))</f>
        <v/>
      </c>
      <c r="K216" s="13">
        <f>((((VLOOKUP(B216,Database!$A:$AS,MATCH($K$1,Database!$A$1:$AS$1,),))))-(((VLOOKUP(EDATE(B216,-12),Database!$A:$AS,MATCH($K$1,Database!$A$1:$AS$1,),)))))/(((VLOOKUP(EDATE(B216,-12),Database!$A:$AS,MATCH($K$1,Database!$A$1:$AS$1,),))))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((((VLOOKUP(B216,Database!$A:$AS,MATCH($O$1,Database!$A$1:$AS$1,),))))-(((VLOOKUP(EDATE(B216,-12),Database!$A:$AS,MATCH($O$1,Database!$A$1:$AS$1,),)))))/(((VLOOKUP(EDATE(B216,-12),Database!$A:$AS,MATCH($O$1,Database!$A$1:$AS$1,),))))</f>
        <v/>
      </c>
      <c r="P216" s="13">
        <f>((((VLOOKUP(B216,Database!$A:$AS,MATCH($P$1,Database!$A$1:$AS$1,),))))-(((VLOOKUP(EDATE(B216,-12),Database!$A:$AS,MATCH($P$1,Database!$A$1:$AS$1,),)))))/(((VLOOKUP(EDATE(B216,-12),Database!$A:$AS,MATCH($P$1,Database!$A$1:$AS$1,),))))</f>
        <v/>
      </c>
      <c r="Q216" s="13">
        <f>((((VLOOKUP(B216,Database!$A:$AS,MATCH($Q$1,Database!$A$1:$AS$1,),))))-(((VLOOKUP(EDATE(B216,-12),Database!$A:$AS,MATCH($Q$1,Database!$A$1:$AS$1,),)))))/(((VLOOKUP(EDATE(B216,-12),Database!$A:$AS,MATCH($Q$1,Database!$A$1:$AS$1,),))))</f>
        <v/>
      </c>
      <c r="R216" s="13">
        <f>((((VLOOKUP(B216,Database!$A:$AS,MATCH($R$1,Database!$A$1:$AS$1,),))))-(((VLOOKUP(EDATE(B216,-12),Database!$A:$AS,MATCH($R$1,Database!$A$1:$AS$1,),)))))/(((VLOOKUP(EDATE(B216,-12),Database!$A:$AS,MATCH($R$1,Database!$A$1:$AS$1,),))))</f>
        <v/>
      </c>
      <c r="S216" s="13">
        <f>((((VLOOKUP(B216,Database!$A:$AS,MATCH($S$1,Database!$A$1:$AS$1,),))))-(((VLOOKUP(EDATE(B216,-12),Database!$A:$AS,MATCH($S$1,Database!$A$1:$AS$1,),)))))/(((VLOOKUP(EDATE(B216,-12),Database!$A:$AS,MATCH($S$1,Database!$A$1:$AS$1,),))))</f>
        <v/>
      </c>
      <c r="T216" s="13">
        <f>((((VLOOKUP(B216,Database!$A:$AS,MATCH($T$1,Database!$A$1:$AS$1,),))))-(((VLOOKUP(EDATE(B216,-12),Database!$A:$AS,MATCH($T$1,Database!$A$1:$AS$1,),)))))/(((VLOOKUP(EDATE(B216,-12),Database!$A:$AS,MATCH($T$1,Database!$A$1:$AS$1,),))))</f>
        <v/>
      </c>
      <c r="U216" s="13">
        <f>((((VLOOKUP(B216,Database!$A:$AS,MATCH($U$1,Database!$A$1:$AS$1,),))))-(((VLOOKUP(EDATE(B216,-12),Database!$A:$AS,MATCH($U$1,Database!$A$1:$AS$1,),)))))/(((VLOOKUP(EDATE(B216,-12),Database!$A:$AS,MATCH($U$1,Database!$A$1:$AS$1,),))))</f>
        <v/>
      </c>
      <c r="V216" s="13">
        <f>((((VLOOKUP(B216,Database!$A:$AS,MATCH($V$1,Database!$A$1:$AS$1,),))))-(((VLOOKUP(EDATE(B216,-12),Database!$A:$AS,MATCH($V$1,Database!$A$1:$AS$1,),)))))/(((VLOOKUP(EDATE(B216,-12),Database!$A:$AS,MATCH($V$1,Database!$A$1:$AS$1,),))))</f>
        <v/>
      </c>
    </row>
    <row r="217" customFormat="1" s="94">
      <c r="A217" s="44" t="n"/>
      <c r="B217" s="85" t="n">
        <v>38749</v>
      </c>
      <c r="C217" s="13">
        <f>((((VLOOKUP(B217,Database!$A:$AS,MATCH($C$1,Database!$A$1:$AS$1,),))))-(((VLOOKUP(EDATE(B217,-12),Database!$A:$AS,MATCH($C$1,Database!$A$1:$AS$1,),)))))/(((VLOOKUP(EDATE(B217,-12),Database!$A:$AS,MATCH($C$1,Database!$A$1:$AS$1,),))))</f>
        <v/>
      </c>
      <c r="D217" s="13">
        <f>((((VLOOKUP(B217,Database!$A:$AS,MATCH($D$1,Database!$A$1:$AS$1,),))))-(((VLOOKUP(EDATE(B217,-12),Database!$A:$AS,MATCH($D$1,Database!$A$1:$AS$1,),)))))/(((VLOOKUP(EDATE(B217,-12),Database!$A:$AS,MATCH($D$1,Database!$A$1:$AS$1,),))))</f>
        <v/>
      </c>
      <c r="E217" s="13">
        <f>((((VLOOKUP(B217,Database!$A:$AS,MATCH($E$1,Database!$A$1:$AS$1,),))))-(((VLOOKUP(EDATE(B217,-12),Database!$A:$AS,MATCH($E$1,Database!$A$1:$AS$1,),)))))/(((VLOOKUP(EDATE(B217,-12),Database!$A:$AS,MATCH($E$1,Database!$A$1:$AS$1,),))))</f>
        <v/>
      </c>
      <c r="F217" s="13">
        <f>((((VLOOKUP(B217,Database!$A:$AS,MATCH($F$1,Database!$A$1:$AS$1,),))))-(((VLOOKUP(EDATE(B217,-12),Database!$A:$AS,MATCH($F$1,Database!$A$1:$AS$1,),)))))/(((VLOOKUP(EDATE(B217,-12),Database!$A:$AS,MATCH($F$1,Database!$A$1:$AS$1,),))))</f>
        <v/>
      </c>
      <c r="G217" s="13">
        <f>((((VLOOKUP(B217,Database!$A:$AS,MATCH($G$1,Database!$A$1:$AS$1,),))))-(((VLOOKUP(EDATE(B217,-12),Database!$A:$AS,MATCH($G$1,Database!$A$1:$AS$1,),)))))/(((VLOOKUP(EDATE(B217,-12),Database!$A:$AS,MATCH($G$1,Database!$A$1:$AS$1,),))))</f>
        <v/>
      </c>
      <c r="H217" s="13">
        <f>((((VLOOKUP(B217,Database!$A:$AS,MATCH($H$1,Database!$A$1:$AS$1,),))))-(((VLOOKUP(EDATE(B217,-12),Database!$A:$AS,MATCH($H$1,Database!$A$1:$AS$1,),)))))/(((VLOOKUP(EDATE(B217,-12),Database!$A:$AS,MATCH($H$1,Database!$A$1:$AS$1,),))))</f>
        <v/>
      </c>
      <c r="I217" s="13">
        <f>((((VLOOKUP(B217,Database!$A:$AS,MATCH($I$1,Database!$A$1:$AS$1,),))))-(((VLOOKUP(EDATE(B217,-12),Database!$A:$AS,MATCH($I$1,Database!$A$1:$AS$1,),)))))/(((VLOOKUP(EDATE(B217,-12),Database!$A:$AS,MATCH($I$1,Database!$A$1:$AS$1,),))))</f>
        <v/>
      </c>
      <c r="J217" s="13">
        <f>((((VLOOKUP(B217,Database!$A:$AS,MATCH($J$1,Database!$A$1:$AS$1,),))))-(((VLOOKUP(EDATE(B217,-12),Database!$A:$AS,MATCH($J$1,Database!$A$1:$AS$1,),)))))/(((VLOOKUP(EDATE(B217,-12),Database!$A:$AS,MATCH($J$1,Database!$A$1:$AS$1,),))))</f>
        <v/>
      </c>
      <c r="K217" s="13">
        <f>((((VLOOKUP(B217,Database!$A:$AS,MATCH($K$1,Database!$A$1:$AS$1,),))))-(((VLOOKUP(EDATE(B217,-12),Database!$A:$AS,MATCH($K$1,Database!$A$1:$AS$1,),)))))/(((VLOOKUP(EDATE(B217,-12),Database!$A:$AS,MATCH($K$1,Database!$A$1:$AS$1,),))))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((((VLOOKUP(B217,Database!$A:$AS,MATCH($O$1,Database!$A$1:$AS$1,),))))-(((VLOOKUP(EDATE(B217,-12),Database!$A:$AS,MATCH($O$1,Database!$A$1:$AS$1,),)))))/(((VLOOKUP(EDATE(B217,-12),Database!$A:$AS,MATCH($O$1,Database!$A$1:$AS$1,),))))</f>
        <v/>
      </c>
      <c r="P217" s="13">
        <f>((((VLOOKUP(B217,Database!$A:$AS,MATCH($P$1,Database!$A$1:$AS$1,),))))-(((VLOOKUP(EDATE(B217,-12),Database!$A:$AS,MATCH($P$1,Database!$A$1:$AS$1,),)))))/(((VLOOKUP(EDATE(B217,-12),Database!$A:$AS,MATCH($P$1,Database!$A$1:$AS$1,),))))</f>
        <v/>
      </c>
      <c r="Q217" s="13">
        <f>((((VLOOKUP(B217,Database!$A:$AS,MATCH($Q$1,Database!$A$1:$AS$1,),))))-(((VLOOKUP(EDATE(B217,-12),Database!$A:$AS,MATCH($Q$1,Database!$A$1:$AS$1,),)))))/(((VLOOKUP(EDATE(B217,-12),Database!$A:$AS,MATCH($Q$1,Database!$A$1:$AS$1,),))))</f>
        <v/>
      </c>
      <c r="R217" s="13">
        <f>((((VLOOKUP(B217,Database!$A:$AS,MATCH($R$1,Database!$A$1:$AS$1,),))))-(((VLOOKUP(EDATE(B217,-12),Database!$A:$AS,MATCH($R$1,Database!$A$1:$AS$1,),)))))/(((VLOOKUP(EDATE(B217,-12),Database!$A:$AS,MATCH($R$1,Database!$A$1:$AS$1,),))))</f>
        <v/>
      </c>
      <c r="S217" s="13">
        <f>((((VLOOKUP(B217,Database!$A:$AS,MATCH($S$1,Database!$A$1:$AS$1,),))))-(((VLOOKUP(EDATE(B217,-12),Database!$A:$AS,MATCH($S$1,Database!$A$1:$AS$1,),)))))/(((VLOOKUP(EDATE(B217,-12),Database!$A:$AS,MATCH($S$1,Database!$A$1:$AS$1,),))))</f>
        <v/>
      </c>
      <c r="T217" s="13">
        <f>((((VLOOKUP(B217,Database!$A:$AS,MATCH($T$1,Database!$A$1:$AS$1,),))))-(((VLOOKUP(EDATE(B217,-12),Database!$A:$AS,MATCH($T$1,Database!$A$1:$AS$1,),)))))/(((VLOOKUP(EDATE(B217,-12),Database!$A:$AS,MATCH($T$1,Database!$A$1:$AS$1,),))))</f>
        <v/>
      </c>
      <c r="U217" s="13">
        <f>((((VLOOKUP(B217,Database!$A:$AS,MATCH($U$1,Database!$A$1:$AS$1,),))))-(((VLOOKUP(EDATE(B217,-12),Database!$A:$AS,MATCH($U$1,Database!$A$1:$AS$1,),)))))/(((VLOOKUP(EDATE(B217,-12),Database!$A:$AS,MATCH($U$1,Database!$A$1:$AS$1,),))))</f>
        <v/>
      </c>
      <c r="V217" s="13">
        <f>((((VLOOKUP(B217,Database!$A:$AS,MATCH($V$1,Database!$A$1:$AS$1,),))))-(((VLOOKUP(EDATE(B217,-12),Database!$A:$AS,MATCH($V$1,Database!$A$1:$AS$1,),)))))/(((VLOOKUP(EDATE(B217,-12),Database!$A:$AS,MATCH($V$1,Database!$A$1:$AS$1,),))))</f>
        <v/>
      </c>
    </row>
    <row r="218" customFormat="1" s="94">
      <c r="A218" s="44" t="n"/>
      <c r="B218" s="85" t="n">
        <v>38777</v>
      </c>
      <c r="C218" s="13">
        <f>((((VLOOKUP(B218,Database!$A:$AS,MATCH($C$1,Database!$A$1:$AS$1,),))))-(((VLOOKUP(EDATE(B218,-12),Database!$A:$AS,MATCH($C$1,Database!$A$1:$AS$1,),)))))/(((VLOOKUP(EDATE(B218,-12),Database!$A:$AS,MATCH($C$1,Database!$A$1:$AS$1,),))))</f>
        <v/>
      </c>
      <c r="D218" s="13">
        <f>((((VLOOKUP(B218,Database!$A:$AS,MATCH($D$1,Database!$A$1:$AS$1,),))))-(((VLOOKUP(EDATE(B218,-12),Database!$A:$AS,MATCH($D$1,Database!$A$1:$AS$1,),)))))/(((VLOOKUP(EDATE(B218,-12),Database!$A:$AS,MATCH($D$1,Database!$A$1:$AS$1,),))))</f>
        <v/>
      </c>
      <c r="E218" s="13">
        <f>((((VLOOKUP(B218,Database!$A:$AS,MATCH($E$1,Database!$A$1:$AS$1,),))))-(((VLOOKUP(EDATE(B218,-12),Database!$A:$AS,MATCH($E$1,Database!$A$1:$AS$1,),)))))/(((VLOOKUP(EDATE(B218,-12),Database!$A:$AS,MATCH($E$1,Database!$A$1:$AS$1,),))))</f>
        <v/>
      </c>
      <c r="F218" s="13">
        <f>((((VLOOKUP(B218,Database!$A:$AS,MATCH($F$1,Database!$A$1:$AS$1,),))))-(((VLOOKUP(EDATE(B218,-12),Database!$A:$AS,MATCH($F$1,Database!$A$1:$AS$1,),)))))/(((VLOOKUP(EDATE(B218,-12),Database!$A:$AS,MATCH($F$1,Database!$A$1:$AS$1,),))))</f>
        <v/>
      </c>
      <c r="G218" s="13">
        <f>((((VLOOKUP(B218,Database!$A:$AS,MATCH($G$1,Database!$A$1:$AS$1,),))))-(((VLOOKUP(EDATE(B218,-12),Database!$A:$AS,MATCH($G$1,Database!$A$1:$AS$1,),)))))/(((VLOOKUP(EDATE(B218,-12),Database!$A:$AS,MATCH($G$1,Database!$A$1:$AS$1,),))))</f>
        <v/>
      </c>
      <c r="H218" s="13">
        <f>((((VLOOKUP(B218,Database!$A:$AS,MATCH($H$1,Database!$A$1:$AS$1,),))))-(((VLOOKUP(EDATE(B218,-12),Database!$A:$AS,MATCH($H$1,Database!$A$1:$AS$1,),)))))/(((VLOOKUP(EDATE(B218,-12),Database!$A:$AS,MATCH($H$1,Database!$A$1:$AS$1,),))))</f>
        <v/>
      </c>
      <c r="I218" s="13">
        <f>((((VLOOKUP(B218,Database!$A:$AS,MATCH($I$1,Database!$A$1:$AS$1,),))))-(((VLOOKUP(EDATE(B218,-12),Database!$A:$AS,MATCH($I$1,Database!$A$1:$AS$1,),)))))/(((VLOOKUP(EDATE(B218,-12),Database!$A:$AS,MATCH($I$1,Database!$A$1:$AS$1,),))))</f>
        <v/>
      </c>
      <c r="J218" s="13">
        <f>((((VLOOKUP(B218,Database!$A:$AS,MATCH($J$1,Database!$A$1:$AS$1,),))))-(((VLOOKUP(EDATE(B218,-12),Database!$A:$AS,MATCH($J$1,Database!$A$1:$AS$1,),)))))/(((VLOOKUP(EDATE(B218,-12),Database!$A:$AS,MATCH($J$1,Database!$A$1:$AS$1,),))))</f>
        <v/>
      </c>
      <c r="K218" s="13">
        <f>((((VLOOKUP(B218,Database!$A:$AS,MATCH($K$1,Database!$A$1:$AS$1,),))))-(((VLOOKUP(EDATE(B218,-12),Database!$A:$AS,MATCH($K$1,Database!$A$1:$AS$1,),)))))/(((VLOOKUP(EDATE(B218,-12),Database!$A:$AS,MATCH($K$1,Database!$A$1:$AS$1,),))))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((((VLOOKUP(B218,Database!$A:$AS,MATCH($O$1,Database!$A$1:$AS$1,),))))-(((VLOOKUP(EDATE(B218,-12),Database!$A:$AS,MATCH($O$1,Database!$A$1:$AS$1,),)))))/(((VLOOKUP(EDATE(B218,-12),Database!$A:$AS,MATCH($O$1,Database!$A$1:$AS$1,),))))</f>
        <v/>
      </c>
      <c r="P218" s="13">
        <f>((((VLOOKUP(B218,Database!$A:$AS,MATCH($P$1,Database!$A$1:$AS$1,),))))-(((VLOOKUP(EDATE(B218,-12),Database!$A:$AS,MATCH($P$1,Database!$A$1:$AS$1,),)))))/(((VLOOKUP(EDATE(B218,-12),Database!$A:$AS,MATCH($P$1,Database!$A$1:$AS$1,),))))</f>
        <v/>
      </c>
      <c r="Q218" s="13">
        <f>((((VLOOKUP(B218,Database!$A:$AS,MATCH($Q$1,Database!$A$1:$AS$1,),))))-(((VLOOKUP(EDATE(B218,-12),Database!$A:$AS,MATCH($Q$1,Database!$A$1:$AS$1,),)))))/(((VLOOKUP(EDATE(B218,-12),Database!$A:$AS,MATCH($Q$1,Database!$A$1:$AS$1,),))))</f>
        <v/>
      </c>
      <c r="R218" s="13">
        <f>((((VLOOKUP(B218,Database!$A:$AS,MATCH($R$1,Database!$A$1:$AS$1,),))))-(((VLOOKUP(EDATE(B218,-12),Database!$A:$AS,MATCH($R$1,Database!$A$1:$AS$1,),)))))/(((VLOOKUP(EDATE(B218,-12),Database!$A:$AS,MATCH($R$1,Database!$A$1:$AS$1,),))))</f>
        <v/>
      </c>
      <c r="S218" s="13">
        <f>((((VLOOKUP(B218,Database!$A:$AS,MATCH($S$1,Database!$A$1:$AS$1,),))))-(((VLOOKUP(EDATE(B218,-12),Database!$A:$AS,MATCH($S$1,Database!$A$1:$AS$1,),)))))/(((VLOOKUP(EDATE(B218,-12),Database!$A:$AS,MATCH($S$1,Database!$A$1:$AS$1,),))))</f>
        <v/>
      </c>
      <c r="T218" s="13">
        <f>((((VLOOKUP(B218,Database!$A:$AS,MATCH($T$1,Database!$A$1:$AS$1,),))))-(((VLOOKUP(EDATE(B218,-12),Database!$A:$AS,MATCH($T$1,Database!$A$1:$AS$1,),)))))/(((VLOOKUP(EDATE(B218,-12),Database!$A:$AS,MATCH($T$1,Database!$A$1:$AS$1,),))))</f>
        <v/>
      </c>
      <c r="U218" s="13">
        <f>((((VLOOKUP(B218,Database!$A:$AS,MATCH($U$1,Database!$A$1:$AS$1,),))))-(((VLOOKUP(EDATE(B218,-12),Database!$A:$AS,MATCH($U$1,Database!$A$1:$AS$1,),)))))/(((VLOOKUP(EDATE(B218,-12),Database!$A:$AS,MATCH($U$1,Database!$A$1:$AS$1,),))))</f>
        <v/>
      </c>
      <c r="V218" s="13">
        <f>((((VLOOKUP(B218,Database!$A:$AS,MATCH($V$1,Database!$A$1:$AS$1,),))))-(((VLOOKUP(EDATE(B218,-12),Database!$A:$AS,MATCH($V$1,Database!$A$1:$AS$1,),)))))/(((VLOOKUP(EDATE(B218,-12),Database!$A:$AS,MATCH($V$1,Database!$A$1:$AS$1,),))))</f>
        <v/>
      </c>
    </row>
    <row r="219" customFormat="1" s="94">
      <c r="A219" s="44" t="n"/>
      <c r="B219" s="85" t="n">
        <v>38808</v>
      </c>
      <c r="C219" s="13">
        <f>((((VLOOKUP(B219,Database!$A:$AS,MATCH($C$1,Database!$A$1:$AS$1,),))))-(((VLOOKUP(EDATE(B219,-12),Database!$A:$AS,MATCH($C$1,Database!$A$1:$AS$1,),)))))/(((VLOOKUP(EDATE(B219,-12),Database!$A:$AS,MATCH($C$1,Database!$A$1:$AS$1,),))))</f>
        <v/>
      </c>
      <c r="D219" s="13">
        <f>((((VLOOKUP(B219,Database!$A:$AS,MATCH($D$1,Database!$A$1:$AS$1,),))))-(((VLOOKUP(EDATE(B219,-12),Database!$A:$AS,MATCH($D$1,Database!$A$1:$AS$1,),)))))/(((VLOOKUP(EDATE(B219,-12),Database!$A:$AS,MATCH($D$1,Database!$A$1:$AS$1,),))))</f>
        <v/>
      </c>
      <c r="E219" s="13">
        <f>((((VLOOKUP(B219,Database!$A:$AS,MATCH($E$1,Database!$A$1:$AS$1,),))))-(((VLOOKUP(EDATE(B219,-12),Database!$A:$AS,MATCH($E$1,Database!$A$1:$AS$1,),)))))/(((VLOOKUP(EDATE(B219,-12),Database!$A:$AS,MATCH($E$1,Database!$A$1:$AS$1,),))))</f>
        <v/>
      </c>
      <c r="F219" s="13">
        <f>((((VLOOKUP(B219,Database!$A:$AS,MATCH($F$1,Database!$A$1:$AS$1,),))))-(((VLOOKUP(EDATE(B219,-12),Database!$A:$AS,MATCH($F$1,Database!$A$1:$AS$1,),)))))/(((VLOOKUP(EDATE(B219,-12),Database!$A:$AS,MATCH($F$1,Database!$A$1:$AS$1,),))))</f>
        <v/>
      </c>
      <c r="G219" s="13">
        <f>((((VLOOKUP(B219,Database!$A:$AS,MATCH($G$1,Database!$A$1:$AS$1,),))))-(((VLOOKUP(EDATE(B219,-12),Database!$A:$AS,MATCH($G$1,Database!$A$1:$AS$1,),)))))/(((VLOOKUP(EDATE(B219,-12),Database!$A:$AS,MATCH($G$1,Database!$A$1:$AS$1,),))))</f>
        <v/>
      </c>
      <c r="H219" s="13">
        <f>((((VLOOKUP(B219,Database!$A:$AS,MATCH($H$1,Database!$A$1:$AS$1,),))))-(((VLOOKUP(EDATE(B219,-12),Database!$A:$AS,MATCH($H$1,Database!$A$1:$AS$1,),)))))/(((VLOOKUP(EDATE(B219,-12),Database!$A:$AS,MATCH($H$1,Database!$A$1:$AS$1,),))))</f>
        <v/>
      </c>
      <c r="I219" s="13">
        <f>((((VLOOKUP(B219,Database!$A:$AS,MATCH($I$1,Database!$A$1:$AS$1,),))))-(((VLOOKUP(EDATE(B219,-12),Database!$A:$AS,MATCH($I$1,Database!$A$1:$AS$1,),)))))/(((VLOOKUP(EDATE(B219,-12),Database!$A:$AS,MATCH($I$1,Database!$A$1:$AS$1,),))))</f>
        <v/>
      </c>
      <c r="J219" s="13">
        <f>((((VLOOKUP(B219,Database!$A:$AS,MATCH($J$1,Database!$A$1:$AS$1,),))))-(((VLOOKUP(EDATE(B219,-12),Database!$A:$AS,MATCH($J$1,Database!$A$1:$AS$1,),)))))/(((VLOOKUP(EDATE(B219,-12),Database!$A:$AS,MATCH($J$1,Database!$A$1:$AS$1,),))))</f>
        <v/>
      </c>
      <c r="K219" s="13">
        <f>((((VLOOKUP(B219,Database!$A:$AS,MATCH($K$1,Database!$A$1:$AS$1,),))))-(((VLOOKUP(EDATE(B219,-12),Database!$A:$AS,MATCH($K$1,Database!$A$1:$AS$1,),)))))/(((VLOOKUP(EDATE(B219,-12),Database!$A:$AS,MATCH($K$1,Database!$A$1:$AS$1,),))))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((((VLOOKUP(B219,Database!$A:$AS,MATCH($O$1,Database!$A$1:$AS$1,),))))-(((VLOOKUP(EDATE(B219,-12),Database!$A:$AS,MATCH($O$1,Database!$A$1:$AS$1,),)))))/(((VLOOKUP(EDATE(B219,-12),Database!$A:$AS,MATCH($O$1,Database!$A$1:$AS$1,),))))</f>
        <v/>
      </c>
      <c r="P219" s="13">
        <f>((((VLOOKUP(B219,Database!$A:$AS,MATCH($P$1,Database!$A$1:$AS$1,),))))-(((VLOOKUP(EDATE(B219,-12),Database!$A:$AS,MATCH($P$1,Database!$A$1:$AS$1,),)))))/(((VLOOKUP(EDATE(B219,-12),Database!$A:$AS,MATCH($P$1,Database!$A$1:$AS$1,),))))</f>
        <v/>
      </c>
      <c r="Q219" s="13">
        <f>((((VLOOKUP(B219,Database!$A:$AS,MATCH($Q$1,Database!$A$1:$AS$1,),))))-(((VLOOKUP(EDATE(B219,-12),Database!$A:$AS,MATCH($Q$1,Database!$A$1:$AS$1,),)))))/(((VLOOKUP(EDATE(B219,-12),Database!$A:$AS,MATCH($Q$1,Database!$A$1:$AS$1,),))))</f>
        <v/>
      </c>
      <c r="R219" s="13">
        <f>((((VLOOKUP(B219,Database!$A:$AS,MATCH($R$1,Database!$A$1:$AS$1,),))))-(((VLOOKUP(EDATE(B219,-12),Database!$A:$AS,MATCH($R$1,Database!$A$1:$AS$1,),)))))/(((VLOOKUP(EDATE(B219,-12),Database!$A:$AS,MATCH($R$1,Database!$A$1:$AS$1,),))))</f>
        <v/>
      </c>
      <c r="S219" s="13">
        <f>((((VLOOKUP(B219,Database!$A:$AS,MATCH($S$1,Database!$A$1:$AS$1,),))))-(((VLOOKUP(EDATE(B219,-12),Database!$A:$AS,MATCH($S$1,Database!$A$1:$AS$1,),)))))/(((VLOOKUP(EDATE(B219,-12),Database!$A:$AS,MATCH($S$1,Database!$A$1:$AS$1,),))))</f>
        <v/>
      </c>
      <c r="T219" s="13">
        <f>((((VLOOKUP(B219,Database!$A:$AS,MATCH($T$1,Database!$A$1:$AS$1,),))))-(((VLOOKUP(EDATE(B219,-12),Database!$A:$AS,MATCH($T$1,Database!$A$1:$AS$1,),)))))/(((VLOOKUP(EDATE(B219,-12),Database!$A:$AS,MATCH($T$1,Database!$A$1:$AS$1,),))))</f>
        <v/>
      </c>
      <c r="U219" s="13">
        <f>((((VLOOKUP(B219,Database!$A:$AS,MATCH($U$1,Database!$A$1:$AS$1,),))))-(((VLOOKUP(EDATE(B219,-12),Database!$A:$AS,MATCH($U$1,Database!$A$1:$AS$1,),)))))/(((VLOOKUP(EDATE(B219,-12),Database!$A:$AS,MATCH($U$1,Database!$A$1:$AS$1,),))))</f>
        <v/>
      </c>
      <c r="V219" s="13">
        <f>((((VLOOKUP(B219,Database!$A:$AS,MATCH($V$1,Database!$A$1:$AS$1,),))))-(((VLOOKUP(EDATE(B219,-12),Database!$A:$AS,MATCH($V$1,Database!$A$1:$AS$1,),)))))/(((VLOOKUP(EDATE(B219,-12),Database!$A:$AS,MATCH($V$1,Database!$A$1:$AS$1,),))))</f>
        <v/>
      </c>
    </row>
    <row r="220" customFormat="1" s="94">
      <c r="A220" s="44" t="n"/>
      <c r="B220" s="85" t="n">
        <v>38838</v>
      </c>
      <c r="C220" s="13">
        <f>((((VLOOKUP(B220,Database!$A:$AS,MATCH($C$1,Database!$A$1:$AS$1,),))))-(((VLOOKUP(EDATE(B220,-12),Database!$A:$AS,MATCH($C$1,Database!$A$1:$AS$1,),)))))/(((VLOOKUP(EDATE(B220,-12),Database!$A:$AS,MATCH($C$1,Database!$A$1:$AS$1,),))))</f>
        <v/>
      </c>
      <c r="D220" s="13">
        <f>((((VLOOKUP(B220,Database!$A:$AS,MATCH($D$1,Database!$A$1:$AS$1,),))))-(((VLOOKUP(EDATE(B220,-12),Database!$A:$AS,MATCH($D$1,Database!$A$1:$AS$1,),)))))/(((VLOOKUP(EDATE(B220,-12),Database!$A:$AS,MATCH($D$1,Database!$A$1:$AS$1,),))))</f>
        <v/>
      </c>
      <c r="E220" s="13">
        <f>((((VLOOKUP(B220,Database!$A:$AS,MATCH($E$1,Database!$A$1:$AS$1,),))))-(((VLOOKUP(EDATE(B220,-12),Database!$A:$AS,MATCH($E$1,Database!$A$1:$AS$1,),)))))/(((VLOOKUP(EDATE(B220,-12),Database!$A:$AS,MATCH($E$1,Database!$A$1:$AS$1,),))))</f>
        <v/>
      </c>
      <c r="F220" s="13">
        <f>((((VLOOKUP(B220,Database!$A:$AS,MATCH($F$1,Database!$A$1:$AS$1,),))))-(((VLOOKUP(EDATE(B220,-12),Database!$A:$AS,MATCH($F$1,Database!$A$1:$AS$1,),)))))/(((VLOOKUP(EDATE(B220,-12),Database!$A:$AS,MATCH($F$1,Database!$A$1:$AS$1,),))))</f>
        <v/>
      </c>
      <c r="G220" s="13">
        <f>((((VLOOKUP(B220,Database!$A:$AS,MATCH($G$1,Database!$A$1:$AS$1,),))))-(((VLOOKUP(EDATE(B220,-12),Database!$A:$AS,MATCH($G$1,Database!$A$1:$AS$1,),)))))/(((VLOOKUP(EDATE(B220,-12),Database!$A:$AS,MATCH($G$1,Database!$A$1:$AS$1,),))))</f>
        <v/>
      </c>
      <c r="H220" s="13">
        <f>((((VLOOKUP(B220,Database!$A:$AS,MATCH($H$1,Database!$A$1:$AS$1,),))))-(((VLOOKUP(EDATE(B220,-12),Database!$A:$AS,MATCH($H$1,Database!$A$1:$AS$1,),)))))/(((VLOOKUP(EDATE(B220,-12),Database!$A:$AS,MATCH($H$1,Database!$A$1:$AS$1,),))))</f>
        <v/>
      </c>
      <c r="I220" s="13">
        <f>((((VLOOKUP(B220,Database!$A:$AS,MATCH($I$1,Database!$A$1:$AS$1,),))))-(((VLOOKUP(EDATE(B220,-12),Database!$A:$AS,MATCH($I$1,Database!$A$1:$AS$1,),)))))/(((VLOOKUP(EDATE(B220,-12),Database!$A:$AS,MATCH($I$1,Database!$A$1:$AS$1,),))))</f>
        <v/>
      </c>
      <c r="J220" s="13">
        <f>((((VLOOKUP(B220,Database!$A:$AS,MATCH($J$1,Database!$A$1:$AS$1,),))))-(((VLOOKUP(EDATE(B220,-12),Database!$A:$AS,MATCH($J$1,Database!$A$1:$AS$1,),)))))/(((VLOOKUP(EDATE(B220,-12),Database!$A:$AS,MATCH($J$1,Database!$A$1:$AS$1,),))))</f>
        <v/>
      </c>
      <c r="K220" s="13">
        <f>((((VLOOKUP(B220,Database!$A:$AS,MATCH($K$1,Database!$A$1:$AS$1,),))))-(((VLOOKUP(EDATE(B220,-12),Database!$A:$AS,MATCH($K$1,Database!$A$1:$AS$1,),)))))/(((VLOOKUP(EDATE(B220,-12),Database!$A:$AS,MATCH($K$1,Database!$A$1:$AS$1,),))))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((((VLOOKUP(B220,Database!$A:$AS,MATCH($O$1,Database!$A$1:$AS$1,),))))-(((VLOOKUP(EDATE(B220,-12),Database!$A:$AS,MATCH($O$1,Database!$A$1:$AS$1,),)))))/(((VLOOKUP(EDATE(B220,-12),Database!$A:$AS,MATCH($O$1,Database!$A$1:$AS$1,),))))</f>
        <v/>
      </c>
      <c r="P220" s="13">
        <f>((((VLOOKUP(B220,Database!$A:$AS,MATCH($P$1,Database!$A$1:$AS$1,),))))-(((VLOOKUP(EDATE(B220,-12),Database!$A:$AS,MATCH($P$1,Database!$A$1:$AS$1,),)))))/(((VLOOKUP(EDATE(B220,-12),Database!$A:$AS,MATCH($P$1,Database!$A$1:$AS$1,),))))</f>
        <v/>
      </c>
      <c r="Q220" s="13">
        <f>((((VLOOKUP(B220,Database!$A:$AS,MATCH($Q$1,Database!$A$1:$AS$1,),))))-(((VLOOKUP(EDATE(B220,-12),Database!$A:$AS,MATCH($Q$1,Database!$A$1:$AS$1,),)))))/(((VLOOKUP(EDATE(B220,-12),Database!$A:$AS,MATCH($Q$1,Database!$A$1:$AS$1,),))))</f>
        <v/>
      </c>
      <c r="R220" s="13">
        <f>((((VLOOKUP(B220,Database!$A:$AS,MATCH($R$1,Database!$A$1:$AS$1,),))))-(((VLOOKUP(EDATE(B220,-12),Database!$A:$AS,MATCH($R$1,Database!$A$1:$AS$1,),)))))/(((VLOOKUP(EDATE(B220,-12),Database!$A:$AS,MATCH($R$1,Database!$A$1:$AS$1,),))))</f>
        <v/>
      </c>
      <c r="S220" s="13">
        <f>((((VLOOKUP(B220,Database!$A:$AS,MATCH($S$1,Database!$A$1:$AS$1,),))))-(((VLOOKUP(EDATE(B220,-12),Database!$A:$AS,MATCH($S$1,Database!$A$1:$AS$1,),)))))/(((VLOOKUP(EDATE(B220,-12),Database!$A:$AS,MATCH($S$1,Database!$A$1:$AS$1,),))))</f>
        <v/>
      </c>
      <c r="T220" s="13">
        <f>((((VLOOKUP(B220,Database!$A:$AS,MATCH($T$1,Database!$A$1:$AS$1,),))))-(((VLOOKUP(EDATE(B220,-12),Database!$A:$AS,MATCH($T$1,Database!$A$1:$AS$1,),)))))/(((VLOOKUP(EDATE(B220,-12),Database!$A:$AS,MATCH($T$1,Database!$A$1:$AS$1,),))))</f>
        <v/>
      </c>
      <c r="U220" s="13">
        <f>((((VLOOKUP(B220,Database!$A:$AS,MATCH($U$1,Database!$A$1:$AS$1,),))))-(((VLOOKUP(EDATE(B220,-12),Database!$A:$AS,MATCH($U$1,Database!$A$1:$AS$1,),)))))/(((VLOOKUP(EDATE(B220,-12),Database!$A:$AS,MATCH($U$1,Database!$A$1:$AS$1,),))))</f>
        <v/>
      </c>
      <c r="V220" s="13">
        <f>((((VLOOKUP(B220,Database!$A:$AS,MATCH($V$1,Database!$A$1:$AS$1,),))))-(((VLOOKUP(EDATE(B220,-12),Database!$A:$AS,MATCH($V$1,Database!$A$1:$AS$1,),)))))/(((VLOOKUP(EDATE(B220,-12),Database!$A:$AS,MATCH($V$1,Database!$A$1:$AS$1,),))))</f>
        <v/>
      </c>
    </row>
    <row r="221" customFormat="1" s="94">
      <c r="A221" s="44" t="n"/>
      <c r="B221" s="85" t="n">
        <v>38869</v>
      </c>
      <c r="C221" s="13">
        <f>((((VLOOKUP(B221,Database!$A:$AS,MATCH($C$1,Database!$A$1:$AS$1,),))))-(((VLOOKUP(EDATE(B221,-12),Database!$A:$AS,MATCH($C$1,Database!$A$1:$AS$1,),)))))/(((VLOOKUP(EDATE(B221,-12),Database!$A:$AS,MATCH($C$1,Database!$A$1:$AS$1,),))))</f>
        <v/>
      </c>
      <c r="D221" s="13">
        <f>((((VLOOKUP(B221,Database!$A:$AS,MATCH($D$1,Database!$A$1:$AS$1,),))))-(((VLOOKUP(EDATE(B221,-12),Database!$A:$AS,MATCH($D$1,Database!$A$1:$AS$1,),)))))/(((VLOOKUP(EDATE(B221,-12),Database!$A:$AS,MATCH($D$1,Database!$A$1:$AS$1,),))))</f>
        <v/>
      </c>
      <c r="E221" s="13">
        <f>((((VLOOKUP(B221,Database!$A:$AS,MATCH($E$1,Database!$A$1:$AS$1,),))))-(((VLOOKUP(EDATE(B221,-12),Database!$A:$AS,MATCH($E$1,Database!$A$1:$AS$1,),)))))/(((VLOOKUP(EDATE(B221,-12),Database!$A:$AS,MATCH($E$1,Database!$A$1:$AS$1,),))))</f>
        <v/>
      </c>
      <c r="F221" s="13">
        <f>((((VLOOKUP(B221,Database!$A:$AS,MATCH($F$1,Database!$A$1:$AS$1,),))))-(((VLOOKUP(EDATE(B221,-12),Database!$A:$AS,MATCH($F$1,Database!$A$1:$AS$1,),)))))/(((VLOOKUP(EDATE(B221,-12),Database!$A:$AS,MATCH($F$1,Database!$A$1:$AS$1,),))))</f>
        <v/>
      </c>
      <c r="G221" s="13">
        <f>((((VLOOKUP(B221,Database!$A:$AS,MATCH($G$1,Database!$A$1:$AS$1,),))))-(((VLOOKUP(EDATE(B221,-12),Database!$A:$AS,MATCH($G$1,Database!$A$1:$AS$1,),)))))/(((VLOOKUP(EDATE(B221,-12),Database!$A:$AS,MATCH($G$1,Database!$A$1:$AS$1,),))))</f>
        <v/>
      </c>
      <c r="H221" s="13">
        <f>((((VLOOKUP(B221,Database!$A:$AS,MATCH($H$1,Database!$A$1:$AS$1,),))))-(((VLOOKUP(EDATE(B221,-12),Database!$A:$AS,MATCH($H$1,Database!$A$1:$AS$1,),)))))/(((VLOOKUP(EDATE(B221,-12),Database!$A:$AS,MATCH($H$1,Database!$A$1:$AS$1,),))))</f>
        <v/>
      </c>
      <c r="I221" s="13">
        <f>((((VLOOKUP(B221,Database!$A:$AS,MATCH($I$1,Database!$A$1:$AS$1,),))))-(((VLOOKUP(EDATE(B221,-12),Database!$A:$AS,MATCH($I$1,Database!$A$1:$AS$1,),)))))/(((VLOOKUP(EDATE(B221,-12),Database!$A:$AS,MATCH($I$1,Database!$A$1:$AS$1,),))))</f>
        <v/>
      </c>
      <c r="J221" s="13">
        <f>((((VLOOKUP(B221,Database!$A:$AS,MATCH($J$1,Database!$A$1:$AS$1,),))))-(((VLOOKUP(EDATE(B221,-12),Database!$A:$AS,MATCH($J$1,Database!$A$1:$AS$1,),)))))/(((VLOOKUP(EDATE(B221,-12),Database!$A:$AS,MATCH($J$1,Database!$A$1:$AS$1,),))))</f>
        <v/>
      </c>
      <c r="K221" s="13">
        <f>((((VLOOKUP(B221,Database!$A:$AS,MATCH($K$1,Database!$A$1:$AS$1,),))))-(((VLOOKUP(EDATE(B221,-12),Database!$A:$AS,MATCH($K$1,Database!$A$1:$AS$1,),)))))/(((VLOOKUP(EDATE(B221,-12),Database!$A:$AS,MATCH($K$1,Database!$A$1:$AS$1,),))))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((((VLOOKUP(B221,Database!$A:$AS,MATCH($O$1,Database!$A$1:$AS$1,),))))-(((VLOOKUP(EDATE(B221,-12),Database!$A:$AS,MATCH($O$1,Database!$A$1:$AS$1,),)))))/(((VLOOKUP(EDATE(B221,-12),Database!$A:$AS,MATCH($O$1,Database!$A$1:$AS$1,),))))</f>
        <v/>
      </c>
      <c r="P221" s="13">
        <f>((((VLOOKUP(B221,Database!$A:$AS,MATCH($P$1,Database!$A$1:$AS$1,),))))-(((VLOOKUP(EDATE(B221,-12),Database!$A:$AS,MATCH($P$1,Database!$A$1:$AS$1,),)))))/(((VLOOKUP(EDATE(B221,-12),Database!$A:$AS,MATCH($P$1,Database!$A$1:$AS$1,),))))</f>
        <v/>
      </c>
      <c r="Q221" s="13">
        <f>((((VLOOKUP(B221,Database!$A:$AS,MATCH($Q$1,Database!$A$1:$AS$1,),))))-(((VLOOKUP(EDATE(B221,-12),Database!$A:$AS,MATCH($Q$1,Database!$A$1:$AS$1,),)))))/(((VLOOKUP(EDATE(B221,-12),Database!$A:$AS,MATCH($Q$1,Database!$A$1:$AS$1,),))))</f>
        <v/>
      </c>
      <c r="R221" s="13">
        <f>((((VLOOKUP(B221,Database!$A:$AS,MATCH($R$1,Database!$A$1:$AS$1,),))))-(((VLOOKUP(EDATE(B221,-12),Database!$A:$AS,MATCH($R$1,Database!$A$1:$AS$1,),)))))/(((VLOOKUP(EDATE(B221,-12),Database!$A:$AS,MATCH($R$1,Database!$A$1:$AS$1,),))))</f>
        <v/>
      </c>
      <c r="S221" s="13">
        <f>((((VLOOKUP(B221,Database!$A:$AS,MATCH($S$1,Database!$A$1:$AS$1,),))))-(((VLOOKUP(EDATE(B221,-12),Database!$A:$AS,MATCH($S$1,Database!$A$1:$AS$1,),)))))/(((VLOOKUP(EDATE(B221,-12),Database!$A:$AS,MATCH($S$1,Database!$A$1:$AS$1,),))))</f>
        <v/>
      </c>
      <c r="T221" s="13">
        <f>((((VLOOKUP(B221,Database!$A:$AS,MATCH($T$1,Database!$A$1:$AS$1,),))))-(((VLOOKUP(EDATE(B221,-12),Database!$A:$AS,MATCH($T$1,Database!$A$1:$AS$1,),)))))/(((VLOOKUP(EDATE(B221,-12),Database!$A:$AS,MATCH($T$1,Database!$A$1:$AS$1,),))))</f>
        <v/>
      </c>
      <c r="U221" s="13">
        <f>((((VLOOKUP(B221,Database!$A:$AS,MATCH($U$1,Database!$A$1:$AS$1,),))))-(((VLOOKUP(EDATE(B221,-12),Database!$A:$AS,MATCH($U$1,Database!$A$1:$AS$1,),)))))/(((VLOOKUP(EDATE(B221,-12),Database!$A:$AS,MATCH($U$1,Database!$A$1:$AS$1,),))))</f>
        <v/>
      </c>
      <c r="V221" s="13">
        <f>((((VLOOKUP(B221,Database!$A:$AS,MATCH($V$1,Database!$A$1:$AS$1,),))))-(((VLOOKUP(EDATE(B221,-12),Database!$A:$AS,MATCH($V$1,Database!$A$1:$AS$1,),)))))/(((VLOOKUP(EDATE(B221,-12),Database!$A:$AS,MATCH($V$1,Database!$A$1:$AS$1,),))))</f>
        <v/>
      </c>
    </row>
    <row r="222" customFormat="1" s="94">
      <c r="A222" s="44" t="n"/>
      <c r="B222" s="85" t="n">
        <v>38899</v>
      </c>
      <c r="C222" s="13">
        <f>((((VLOOKUP(B222,Database!$A:$AS,MATCH($C$1,Database!$A$1:$AS$1,),))))-(((VLOOKUP(EDATE(B222,-12),Database!$A:$AS,MATCH($C$1,Database!$A$1:$AS$1,),)))))/(((VLOOKUP(EDATE(B222,-12),Database!$A:$AS,MATCH($C$1,Database!$A$1:$AS$1,),))))</f>
        <v/>
      </c>
      <c r="D222" s="13">
        <f>((((VLOOKUP(B222,Database!$A:$AS,MATCH($D$1,Database!$A$1:$AS$1,),))))-(((VLOOKUP(EDATE(B222,-12),Database!$A:$AS,MATCH($D$1,Database!$A$1:$AS$1,),)))))/(((VLOOKUP(EDATE(B222,-12),Database!$A:$AS,MATCH($D$1,Database!$A$1:$AS$1,),))))</f>
        <v/>
      </c>
      <c r="E222" s="13">
        <f>((((VLOOKUP(B222,Database!$A:$AS,MATCH($E$1,Database!$A$1:$AS$1,),))))-(((VLOOKUP(EDATE(B222,-12),Database!$A:$AS,MATCH($E$1,Database!$A$1:$AS$1,),)))))/(((VLOOKUP(EDATE(B222,-12),Database!$A:$AS,MATCH($E$1,Database!$A$1:$AS$1,),))))</f>
        <v/>
      </c>
      <c r="F222" s="13">
        <f>((((VLOOKUP(B222,Database!$A:$AS,MATCH($F$1,Database!$A$1:$AS$1,),))))-(((VLOOKUP(EDATE(B222,-12),Database!$A:$AS,MATCH($F$1,Database!$A$1:$AS$1,),)))))/(((VLOOKUP(EDATE(B222,-12),Database!$A:$AS,MATCH($F$1,Database!$A$1:$AS$1,),))))</f>
        <v/>
      </c>
      <c r="G222" s="13">
        <f>((((VLOOKUP(B222,Database!$A:$AS,MATCH($G$1,Database!$A$1:$AS$1,),))))-(((VLOOKUP(EDATE(B222,-12),Database!$A:$AS,MATCH($G$1,Database!$A$1:$AS$1,),)))))/(((VLOOKUP(EDATE(B222,-12),Database!$A:$AS,MATCH($G$1,Database!$A$1:$AS$1,),))))</f>
        <v/>
      </c>
      <c r="H222" s="13">
        <f>((((VLOOKUP(B222,Database!$A:$AS,MATCH($H$1,Database!$A$1:$AS$1,),))))-(((VLOOKUP(EDATE(B222,-12),Database!$A:$AS,MATCH($H$1,Database!$A$1:$AS$1,),)))))/(((VLOOKUP(EDATE(B222,-12),Database!$A:$AS,MATCH($H$1,Database!$A$1:$AS$1,),))))</f>
        <v/>
      </c>
      <c r="I222" s="13">
        <f>((((VLOOKUP(B222,Database!$A:$AS,MATCH($I$1,Database!$A$1:$AS$1,),))))-(((VLOOKUP(EDATE(B222,-12),Database!$A:$AS,MATCH($I$1,Database!$A$1:$AS$1,),)))))/(((VLOOKUP(EDATE(B222,-12),Database!$A:$AS,MATCH($I$1,Database!$A$1:$AS$1,),))))</f>
        <v/>
      </c>
      <c r="J222" s="13">
        <f>((((VLOOKUP(B222,Database!$A:$AS,MATCH($J$1,Database!$A$1:$AS$1,),))))-(((VLOOKUP(EDATE(B222,-12),Database!$A:$AS,MATCH($J$1,Database!$A$1:$AS$1,),)))))/(((VLOOKUP(EDATE(B222,-12),Database!$A:$AS,MATCH($J$1,Database!$A$1:$AS$1,),))))</f>
        <v/>
      </c>
      <c r="K222" s="13">
        <f>((((VLOOKUP(B222,Database!$A:$AS,MATCH($K$1,Database!$A$1:$AS$1,),))))-(((VLOOKUP(EDATE(B222,-12),Database!$A:$AS,MATCH($K$1,Database!$A$1:$AS$1,),)))))/(((VLOOKUP(EDATE(B222,-12),Database!$A:$AS,MATCH($K$1,Database!$A$1:$AS$1,),))))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((((VLOOKUP(B222,Database!$A:$AS,MATCH($O$1,Database!$A$1:$AS$1,),))))-(((VLOOKUP(EDATE(B222,-12),Database!$A:$AS,MATCH($O$1,Database!$A$1:$AS$1,),)))))/(((VLOOKUP(EDATE(B222,-12),Database!$A:$AS,MATCH($O$1,Database!$A$1:$AS$1,),))))</f>
        <v/>
      </c>
      <c r="P222" s="13">
        <f>((((VLOOKUP(B222,Database!$A:$AS,MATCH($P$1,Database!$A$1:$AS$1,),))))-(((VLOOKUP(EDATE(B222,-12),Database!$A:$AS,MATCH($P$1,Database!$A$1:$AS$1,),)))))/(((VLOOKUP(EDATE(B222,-12),Database!$A:$AS,MATCH($P$1,Database!$A$1:$AS$1,),))))</f>
        <v/>
      </c>
      <c r="Q222" s="13">
        <f>((((VLOOKUP(B222,Database!$A:$AS,MATCH($Q$1,Database!$A$1:$AS$1,),))))-(((VLOOKUP(EDATE(B222,-12),Database!$A:$AS,MATCH($Q$1,Database!$A$1:$AS$1,),)))))/(((VLOOKUP(EDATE(B222,-12),Database!$A:$AS,MATCH($Q$1,Database!$A$1:$AS$1,),))))</f>
        <v/>
      </c>
      <c r="R222" s="13">
        <f>((((VLOOKUP(B222,Database!$A:$AS,MATCH($R$1,Database!$A$1:$AS$1,),))))-(((VLOOKUP(EDATE(B222,-12),Database!$A:$AS,MATCH($R$1,Database!$A$1:$AS$1,),)))))/(((VLOOKUP(EDATE(B222,-12),Database!$A:$AS,MATCH($R$1,Database!$A$1:$AS$1,),))))</f>
        <v/>
      </c>
      <c r="S222" s="13">
        <f>((((VLOOKUP(B222,Database!$A:$AS,MATCH($S$1,Database!$A$1:$AS$1,),))))-(((VLOOKUP(EDATE(B222,-12),Database!$A:$AS,MATCH($S$1,Database!$A$1:$AS$1,),)))))/(((VLOOKUP(EDATE(B222,-12),Database!$A:$AS,MATCH($S$1,Database!$A$1:$AS$1,),))))</f>
        <v/>
      </c>
      <c r="T222" s="13">
        <f>((((VLOOKUP(B222,Database!$A:$AS,MATCH($T$1,Database!$A$1:$AS$1,),))))-(((VLOOKUP(EDATE(B222,-12),Database!$A:$AS,MATCH($T$1,Database!$A$1:$AS$1,),)))))/(((VLOOKUP(EDATE(B222,-12),Database!$A:$AS,MATCH($T$1,Database!$A$1:$AS$1,),))))</f>
        <v/>
      </c>
      <c r="U222" s="13">
        <f>((((VLOOKUP(B222,Database!$A:$AS,MATCH($U$1,Database!$A$1:$AS$1,),))))-(((VLOOKUP(EDATE(B222,-12),Database!$A:$AS,MATCH($U$1,Database!$A$1:$AS$1,),)))))/(((VLOOKUP(EDATE(B222,-12),Database!$A:$AS,MATCH($U$1,Database!$A$1:$AS$1,),))))</f>
        <v/>
      </c>
      <c r="V222" s="13">
        <f>((((VLOOKUP(B222,Database!$A:$AS,MATCH($V$1,Database!$A$1:$AS$1,),))))-(((VLOOKUP(EDATE(B222,-12),Database!$A:$AS,MATCH($V$1,Database!$A$1:$AS$1,),)))))/(((VLOOKUP(EDATE(B222,-12),Database!$A:$AS,MATCH($V$1,Database!$A$1:$AS$1,),))))</f>
        <v/>
      </c>
    </row>
    <row r="223" customFormat="1" s="94">
      <c r="A223" s="44" t="n"/>
      <c r="B223" s="85" t="n">
        <v>38930</v>
      </c>
      <c r="C223" s="13">
        <f>((((VLOOKUP(B223,Database!$A:$AS,MATCH($C$1,Database!$A$1:$AS$1,),))))-(((VLOOKUP(EDATE(B223,-12),Database!$A:$AS,MATCH($C$1,Database!$A$1:$AS$1,),)))))/(((VLOOKUP(EDATE(B223,-12),Database!$A:$AS,MATCH($C$1,Database!$A$1:$AS$1,),))))</f>
        <v/>
      </c>
      <c r="D223" s="13">
        <f>((((VLOOKUP(B223,Database!$A:$AS,MATCH($D$1,Database!$A$1:$AS$1,),))))-(((VLOOKUP(EDATE(B223,-12),Database!$A:$AS,MATCH($D$1,Database!$A$1:$AS$1,),)))))/(((VLOOKUP(EDATE(B223,-12),Database!$A:$AS,MATCH($D$1,Database!$A$1:$AS$1,),))))</f>
        <v/>
      </c>
      <c r="E223" s="13">
        <f>((((VLOOKUP(B223,Database!$A:$AS,MATCH($E$1,Database!$A$1:$AS$1,),))))-(((VLOOKUP(EDATE(B223,-12),Database!$A:$AS,MATCH($E$1,Database!$A$1:$AS$1,),)))))/(((VLOOKUP(EDATE(B223,-12),Database!$A:$AS,MATCH($E$1,Database!$A$1:$AS$1,),))))</f>
        <v/>
      </c>
      <c r="F223" s="13">
        <f>((((VLOOKUP(B223,Database!$A:$AS,MATCH($F$1,Database!$A$1:$AS$1,),))))-(((VLOOKUP(EDATE(B223,-12),Database!$A:$AS,MATCH($F$1,Database!$A$1:$AS$1,),)))))/(((VLOOKUP(EDATE(B223,-12),Database!$A:$AS,MATCH($F$1,Database!$A$1:$AS$1,),))))</f>
        <v/>
      </c>
      <c r="G223" s="13">
        <f>((((VLOOKUP(B223,Database!$A:$AS,MATCH($G$1,Database!$A$1:$AS$1,),))))-(((VLOOKUP(EDATE(B223,-12),Database!$A:$AS,MATCH($G$1,Database!$A$1:$AS$1,),)))))/(((VLOOKUP(EDATE(B223,-12),Database!$A:$AS,MATCH($G$1,Database!$A$1:$AS$1,),))))</f>
        <v/>
      </c>
      <c r="H223" s="13">
        <f>((((VLOOKUP(B223,Database!$A:$AS,MATCH($H$1,Database!$A$1:$AS$1,),))))-(((VLOOKUP(EDATE(B223,-12),Database!$A:$AS,MATCH($H$1,Database!$A$1:$AS$1,),)))))/(((VLOOKUP(EDATE(B223,-12),Database!$A:$AS,MATCH($H$1,Database!$A$1:$AS$1,),))))</f>
        <v/>
      </c>
      <c r="I223" s="13">
        <f>((((VLOOKUP(B223,Database!$A:$AS,MATCH($I$1,Database!$A$1:$AS$1,),))))-(((VLOOKUP(EDATE(B223,-12),Database!$A:$AS,MATCH($I$1,Database!$A$1:$AS$1,),)))))/(((VLOOKUP(EDATE(B223,-12),Database!$A:$AS,MATCH($I$1,Database!$A$1:$AS$1,),))))</f>
        <v/>
      </c>
      <c r="J223" s="13">
        <f>((((VLOOKUP(B223,Database!$A:$AS,MATCH($J$1,Database!$A$1:$AS$1,),))))-(((VLOOKUP(EDATE(B223,-12),Database!$A:$AS,MATCH($J$1,Database!$A$1:$AS$1,),)))))/(((VLOOKUP(EDATE(B223,-12),Database!$A:$AS,MATCH($J$1,Database!$A$1:$AS$1,),))))</f>
        <v/>
      </c>
      <c r="K223" s="13">
        <f>((((VLOOKUP(B223,Database!$A:$AS,MATCH($K$1,Database!$A$1:$AS$1,),))))-(((VLOOKUP(EDATE(B223,-12),Database!$A:$AS,MATCH($K$1,Database!$A$1:$AS$1,),)))))/(((VLOOKUP(EDATE(B223,-12),Database!$A:$AS,MATCH($K$1,Database!$A$1:$AS$1,),))))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((((VLOOKUP(B223,Database!$A:$AS,MATCH($O$1,Database!$A$1:$AS$1,),))))-(((VLOOKUP(EDATE(B223,-12),Database!$A:$AS,MATCH($O$1,Database!$A$1:$AS$1,),)))))/(((VLOOKUP(EDATE(B223,-12),Database!$A:$AS,MATCH($O$1,Database!$A$1:$AS$1,),))))</f>
        <v/>
      </c>
      <c r="P223" s="13">
        <f>((((VLOOKUP(B223,Database!$A:$AS,MATCH($P$1,Database!$A$1:$AS$1,),))))-(((VLOOKUP(EDATE(B223,-12),Database!$A:$AS,MATCH($P$1,Database!$A$1:$AS$1,),)))))/(((VLOOKUP(EDATE(B223,-12),Database!$A:$AS,MATCH($P$1,Database!$A$1:$AS$1,),))))</f>
        <v/>
      </c>
      <c r="Q223" s="13">
        <f>((((VLOOKUP(B223,Database!$A:$AS,MATCH($Q$1,Database!$A$1:$AS$1,),))))-(((VLOOKUP(EDATE(B223,-12),Database!$A:$AS,MATCH($Q$1,Database!$A$1:$AS$1,),)))))/(((VLOOKUP(EDATE(B223,-12),Database!$A:$AS,MATCH($Q$1,Database!$A$1:$AS$1,),))))</f>
        <v/>
      </c>
      <c r="R223" s="13">
        <f>((((VLOOKUP(B223,Database!$A:$AS,MATCH($R$1,Database!$A$1:$AS$1,),))))-(((VLOOKUP(EDATE(B223,-12),Database!$A:$AS,MATCH($R$1,Database!$A$1:$AS$1,),)))))/(((VLOOKUP(EDATE(B223,-12),Database!$A:$AS,MATCH($R$1,Database!$A$1:$AS$1,),))))</f>
        <v/>
      </c>
      <c r="S223" s="13">
        <f>((((VLOOKUP(B223,Database!$A:$AS,MATCH($S$1,Database!$A$1:$AS$1,),))))-(((VLOOKUP(EDATE(B223,-12),Database!$A:$AS,MATCH($S$1,Database!$A$1:$AS$1,),)))))/(((VLOOKUP(EDATE(B223,-12),Database!$A:$AS,MATCH($S$1,Database!$A$1:$AS$1,),))))</f>
        <v/>
      </c>
      <c r="T223" s="13">
        <f>((((VLOOKUP(B223,Database!$A:$AS,MATCH($T$1,Database!$A$1:$AS$1,),))))-(((VLOOKUP(EDATE(B223,-12),Database!$A:$AS,MATCH($T$1,Database!$A$1:$AS$1,),)))))/(((VLOOKUP(EDATE(B223,-12),Database!$A:$AS,MATCH($T$1,Database!$A$1:$AS$1,),))))</f>
        <v/>
      </c>
      <c r="U223" s="13">
        <f>((((VLOOKUP(B223,Database!$A:$AS,MATCH($U$1,Database!$A$1:$AS$1,),))))-(((VLOOKUP(EDATE(B223,-12),Database!$A:$AS,MATCH($U$1,Database!$A$1:$AS$1,),)))))/(((VLOOKUP(EDATE(B223,-12),Database!$A:$AS,MATCH($U$1,Database!$A$1:$AS$1,),))))</f>
        <v/>
      </c>
      <c r="V223" s="13">
        <f>((((VLOOKUP(B223,Database!$A:$AS,MATCH($V$1,Database!$A$1:$AS$1,),))))-(((VLOOKUP(EDATE(B223,-12),Database!$A:$AS,MATCH($V$1,Database!$A$1:$AS$1,),)))))/(((VLOOKUP(EDATE(B223,-12),Database!$A:$AS,MATCH($V$1,Database!$A$1:$AS$1,),))))</f>
        <v/>
      </c>
    </row>
    <row r="224" customFormat="1" s="94">
      <c r="A224" s="44" t="n"/>
      <c r="B224" s="85" t="n">
        <v>38961</v>
      </c>
      <c r="C224" s="13">
        <f>((((VLOOKUP(B224,Database!$A:$AS,MATCH($C$1,Database!$A$1:$AS$1,),))))-(((VLOOKUP(EDATE(B224,-12),Database!$A:$AS,MATCH($C$1,Database!$A$1:$AS$1,),)))))/(((VLOOKUP(EDATE(B224,-12),Database!$A:$AS,MATCH($C$1,Database!$A$1:$AS$1,),))))</f>
        <v/>
      </c>
      <c r="D224" s="13">
        <f>((((VLOOKUP(B224,Database!$A:$AS,MATCH($D$1,Database!$A$1:$AS$1,),))))-(((VLOOKUP(EDATE(B224,-12),Database!$A:$AS,MATCH($D$1,Database!$A$1:$AS$1,),)))))/(((VLOOKUP(EDATE(B224,-12),Database!$A:$AS,MATCH($D$1,Database!$A$1:$AS$1,),))))</f>
        <v/>
      </c>
      <c r="E224" s="13">
        <f>((((VLOOKUP(B224,Database!$A:$AS,MATCH($E$1,Database!$A$1:$AS$1,),))))-(((VLOOKUP(EDATE(B224,-12),Database!$A:$AS,MATCH($E$1,Database!$A$1:$AS$1,),)))))/(((VLOOKUP(EDATE(B224,-12),Database!$A:$AS,MATCH($E$1,Database!$A$1:$AS$1,),))))</f>
        <v/>
      </c>
      <c r="F224" s="13">
        <f>((((VLOOKUP(B224,Database!$A:$AS,MATCH($F$1,Database!$A$1:$AS$1,),))))-(((VLOOKUP(EDATE(B224,-12),Database!$A:$AS,MATCH($F$1,Database!$A$1:$AS$1,),)))))/(((VLOOKUP(EDATE(B224,-12),Database!$A:$AS,MATCH($F$1,Database!$A$1:$AS$1,),))))</f>
        <v/>
      </c>
      <c r="G224" s="13">
        <f>((((VLOOKUP(B224,Database!$A:$AS,MATCH($G$1,Database!$A$1:$AS$1,),))))-(((VLOOKUP(EDATE(B224,-12),Database!$A:$AS,MATCH($G$1,Database!$A$1:$AS$1,),)))))/(((VLOOKUP(EDATE(B224,-12),Database!$A:$AS,MATCH($G$1,Database!$A$1:$AS$1,),))))</f>
        <v/>
      </c>
      <c r="H224" s="13">
        <f>((((VLOOKUP(B224,Database!$A:$AS,MATCH($H$1,Database!$A$1:$AS$1,),))))-(((VLOOKUP(EDATE(B224,-12),Database!$A:$AS,MATCH($H$1,Database!$A$1:$AS$1,),)))))/(((VLOOKUP(EDATE(B224,-12),Database!$A:$AS,MATCH($H$1,Database!$A$1:$AS$1,),))))</f>
        <v/>
      </c>
      <c r="I224" s="13">
        <f>((((VLOOKUP(B224,Database!$A:$AS,MATCH($I$1,Database!$A$1:$AS$1,),))))-(((VLOOKUP(EDATE(B224,-12),Database!$A:$AS,MATCH($I$1,Database!$A$1:$AS$1,),)))))/(((VLOOKUP(EDATE(B224,-12),Database!$A:$AS,MATCH($I$1,Database!$A$1:$AS$1,),))))</f>
        <v/>
      </c>
      <c r="J224" s="13">
        <f>((((VLOOKUP(B224,Database!$A:$AS,MATCH($J$1,Database!$A$1:$AS$1,),))))-(((VLOOKUP(EDATE(B224,-12),Database!$A:$AS,MATCH($J$1,Database!$A$1:$AS$1,),)))))/(((VLOOKUP(EDATE(B224,-12),Database!$A:$AS,MATCH($J$1,Database!$A$1:$AS$1,),))))</f>
        <v/>
      </c>
      <c r="K224" s="13">
        <f>((((VLOOKUP(B224,Database!$A:$AS,MATCH($K$1,Database!$A$1:$AS$1,),))))-(((VLOOKUP(EDATE(B224,-12),Database!$A:$AS,MATCH($K$1,Database!$A$1:$AS$1,),)))))/(((VLOOKUP(EDATE(B224,-12),Database!$A:$AS,MATCH($K$1,Database!$A$1:$AS$1,),))))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((((VLOOKUP(B224,Database!$A:$AS,MATCH($O$1,Database!$A$1:$AS$1,),))))-(((VLOOKUP(EDATE(B224,-12),Database!$A:$AS,MATCH($O$1,Database!$A$1:$AS$1,),)))))/(((VLOOKUP(EDATE(B224,-12),Database!$A:$AS,MATCH($O$1,Database!$A$1:$AS$1,),))))</f>
        <v/>
      </c>
      <c r="P224" s="13">
        <f>((((VLOOKUP(B224,Database!$A:$AS,MATCH($P$1,Database!$A$1:$AS$1,),))))-(((VLOOKUP(EDATE(B224,-12),Database!$A:$AS,MATCH($P$1,Database!$A$1:$AS$1,),)))))/(((VLOOKUP(EDATE(B224,-12),Database!$A:$AS,MATCH($P$1,Database!$A$1:$AS$1,),))))</f>
        <v/>
      </c>
      <c r="Q224" s="13">
        <f>((((VLOOKUP(B224,Database!$A:$AS,MATCH($Q$1,Database!$A$1:$AS$1,),))))-(((VLOOKUP(EDATE(B224,-12),Database!$A:$AS,MATCH($Q$1,Database!$A$1:$AS$1,),)))))/(((VLOOKUP(EDATE(B224,-12),Database!$A:$AS,MATCH($Q$1,Database!$A$1:$AS$1,),))))</f>
        <v/>
      </c>
      <c r="R224" s="13">
        <f>((((VLOOKUP(B224,Database!$A:$AS,MATCH($R$1,Database!$A$1:$AS$1,),))))-(((VLOOKUP(EDATE(B224,-12),Database!$A:$AS,MATCH($R$1,Database!$A$1:$AS$1,),)))))/(((VLOOKUP(EDATE(B224,-12),Database!$A:$AS,MATCH($R$1,Database!$A$1:$AS$1,),))))</f>
        <v/>
      </c>
      <c r="S224" s="13">
        <f>((((VLOOKUP(B224,Database!$A:$AS,MATCH($S$1,Database!$A$1:$AS$1,),))))-(((VLOOKUP(EDATE(B224,-12),Database!$A:$AS,MATCH($S$1,Database!$A$1:$AS$1,),)))))/(((VLOOKUP(EDATE(B224,-12),Database!$A:$AS,MATCH($S$1,Database!$A$1:$AS$1,),))))</f>
        <v/>
      </c>
      <c r="T224" s="13">
        <f>((((VLOOKUP(B224,Database!$A:$AS,MATCH($T$1,Database!$A$1:$AS$1,),))))-(((VLOOKUP(EDATE(B224,-12),Database!$A:$AS,MATCH($T$1,Database!$A$1:$AS$1,),)))))/(((VLOOKUP(EDATE(B224,-12),Database!$A:$AS,MATCH($T$1,Database!$A$1:$AS$1,),))))</f>
        <v/>
      </c>
      <c r="U224" s="13">
        <f>((((VLOOKUP(B224,Database!$A:$AS,MATCH($U$1,Database!$A$1:$AS$1,),))))-(((VLOOKUP(EDATE(B224,-12),Database!$A:$AS,MATCH($U$1,Database!$A$1:$AS$1,),)))))/(((VLOOKUP(EDATE(B224,-12),Database!$A:$AS,MATCH($U$1,Database!$A$1:$AS$1,),))))</f>
        <v/>
      </c>
      <c r="V224" s="13">
        <f>((((VLOOKUP(B224,Database!$A:$AS,MATCH($V$1,Database!$A$1:$AS$1,),))))-(((VLOOKUP(EDATE(B224,-12),Database!$A:$AS,MATCH($V$1,Database!$A$1:$AS$1,),)))))/(((VLOOKUP(EDATE(B224,-12),Database!$A:$AS,MATCH($V$1,Database!$A$1:$AS$1,),))))</f>
        <v/>
      </c>
    </row>
    <row r="225" customFormat="1" s="94">
      <c r="A225" s="44" t="n"/>
      <c r="B225" s="85" t="n">
        <v>38991</v>
      </c>
      <c r="C225" s="13">
        <f>((((VLOOKUP(B225,Database!$A:$AS,MATCH($C$1,Database!$A$1:$AS$1,),))))-(((VLOOKUP(EDATE(B225,-12),Database!$A:$AS,MATCH($C$1,Database!$A$1:$AS$1,),)))))/(((VLOOKUP(EDATE(B225,-12),Database!$A:$AS,MATCH($C$1,Database!$A$1:$AS$1,),))))</f>
        <v/>
      </c>
      <c r="D225" s="13">
        <f>((((VLOOKUP(B225,Database!$A:$AS,MATCH($D$1,Database!$A$1:$AS$1,),))))-(((VLOOKUP(EDATE(B225,-12),Database!$A:$AS,MATCH($D$1,Database!$A$1:$AS$1,),)))))/(((VLOOKUP(EDATE(B225,-12),Database!$A:$AS,MATCH($D$1,Database!$A$1:$AS$1,),))))</f>
        <v/>
      </c>
      <c r="E225" s="13">
        <f>((((VLOOKUP(B225,Database!$A:$AS,MATCH($E$1,Database!$A$1:$AS$1,),))))-(((VLOOKUP(EDATE(B225,-12),Database!$A:$AS,MATCH($E$1,Database!$A$1:$AS$1,),)))))/(((VLOOKUP(EDATE(B225,-12),Database!$A:$AS,MATCH($E$1,Database!$A$1:$AS$1,),))))</f>
        <v/>
      </c>
      <c r="F225" s="13">
        <f>((((VLOOKUP(B225,Database!$A:$AS,MATCH($F$1,Database!$A$1:$AS$1,),))))-(((VLOOKUP(EDATE(B225,-12),Database!$A:$AS,MATCH($F$1,Database!$A$1:$AS$1,),)))))/(((VLOOKUP(EDATE(B225,-12),Database!$A:$AS,MATCH($F$1,Database!$A$1:$AS$1,),))))</f>
        <v/>
      </c>
      <c r="G225" s="13">
        <f>((((VLOOKUP(B225,Database!$A:$AS,MATCH($G$1,Database!$A$1:$AS$1,),))))-(((VLOOKUP(EDATE(B225,-12),Database!$A:$AS,MATCH($G$1,Database!$A$1:$AS$1,),)))))/(((VLOOKUP(EDATE(B225,-12),Database!$A:$AS,MATCH($G$1,Database!$A$1:$AS$1,),))))</f>
        <v/>
      </c>
      <c r="H225" s="13">
        <f>((((VLOOKUP(B225,Database!$A:$AS,MATCH($H$1,Database!$A$1:$AS$1,),))))-(((VLOOKUP(EDATE(B225,-12),Database!$A:$AS,MATCH($H$1,Database!$A$1:$AS$1,),)))))/(((VLOOKUP(EDATE(B225,-12),Database!$A:$AS,MATCH($H$1,Database!$A$1:$AS$1,),))))</f>
        <v/>
      </c>
      <c r="I225" s="13">
        <f>((((VLOOKUP(B225,Database!$A:$AS,MATCH($I$1,Database!$A$1:$AS$1,),))))-(((VLOOKUP(EDATE(B225,-12),Database!$A:$AS,MATCH($I$1,Database!$A$1:$AS$1,),)))))/(((VLOOKUP(EDATE(B225,-12),Database!$A:$AS,MATCH($I$1,Database!$A$1:$AS$1,),))))</f>
        <v/>
      </c>
      <c r="J225" s="13">
        <f>((((VLOOKUP(B225,Database!$A:$AS,MATCH($J$1,Database!$A$1:$AS$1,),))))-(((VLOOKUP(EDATE(B225,-12),Database!$A:$AS,MATCH($J$1,Database!$A$1:$AS$1,),)))))/(((VLOOKUP(EDATE(B225,-12),Database!$A:$AS,MATCH($J$1,Database!$A$1:$AS$1,),))))</f>
        <v/>
      </c>
      <c r="K225" s="13">
        <f>((((VLOOKUP(B225,Database!$A:$AS,MATCH($K$1,Database!$A$1:$AS$1,),))))-(((VLOOKUP(EDATE(B225,-12),Database!$A:$AS,MATCH($K$1,Database!$A$1:$AS$1,),)))))/(((VLOOKUP(EDATE(B225,-12),Database!$A:$AS,MATCH($K$1,Database!$A$1:$AS$1,),))))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((((VLOOKUP(B225,Database!$A:$AS,MATCH($O$1,Database!$A$1:$AS$1,),))))-(((VLOOKUP(EDATE(B225,-12),Database!$A:$AS,MATCH($O$1,Database!$A$1:$AS$1,),)))))/(((VLOOKUP(EDATE(B225,-12),Database!$A:$AS,MATCH($O$1,Database!$A$1:$AS$1,),))))</f>
        <v/>
      </c>
      <c r="P225" s="13">
        <f>((((VLOOKUP(B225,Database!$A:$AS,MATCH($P$1,Database!$A$1:$AS$1,),))))-(((VLOOKUP(EDATE(B225,-12),Database!$A:$AS,MATCH($P$1,Database!$A$1:$AS$1,),)))))/(((VLOOKUP(EDATE(B225,-12),Database!$A:$AS,MATCH($P$1,Database!$A$1:$AS$1,),))))</f>
        <v/>
      </c>
      <c r="Q225" s="13">
        <f>((((VLOOKUP(B225,Database!$A:$AS,MATCH($Q$1,Database!$A$1:$AS$1,),))))-(((VLOOKUP(EDATE(B225,-12),Database!$A:$AS,MATCH($Q$1,Database!$A$1:$AS$1,),)))))/(((VLOOKUP(EDATE(B225,-12),Database!$A:$AS,MATCH($Q$1,Database!$A$1:$AS$1,),))))</f>
        <v/>
      </c>
      <c r="R225" s="13">
        <f>((((VLOOKUP(B225,Database!$A:$AS,MATCH($R$1,Database!$A$1:$AS$1,),))))-(((VLOOKUP(EDATE(B225,-12),Database!$A:$AS,MATCH($R$1,Database!$A$1:$AS$1,),)))))/(((VLOOKUP(EDATE(B225,-12),Database!$A:$AS,MATCH($R$1,Database!$A$1:$AS$1,),))))</f>
        <v/>
      </c>
      <c r="S225" s="13">
        <f>((((VLOOKUP(B225,Database!$A:$AS,MATCH($S$1,Database!$A$1:$AS$1,),))))-(((VLOOKUP(EDATE(B225,-12),Database!$A:$AS,MATCH($S$1,Database!$A$1:$AS$1,),)))))/(((VLOOKUP(EDATE(B225,-12),Database!$A:$AS,MATCH($S$1,Database!$A$1:$AS$1,),))))</f>
        <v/>
      </c>
      <c r="T225" s="13">
        <f>((((VLOOKUP(B225,Database!$A:$AS,MATCH($T$1,Database!$A$1:$AS$1,),))))-(((VLOOKUP(EDATE(B225,-12),Database!$A:$AS,MATCH($T$1,Database!$A$1:$AS$1,),)))))/(((VLOOKUP(EDATE(B225,-12),Database!$A:$AS,MATCH($T$1,Database!$A$1:$AS$1,),))))</f>
        <v/>
      </c>
      <c r="U225" s="13">
        <f>((((VLOOKUP(B225,Database!$A:$AS,MATCH($U$1,Database!$A$1:$AS$1,),))))-(((VLOOKUP(EDATE(B225,-12),Database!$A:$AS,MATCH($U$1,Database!$A$1:$AS$1,),)))))/(((VLOOKUP(EDATE(B225,-12),Database!$A:$AS,MATCH($U$1,Database!$A$1:$AS$1,),))))</f>
        <v/>
      </c>
      <c r="V225" s="13">
        <f>((((VLOOKUP(B225,Database!$A:$AS,MATCH($V$1,Database!$A$1:$AS$1,),))))-(((VLOOKUP(EDATE(B225,-12),Database!$A:$AS,MATCH($V$1,Database!$A$1:$AS$1,),)))))/(((VLOOKUP(EDATE(B225,-12),Database!$A:$AS,MATCH($V$1,Database!$A$1:$AS$1,),))))</f>
        <v/>
      </c>
    </row>
    <row r="226" customFormat="1" s="94">
      <c r="A226" s="44" t="n"/>
      <c r="B226" s="85" t="n">
        <v>39022</v>
      </c>
      <c r="C226" s="13">
        <f>((((VLOOKUP(B226,Database!$A:$AS,MATCH($C$1,Database!$A$1:$AS$1,),))))-(((VLOOKUP(EDATE(B226,-12),Database!$A:$AS,MATCH($C$1,Database!$A$1:$AS$1,),)))))/(((VLOOKUP(EDATE(B226,-12),Database!$A:$AS,MATCH($C$1,Database!$A$1:$AS$1,),))))</f>
        <v/>
      </c>
      <c r="D226" s="13">
        <f>((((VLOOKUP(B226,Database!$A:$AS,MATCH($D$1,Database!$A$1:$AS$1,),))))-(((VLOOKUP(EDATE(B226,-12),Database!$A:$AS,MATCH($D$1,Database!$A$1:$AS$1,),)))))/(((VLOOKUP(EDATE(B226,-12),Database!$A:$AS,MATCH($D$1,Database!$A$1:$AS$1,),))))</f>
        <v/>
      </c>
      <c r="E226" s="13">
        <f>((((VLOOKUP(B226,Database!$A:$AS,MATCH($E$1,Database!$A$1:$AS$1,),))))-(((VLOOKUP(EDATE(B226,-12),Database!$A:$AS,MATCH($E$1,Database!$A$1:$AS$1,),)))))/(((VLOOKUP(EDATE(B226,-12),Database!$A:$AS,MATCH($E$1,Database!$A$1:$AS$1,),))))</f>
        <v/>
      </c>
      <c r="F226" s="13">
        <f>((((VLOOKUP(B226,Database!$A:$AS,MATCH($F$1,Database!$A$1:$AS$1,),))))-(((VLOOKUP(EDATE(B226,-12),Database!$A:$AS,MATCH($F$1,Database!$A$1:$AS$1,),)))))/(((VLOOKUP(EDATE(B226,-12),Database!$A:$AS,MATCH($F$1,Database!$A$1:$AS$1,),))))</f>
        <v/>
      </c>
      <c r="G226" s="13">
        <f>((((VLOOKUP(B226,Database!$A:$AS,MATCH($G$1,Database!$A$1:$AS$1,),))))-(((VLOOKUP(EDATE(B226,-12),Database!$A:$AS,MATCH($G$1,Database!$A$1:$AS$1,),)))))/(((VLOOKUP(EDATE(B226,-12),Database!$A:$AS,MATCH($G$1,Database!$A$1:$AS$1,),))))</f>
        <v/>
      </c>
      <c r="H226" s="13">
        <f>((((VLOOKUP(B226,Database!$A:$AS,MATCH($H$1,Database!$A$1:$AS$1,),))))-(((VLOOKUP(EDATE(B226,-12),Database!$A:$AS,MATCH($H$1,Database!$A$1:$AS$1,),)))))/(((VLOOKUP(EDATE(B226,-12),Database!$A:$AS,MATCH($H$1,Database!$A$1:$AS$1,),))))</f>
        <v/>
      </c>
      <c r="I226" s="13">
        <f>((((VLOOKUP(B226,Database!$A:$AS,MATCH($I$1,Database!$A$1:$AS$1,),))))-(((VLOOKUP(EDATE(B226,-12),Database!$A:$AS,MATCH($I$1,Database!$A$1:$AS$1,),)))))/(((VLOOKUP(EDATE(B226,-12),Database!$A:$AS,MATCH($I$1,Database!$A$1:$AS$1,),))))</f>
        <v/>
      </c>
      <c r="J226" s="13">
        <f>((((VLOOKUP(B226,Database!$A:$AS,MATCH($J$1,Database!$A$1:$AS$1,),))))-(((VLOOKUP(EDATE(B226,-12),Database!$A:$AS,MATCH($J$1,Database!$A$1:$AS$1,),)))))/(((VLOOKUP(EDATE(B226,-12),Database!$A:$AS,MATCH($J$1,Database!$A$1:$AS$1,),))))</f>
        <v/>
      </c>
      <c r="K226" s="13">
        <f>((((VLOOKUP(B226,Database!$A:$AS,MATCH($K$1,Database!$A$1:$AS$1,),))))-(((VLOOKUP(EDATE(B226,-12),Database!$A:$AS,MATCH($K$1,Database!$A$1:$AS$1,),)))))/(((VLOOKUP(EDATE(B226,-12),Database!$A:$AS,MATCH($K$1,Database!$A$1:$AS$1,),))))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((((VLOOKUP(B226,Database!$A:$AS,MATCH($O$1,Database!$A$1:$AS$1,),))))-(((VLOOKUP(EDATE(B226,-12),Database!$A:$AS,MATCH($O$1,Database!$A$1:$AS$1,),)))))/(((VLOOKUP(EDATE(B226,-12),Database!$A:$AS,MATCH($O$1,Database!$A$1:$AS$1,),))))</f>
        <v/>
      </c>
      <c r="P226" s="13">
        <f>((((VLOOKUP(B226,Database!$A:$AS,MATCH($P$1,Database!$A$1:$AS$1,),))))-(((VLOOKUP(EDATE(B226,-12),Database!$A:$AS,MATCH($P$1,Database!$A$1:$AS$1,),)))))/(((VLOOKUP(EDATE(B226,-12),Database!$A:$AS,MATCH($P$1,Database!$A$1:$AS$1,),))))</f>
        <v/>
      </c>
      <c r="Q226" s="13">
        <f>((((VLOOKUP(B226,Database!$A:$AS,MATCH($Q$1,Database!$A$1:$AS$1,),))))-(((VLOOKUP(EDATE(B226,-12),Database!$A:$AS,MATCH($Q$1,Database!$A$1:$AS$1,),)))))/(((VLOOKUP(EDATE(B226,-12),Database!$A:$AS,MATCH($Q$1,Database!$A$1:$AS$1,),))))</f>
        <v/>
      </c>
      <c r="R226" s="13">
        <f>((((VLOOKUP(B226,Database!$A:$AS,MATCH($R$1,Database!$A$1:$AS$1,),))))-(((VLOOKUP(EDATE(B226,-12),Database!$A:$AS,MATCH($R$1,Database!$A$1:$AS$1,),)))))/(((VLOOKUP(EDATE(B226,-12),Database!$A:$AS,MATCH($R$1,Database!$A$1:$AS$1,),))))</f>
        <v/>
      </c>
      <c r="S226" s="13">
        <f>((((VLOOKUP(B226,Database!$A:$AS,MATCH($S$1,Database!$A$1:$AS$1,),))))-(((VLOOKUP(EDATE(B226,-12),Database!$A:$AS,MATCH($S$1,Database!$A$1:$AS$1,),)))))/(((VLOOKUP(EDATE(B226,-12),Database!$A:$AS,MATCH($S$1,Database!$A$1:$AS$1,),))))</f>
        <v/>
      </c>
      <c r="T226" s="13">
        <f>((((VLOOKUP(B226,Database!$A:$AS,MATCH($T$1,Database!$A$1:$AS$1,),))))-(((VLOOKUP(EDATE(B226,-12),Database!$A:$AS,MATCH($T$1,Database!$A$1:$AS$1,),)))))/(((VLOOKUP(EDATE(B226,-12),Database!$A:$AS,MATCH($T$1,Database!$A$1:$AS$1,),))))</f>
        <v/>
      </c>
      <c r="U226" s="13">
        <f>((((VLOOKUP(B226,Database!$A:$AS,MATCH($U$1,Database!$A$1:$AS$1,),))))-(((VLOOKUP(EDATE(B226,-12),Database!$A:$AS,MATCH($U$1,Database!$A$1:$AS$1,),)))))/(((VLOOKUP(EDATE(B226,-12),Database!$A:$AS,MATCH($U$1,Database!$A$1:$AS$1,),))))</f>
        <v/>
      </c>
      <c r="V226" s="13">
        <f>((((VLOOKUP(B226,Database!$A:$AS,MATCH($V$1,Database!$A$1:$AS$1,),))))-(((VLOOKUP(EDATE(B226,-12),Database!$A:$AS,MATCH($V$1,Database!$A$1:$AS$1,),)))))/(((VLOOKUP(EDATE(B226,-12),Database!$A:$AS,MATCH($V$1,Database!$A$1:$AS$1,),))))</f>
        <v/>
      </c>
    </row>
    <row r="227" customFormat="1" s="94">
      <c r="A227" s="44" t="n"/>
      <c r="B227" s="85" t="n">
        <v>39052</v>
      </c>
      <c r="C227" s="13">
        <f>((((VLOOKUP(B227,Database!$A:$AS,MATCH($C$1,Database!$A$1:$AS$1,),))))-(((VLOOKUP(EDATE(B227,-12),Database!$A:$AS,MATCH($C$1,Database!$A$1:$AS$1,),)))))/(((VLOOKUP(EDATE(B227,-12),Database!$A:$AS,MATCH($C$1,Database!$A$1:$AS$1,),))))</f>
        <v/>
      </c>
      <c r="D227" s="13">
        <f>((((VLOOKUP(B227,Database!$A:$AS,MATCH($D$1,Database!$A$1:$AS$1,),))))-(((VLOOKUP(EDATE(B227,-12),Database!$A:$AS,MATCH($D$1,Database!$A$1:$AS$1,),)))))/(((VLOOKUP(EDATE(B227,-12),Database!$A:$AS,MATCH($D$1,Database!$A$1:$AS$1,),))))</f>
        <v/>
      </c>
      <c r="E227" s="13">
        <f>((((VLOOKUP(B227,Database!$A:$AS,MATCH($E$1,Database!$A$1:$AS$1,),))))-(((VLOOKUP(EDATE(B227,-12),Database!$A:$AS,MATCH($E$1,Database!$A$1:$AS$1,),)))))/(((VLOOKUP(EDATE(B227,-12),Database!$A:$AS,MATCH($E$1,Database!$A$1:$AS$1,),))))</f>
        <v/>
      </c>
      <c r="F227" s="13">
        <f>((((VLOOKUP(B227,Database!$A:$AS,MATCH($F$1,Database!$A$1:$AS$1,),))))-(((VLOOKUP(EDATE(B227,-12),Database!$A:$AS,MATCH($F$1,Database!$A$1:$AS$1,),)))))/(((VLOOKUP(EDATE(B227,-12),Database!$A:$AS,MATCH($F$1,Database!$A$1:$AS$1,),))))</f>
        <v/>
      </c>
      <c r="G227" s="13">
        <f>((((VLOOKUP(B227,Database!$A:$AS,MATCH($G$1,Database!$A$1:$AS$1,),))))-(((VLOOKUP(EDATE(B227,-12),Database!$A:$AS,MATCH($G$1,Database!$A$1:$AS$1,),)))))/(((VLOOKUP(EDATE(B227,-12),Database!$A:$AS,MATCH($G$1,Database!$A$1:$AS$1,),))))</f>
        <v/>
      </c>
      <c r="H227" s="13">
        <f>((((VLOOKUP(B227,Database!$A:$AS,MATCH($H$1,Database!$A$1:$AS$1,),))))-(((VLOOKUP(EDATE(B227,-12),Database!$A:$AS,MATCH($H$1,Database!$A$1:$AS$1,),)))))/(((VLOOKUP(EDATE(B227,-12),Database!$A:$AS,MATCH($H$1,Database!$A$1:$AS$1,),))))</f>
        <v/>
      </c>
      <c r="I227" s="13">
        <f>((((VLOOKUP(B227,Database!$A:$AS,MATCH($I$1,Database!$A$1:$AS$1,),))))-(((VLOOKUP(EDATE(B227,-12),Database!$A:$AS,MATCH($I$1,Database!$A$1:$AS$1,),)))))/(((VLOOKUP(EDATE(B227,-12),Database!$A:$AS,MATCH($I$1,Database!$A$1:$AS$1,),))))</f>
        <v/>
      </c>
      <c r="J227" s="13">
        <f>((((VLOOKUP(B227,Database!$A:$AS,MATCH($J$1,Database!$A$1:$AS$1,),))))-(((VLOOKUP(EDATE(B227,-12),Database!$A:$AS,MATCH($J$1,Database!$A$1:$AS$1,),)))))/(((VLOOKUP(EDATE(B227,-12),Database!$A:$AS,MATCH($J$1,Database!$A$1:$AS$1,),))))</f>
        <v/>
      </c>
      <c r="K227" s="13">
        <f>((((VLOOKUP(B227,Database!$A:$AS,MATCH($K$1,Database!$A$1:$AS$1,),))))-(((VLOOKUP(EDATE(B227,-12),Database!$A:$AS,MATCH($K$1,Database!$A$1:$AS$1,),)))))/(((VLOOKUP(EDATE(B227,-12),Database!$A:$AS,MATCH($K$1,Database!$A$1:$AS$1,),))))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((((VLOOKUP(B227,Database!$A:$AS,MATCH($O$1,Database!$A$1:$AS$1,),))))-(((VLOOKUP(EDATE(B227,-12),Database!$A:$AS,MATCH($O$1,Database!$A$1:$AS$1,),)))))/(((VLOOKUP(EDATE(B227,-12),Database!$A:$AS,MATCH($O$1,Database!$A$1:$AS$1,),))))</f>
        <v/>
      </c>
      <c r="P227" s="13">
        <f>((((VLOOKUP(B227,Database!$A:$AS,MATCH($P$1,Database!$A$1:$AS$1,),))))-(((VLOOKUP(EDATE(B227,-12),Database!$A:$AS,MATCH($P$1,Database!$A$1:$AS$1,),)))))/(((VLOOKUP(EDATE(B227,-12),Database!$A:$AS,MATCH($P$1,Database!$A$1:$AS$1,),))))</f>
        <v/>
      </c>
      <c r="Q227" s="13">
        <f>((((VLOOKUP(B227,Database!$A:$AS,MATCH($Q$1,Database!$A$1:$AS$1,),))))-(((VLOOKUP(EDATE(B227,-12),Database!$A:$AS,MATCH($Q$1,Database!$A$1:$AS$1,),)))))/(((VLOOKUP(EDATE(B227,-12),Database!$A:$AS,MATCH($Q$1,Database!$A$1:$AS$1,),))))</f>
        <v/>
      </c>
      <c r="R227" s="13">
        <f>((((VLOOKUP(B227,Database!$A:$AS,MATCH($R$1,Database!$A$1:$AS$1,),))))-(((VLOOKUP(EDATE(B227,-12),Database!$A:$AS,MATCH($R$1,Database!$A$1:$AS$1,),)))))/(((VLOOKUP(EDATE(B227,-12),Database!$A:$AS,MATCH($R$1,Database!$A$1:$AS$1,),))))</f>
        <v/>
      </c>
      <c r="S227" s="13">
        <f>((((VLOOKUP(B227,Database!$A:$AS,MATCH($S$1,Database!$A$1:$AS$1,),))))-(((VLOOKUP(EDATE(B227,-12),Database!$A:$AS,MATCH($S$1,Database!$A$1:$AS$1,),)))))/(((VLOOKUP(EDATE(B227,-12),Database!$A:$AS,MATCH($S$1,Database!$A$1:$AS$1,),))))</f>
        <v/>
      </c>
      <c r="T227" s="13">
        <f>((((VLOOKUP(B227,Database!$A:$AS,MATCH($T$1,Database!$A$1:$AS$1,),))))-(((VLOOKUP(EDATE(B227,-12),Database!$A:$AS,MATCH($T$1,Database!$A$1:$AS$1,),)))))/(((VLOOKUP(EDATE(B227,-12),Database!$A:$AS,MATCH($T$1,Database!$A$1:$AS$1,),))))</f>
        <v/>
      </c>
      <c r="U227" s="13">
        <f>((((VLOOKUP(B227,Database!$A:$AS,MATCH($U$1,Database!$A$1:$AS$1,),))))-(((VLOOKUP(EDATE(B227,-12),Database!$A:$AS,MATCH($U$1,Database!$A$1:$AS$1,),)))))/(((VLOOKUP(EDATE(B227,-12),Database!$A:$AS,MATCH($U$1,Database!$A$1:$AS$1,),))))</f>
        <v/>
      </c>
      <c r="V227" s="13">
        <f>((((VLOOKUP(B227,Database!$A:$AS,MATCH($V$1,Database!$A$1:$AS$1,),))))-(((VLOOKUP(EDATE(B227,-12),Database!$A:$AS,MATCH($V$1,Database!$A$1:$AS$1,),)))))/(((VLOOKUP(EDATE(B227,-12),Database!$A:$AS,MATCH($V$1,Database!$A$1:$AS$1,),))))</f>
        <v/>
      </c>
    </row>
    <row r="228" customFormat="1" s="94">
      <c r="A228" s="44" t="n"/>
      <c r="B228" s="85" t="n">
        <v>39083</v>
      </c>
      <c r="C228" s="13">
        <f>((((VLOOKUP(B228,Database!$A:$AS,MATCH($C$1,Database!$A$1:$AS$1,),))))-(((VLOOKUP(EDATE(B228,-12),Database!$A:$AS,MATCH($C$1,Database!$A$1:$AS$1,),)))))/(((VLOOKUP(EDATE(B228,-12),Database!$A:$AS,MATCH($C$1,Database!$A$1:$AS$1,),))))</f>
        <v/>
      </c>
      <c r="D228" s="13">
        <f>((((VLOOKUP(B228,Database!$A:$AS,MATCH($D$1,Database!$A$1:$AS$1,),))))-(((VLOOKUP(EDATE(B228,-12),Database!$A:$AS,MATCH($D$1,Database!$A$1:$AS$1,),)))))/(((VLOOKUP(EDATE(B228,-12),Database!$A:$AS,MATCH($D$1,Database!$A$1:$AS$1,),))))</f>
        <v/>
      </c>
      <c r="E228" s="13">
        <f>((((VLOOKUP(B228,Database!$A:$AS,MATCH($E$1,Database!$A$1:$AS$1,),))))-(((VLOOKUP(EDATE(B228,-12),Database!$A:$AS,MATCH($E$1,Database!$A$1:$AS$1,),)))))/(((VLOOKUP(EDATE(B228,-12),Database!$A:$AS,MATCH($E$1,Database!$A$1:$AS$1,),))))</f>
        <v/>
      </c>
      <c r="F228" s="13">
        <f>((((VLOOKUP(B228,Database!$A:$AS,MATCH($F$1,Database!$A$1:$AS$1,),))))-(((VLOOKUP(EDATE(B228,-12),Database!$A:$AS,MATCH($F$1,Database!$A$1:$AS$1,),)))))/(((VLOOKUP(EDATE(B228,-12),Database!$A:$AS,MATCH($F$1,Database!$A$1:$AS$1,),))))</f>
        <v/>
      </c>
      <c r="G228" s="13">
        <f>((((VLOOKUP(B228,Database!$A:$AS,MATCH($G$1,Database!$A$1:$AS$1,),))))-(((VLOOKUP(EDATE(B228,-12),Database!$A:$AS,MATCH($G$1,Database!$A$1:$AS$1,),)))))/(((VLOOKUP(EDATE(B228,-12),Database!$A:$AS,MATCH($G$1,Database!$A$1:$AS$1,),))))</f>
        <v/>
      </c>
      <c r="H228" s="13">
        <f>((((VLOOKUP(B228,Database!$A:$AS,MATCH($H$1,Database!$A$1:$AS$1,),))))-(((VLOOKUP(EDATE(B228,-12),Database!$A:$AS,MATCH($H$1,Database!$A$1:$AS$1,),)))))/(((VLOOKUP(EDATE(B228,-12),Database!$A:$AS,MATCH($H$1,Database!$A$1:$AS$1,),))))</f>
        <v/>
      </c>
      <c r="I228" s="13">
        <f>((((VLOOKUP(B228,Database!$A:$AS,MATCH($I$1,Database!$A$1:$AS$1,),))))-(((VLOOKUP(EDATE(B228,-12),Database!$A:$AS,MATCH($I$1,Database!$A$1:$AS$1,),)))))/(((VLOOKUP(EDATE(B228,-12),Database!$A:$AS,MATCH($I$1,Database!$A$1:$AS$1,),))))</f>
        <v/>
      </c>
      <c r="J228" s="13">
        <f>((((VLOOKUP(B228,Database!$A:$AS,MATCH($J$1,Database!$A$1:$AS$1,),))))-(((VLOOKUP(EDATE(B228,-12),Database!$A:$AS,MATCH($J$1,Database!$A$1:$AS$1,),)))))/(((VLOOKUP(EDATE(B228,-12),Database!$A:$AS,MATCH($J$1,Database!$A$1:$AS$1,),))))</f>
        <v/>
      </c>
      <c r="K228" s="13">
        <f>((((VLOOKUP(B228,Database!$A:$AS,MATCH($K$1,Database!$A$1:$AS$1,),))))-(((VLOOKUP(EDATE(B228,-12),Database!$A:$AS,MATCH($K$1,Database!$A$1:$AS$1,),)))))/(((VLOOKUP(EDATE(B228,-12),Database!$A:$AS,MATCH($K$1,Database!$A$1:$AS$1,),))))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((((VLOOKUP(B228,Database!$A:$AS,MATCH($O$1,Database!$A$1:$AS$1,),))))-(((VLOOKUP(EDATE(B228,-12),Database!$A:$AS,MATCH($O$1,Database!$A$1:$AS$1,),)))))/(((VLOOKUP(EDATE(B228,-12),Database!$A:$AS,MATCH($O$1,Database!$A$1:$AS$1,),))))</f>
        <v/>
      </c>
      <c r="P228" s="13">
        <f>((((VLOOKUP(B228,Database!$A:$AS,MATCH($P$1,Database!$A$1:$AS$1,),))))-(((VLOOKUP(EDATE(B228,-12),Database!$A:$AS,MATCH($P$1,Database!$A$1:$AS$1,),)))))/(((VLOOKUP(EDATE(B228,-12),Database!$A:$AS,MATCH($P$1,Database!$A$1:$AS$1,),))))</f>
        <v/>
      </c>
      <c r="Q228" s="13">
        <f>((((VLOOKUP(B228,Database!$A:$AS,MATCH($Q$1,Database!$A$1:$AS$1,),))))-(((VLOOKUP(EDATE(B228,-12),Database!$A:$AS,MATCH($Q$1,Database!$A$1:$AS$1,),)))))/(((VLOOKUP(EDATE(B228,-12),Database!$A:$AS,MATCH($Q$1,Database!$A$1:$AS$1,),))))</f>
        <v/>
      </c>
      <c r="R228" s="13">
        <f>((((VLOOKUP(B228,Database!$A:$AS,MATCH($R$1,Database!$A$1:$AS$1,),))))-(((VLOOKUP(EDATE(B228,-12),Database!$A:$AS,MATCH($R$1,Database!$A$1:$AS$1,),)))))/(((VLOOKUP(EDATE(B228,-12),Database!$A:$AS,MATCH($R$1,Database!$A$1:$AS$1,),))))</f>
        <v/>
      </c>
      <c r="S228" s="13">
        <f>((((VLOOKUP(B228,Database!$A:$AS,MATCH($S$1,Database!$A$1:$AS$1,),))))-(((VLOOKUP(EDATE(B228,-12),Database!$A:$AS,MATCH($S$1,Database!$A$1:$AS$1,),)))))/(((VLOOKUP(EDATE(B228,-12),Database!$A:$AS,MATCH($S$1,Database!$A$1:$AS$1,),))))</f>
        <v/>
      </c>
      <c r="T228" s="13">
        <f>((((VLOOKUP(B228,Database!$A:$AS,MATCH($T$1,Database!$A$1:$AS$1,),))))-(((VLOOKUP(EDATE(B228,-12),Database!$A:$AS,MATCH($T$1,Database!$A$1:$AS$1,),)))))/(((VLOOKUP(EDATE(B228,-12),Database!$A:$AS,MATCH($T$1,Database!$A$1:$AS$1,),))))</f>
        <v/>
      </c>
      <c r="U228" s="13">
        <f>((((VLOOKUP(B228,Database!$A:$AS,MATCH($U$1,Database!$A$1:$AS$1,),))))-(((VLOOKUP(EDATE(B228,-12),Database!$A:$AS,MATCH($U$1,Database!$A$1:$AS$1,),)))))/(((VLOOKUP(EDATE(B228,-12),Database!$A:$AS,MATCH($U$1,Database!$A$1:$AS$1,),))))</f>
        <v/>
      </c>
      <c r="V228" s="13">
        <f>((((VLOOKUP(B228,Database!$A:$AS,MATCH($V$1,Database!$A$1:$AS$1,),))))-(((VLOOKUP(EDATE(B228,-12),Database!$A:$AS,MATCH($V$1,Database!$A$1:$AS$1,),)))))/(((VLOOKUP(EDATE(B228,-12),Database!$A:$AS,MATCH($V$1,Database!$A$1:$AS$1,),))))</f>
        <v/>
      </c>
    </row>
    <row r="229" customFormat="1" s="94">
      <c r="A229" s="44" t="n"/>
      <c r="B229" s="85" t="n">
        <v>39114</v>
      </c>
      <c r="C229" s="13">
        <f>((((VLOOKUP(B229,Database!$A:$AS,MATCH($C$1,Database!$A$1:$AS$1,),))))-(((VLOOKUP(EDATE(B229,-12),Database!$A:$AS,MATCH($C$1,Database!$A$1:$AS$1,),)))))/(((VLOOKUP(EDATE(B229,-12),Database!$A:$AS,MATCH($C$1,Database!$A$1:$AS$1,),))))</f>
        <v/>
      </c>
      <c r="D229" s="13">
        <f>((((VLOOKUP(B229,Database!$A:$AS,MATCH($D$1,Database!$A$1:$AS$1,),))))-(((VLOOKUP(EDATE(B229,-12),Database!$A:$AS,MATCH($D$1,Database!$A$1:$AS$1,),)))))/(((VLOOKUP(EDATE(B229,-12),Database!$A:$AS,MATCH($D$1,Database!$A$1:$AS$1,),))))</f>
        <v/>
      </c>
      <c r="E229" s="13">
        <f>((((VLOOKUP(B229,Database!$A:$AS,MATCH($E$1,Database!$A$1:$AS$1,),))))-(((VLOOKUP(EDATE(B229,-12),Database!$A:$AS,MATCH($E$1,Database!$A$1:$AS$1,),)))))/(((VLOOKUP(EDATE(B229,-12),Database!$A:$AS,MATCH($E$1,Database!$A$1:$AS$1,),))))</f>
        <v/>
      </c>
      <c r="F229" s="13">
        <f>((((VLOOKUP(B229,Database!$A:$AS,MATCH($F$1,Database!$A$1:$AS$1,),))))-(((VLOOKUP(EDATE(B229,-12),Database!$A:$AS,MATCH($F$1,Database!$A$1:$AS$1,),)))))/(((VLOOKUP(EDATE(B229,-12),Database!$A:$AS,MATCH($F$1,Database!$A$1:$AS$1,),))))</f>
        <v/>
      </c>
      <c r="G229" s="13">
        <f>((((VLOOKUP(B229,Database!$A:$AS,MATCH($G$1,Database!$A$1:$AS$1,),))))-(((VLOOKUP(EDATE(B229,-12),Database!$A:$AS,MATCH($G$1,Database!$A$1:$AS$1,),)))))/(((VLOOKUP(EDATE(B229,-12),Database!$A:$AS,MATCH($G$1,Database!$A$1:$AS$1,),))))</f>
        <v/>
      </c>
      <c r="H229" s="13">
        <f>((((VLOOKUP(B229,Database!$A:$AS,MATCH($H$1,Database!$A$1:$AS$1,),))))-(((VLOOKUP(EDATE(B229,-12),Database!$A:$AS,MATCH($H$1,Database!$A$1:$AS$1,),)))))/(((VLOOKUP(EDATE(B229,-12),Database!$A:$AS,MATCH($H$1,Database!$A$1:$AS$1,),))))</f>
        <v/>
      </c>
      <c r="I229" s="13">
        <f>((((VLOOKUP(B229,Database!$A:$AS,MATCH($I$1,Database!$A$1:$AS$1,),))))-(((VLOOKUP(EDATE(B229,-12),Database!$A:$AS,MATCH($I$1,Database!$A$1:$AS$1,),)))))/(((VLOOKUP(EDATE(B229,-12),Database!$A:$AS,MATCH($I$1,Database!$A$1:$AS$1,),))))</f>
        <v/>
      </c>
      <c r="J229" s="13">
        <f>((((VLOOKUP(B229,Database!$A:$AS,MATCH($J$1,Database!$A$1:$AS$1,),))))-(((VLOOKUP(EDATE(B229,-12),Database!$A:$AS,MATCH($J$1,Database!$A$1:$AS$1,),)))))/(((VLOOKUP(EDATE(B229,-12),Database!$A:$AS,MATCH($J$1,Database!$A$1:$AS$1,),))))</f>
        <v/>
      </c>
      <c r="K229" s="13">
        <f>((((VLOOKUP(B229,Database!$A:$AS,MATCH($K$1,Database!$A$1:$AS$1,),))))-(((VLOOKUP(EDATE(B229,-12),Database!$A:$AS,MATCH($K$1,Database!$A$1:$AS$1,),)))))/(((VLOOKUP(EDATE(B229,-12),Database!$A:$AS,MATCH($K$1,Database!$A$1:$AS$1,),))))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((((VLOOKUP(B229,Database!$A:$AS,MATCH($O$1,Database!$A$1:$AS$1,),))))-(((VLOOKUP(EDATE(B229,-12),Database!$A:$AS,MATCH($O$1,Database!$A$1:$AS$1,),)))))/(((VLOOKUP(EDATE(B229,-12),Database!$A:$AS,MATCH($O$1,Database!$A$1:$AS$1,),))))</f>
        <v/>
      </c>
      <c r="P229" s="13">
        <f>((((VLOOKUP(B229,Database!$A:$AS,MATCH($P$1,Database!$A$1:$AS$1,),))))-(((VLOOKUP(EDATE(B229,-12),Database!$A:$AS,MATCH($P$1,Database!$A$1:$AS$1,),)))))/(((VLOOKUP(EDATE(B229,-12),Database!$A:$AS,MATCH($P$1,Database!$A$1:$AS$1,),))))</f>
        <v/>
      </c>
      <c r="Q229" s="13">
        <f>((((VLOOKUP(B229,Database!$A:$AS,MATCH($Q$1,Database!$A$1:$AS$1,),))))-(((VLOOKUP(EDATE(B229,-12),Database!$A:$AS,MATCH($Q$1,Database!$A$1:$AS$1,),)))))/(((VLOOKUP(EDATE(B229,-12),Database!$A:$AS,MATCH($Q$1,Database!$A$1:$AS$1,),))))</f>
        <v/>
      </c>
      <c r="R229" s="13">
        <f>((((VLOOKUP(B229,Database!$A:$AS,MATCH($R$1,Database!$A$1:$AS$1,),))))-(((VLOOKUP(EDATE(B229,-12),Database!$A:$AS,MATCH($R$1,Database!$A$1:$AS$1,),)))))/(((VLOOKUP(EDATE(B229,-12),Database!$A:$AS,MATCH($R$1,Database!$A$1:$AS$1,),))))</f>
        <v/>
      </c>
      <c r="S229" s="13">
        <f>((((VLOOKUP(B229,Database!$A:$AS,MATCH($S$1,Database!$A$1:$AS$1,),))))-(((VLOOKUP(EDATE(B229,-12),Database!$A:$AS,MATCH($S$1,Database!$A$1:$AS$1,),)))))/(((VLOOKUP(EDATE(B229,-12),Database!$A:$AS,MATCH($S$1,Database!$A$1:$AS$1,),))))</f>
        <v/>
      </c>
      <c r="T229" s="13">
        <f>((((VLOOKUP(B229,Database!$A:$AS,MATCH($T$1,Database!$A$1:$AS$1,),))))-(((VLOOKUP(EDATE(B229,-12),Database!$A:$AS,MATCH($T$1,Database!$A$1:$AS$1,),)))))/(((VLOOKUP(EDATE(B229,-12),Database!$A:$AS,MATCH($T$1,Database!$A$1:$AS$1,),))))</f>
        <v/>
      </c>
      <c r="U229" s="13">
        <f>((((VLOOKUP(B229,Database!$A:$AS,MATCH($U$1,Database!$A$1:$AS$1,),))))-(((VLOOKUP(EDATE(B229,-12),Database!$A:$AS,MATCH($U$1,Database!$A$1:$AS$1,),)))))/(((VLOOKUP(EDATE(B229,-12),Database!$A:$AS,MATCH($U$1,Database!$A$1:$AS$1,),))))</f>
        <v/>
      </c>
      <c r="V229" s="13">
        <f>((((VLOOKUP(B229,Database!$A:$AS,MATCH($V$1,Database!$A$1:$AS$1,),))))-(((VLOOKUP(EDATE(B229,-12),Database!$A:$AS,MATCH($V$1,Database!$A$1:$AS$1,),)))))/(((VLOOKUP(EDATE(B229,-12),Database!$A:$AS,MATCH($V$1,Database!$A$1:$AS$1,),))))</f>
        <v/>
      </c>
    </row>
    <row r="230" customFormat="1" s="94">
      <c r="A230" s="44" t="n"/>
      <c r="B230" s="85" t="n">
        <v>39142</v>
      </c>
      <c r="C230" s="13">
        <f>((((VLOOKUP(B230,Database!$A:$AS,MATCH($C$1,Database!$A$1:$AS$1,),))))-(((VLOOKUP(EDATE(B230,-12),Database!$A:$AS,MATCH($C$1,Database!$A$1:$AS$1,),)))))/(((VLOOKUP(EDATE(B230,-12),Database!$A:$AS,MATCH($C$1,Database!$A$1:$AS$1,),))))</f>
        <v/>
      </c>
      <c r="D230" s="13">
        <f>((((VLOOKUP(B230,Database!$A:$AS,MATCH($D$1,Database!$A$1:$AS$1,),))))-(((VLOOKUP(EDATE(B230,-12),Database!$A:$AS,MATCH($D$1,Database!$A$1:$AS$1,),)))))/(((VLOOKUP(EDATE(B230,-12),Database!$A:$AS,MATCH($D$1,Database!$A$1:$AS$1,),))))</f>
        <v/>
      </c>
      <c r="E230" s="13">
        <f>((((VLOOKUP(B230,Database!$A:$AS,MATCH($E$1,Database!$A$1:$AS$1,),))))-(((VLOOKUP(EDATE(B230,-12),Database!$A:$AS,MATCH($E$1,Database!$A$1:$AS$1,),)))))/(((VLOOKUP(EDATE(B230,-12),Database!$A:$AS,MATCH($E$1,Database!$A$1:$AS$1,),))))</f>
        <v/>
      </c>
      <c r="F230" s="13">
        <f>((((VLOOKUP(B230,Database!$A:$AS,MATCH($F$1,Database!$A$1:$AS$1,),))))-(((VLOOKUP(EDATE(B230,-12),Database!$A:$AS,MATCH($F$1,Database!$A$1:$AS$1,),)))))/(((VLOOKUP(EDATE(B230,-12),Database!$A:$AS,MATCH($F$1,Database!$A$1:$AS$1,),))))</f>
        <v/>
      </c>
      <c r="G230" s="13">
        <f>((((VLOOKUP(B230,Database!$A:$AS,MATCH($G$1,Database!$A$1:$AS$1,),))))-(((VLOOKUP(EDATE(B230,-12),Database!$A:$AS,MATCH($G$1,Database!$A$1:$AS$1,),)))))/(((VLOOKUP(EDATE(B230,-12),Database!$A:$AS,MATCH($G$1,Database!$A$1:$AS$1,),))))</f>
        <v/>
      </c>
      <c r="H230" s="13">
        <f>((((VLOOKUP(B230,Database!$A:$AS,MATCH($H$1,Database!$A$1:$AS$1,),))))-(((VLOOKUP(EDATE(B230,-12),Database!$A:$AS,MATCH($H$1,Database!$A$1:$AS$1,),)))))/(((VLOOKUP(EDATE(B230,-12),Database!$A:$AS,MATCH($H$1,Database!$A$1:$AS$1,),))))</f>
        <v/>
      </c>
      <c r="I230" s="13">
        <f>((((VLOOKUP(B230,Database!$A:$AS,MATCH($I$1,Database!$A$1:$AS$1,),))))-(((VLOOKUP(EDATE(B230,-12),Database!$A:$AS,MATCH($I$1,Database!$A$1:$AS$1,),)))))/(((VLOOKUP(EDATE(B230,-12),Database!$A:$AS,MATCH($I$1,Database!$A$1:$AS$1,),))))</f>
        <v/>
      </c>
      <c r="J230" s="13">
        <f>((((VLOOKUP(B230,Database!$A:$AS,MATCH($J$1,Database!$A$1:$AS$1,),))))-(((VLOOKUP(EDATE(B230,-12),Database!$A:$AS,MATCH($J$1,Database!$A$1:$AS$1,),)))))/(((VLOOKUP(EDATE(B230,-12),Database!$A:$AS,MATCH($J$1,Database!$A$1:$AS$1,),))))</f>
        <v/>
      </c>
      <c r="K230" s="13">
        <f>((((VLOOKUP(B230,Database!$A:$AS,MATCH($K$1,Database!$A$1:$AS$1,),))))-(((VLOOKUP(EDATE(B230,-12),Database!$A:$AS,MATCH($K$1,Database!$A$1:$AS$1,),)))))/(((VLOOKUP(EDATE(B230,-12),Database!$A:$AS,MATCH($K$1,Database!$A$1:$AS$1,),))))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((((VLOOKUP(B230,Database!$A:$AS,MATCH($O$1,Database!$A$1:$AS$1,),))))-(((VLOOKUP(EDATE(B230,-12),Database!$A:$AS,MATCH($O$1,Database!$A$1:$AS$1,),)))))/(((VLOOKUP(EDATE(B230,-12),Database!$A:$AS,MATCH($O$1,Database!$A$1:$AS$1,),))))</f>
        <v/>
      </c>
      <c r="P230" s="13">
        <f>((((VLOOKUP(B230,Database!$A:$AS,MATCH($P$1,Database!$A$1:$AS$1,),))))-(((VLOOKUP(EDATE(B230,-12),Database!$A:$AS,MATCH($P$1,Database!$A$1:$AS$1,),)))))/(((VLOOKUP(EDATE(B230,-12),Database!$A:$AS,MATCH($P$1,Database!$A$1:$AS$1,),))))</f>
        <v/>
      </c>
      <c r="Q230" s="13">
        <f>((((VLOOKUP(B230,Database!$A:$AS,MATCH($Q$1,Database!$A$1:$AS$1,),))))-(((VLOOKUP(EDATE(B230,-12),Database!$A:$AS,MATCH($Q$1,Database!$A$1:$AS$1,),)))))/(((VLOOKUP(EDATE(B230,-12),Database!$A:$AS,MATCH($Q$1,Database!$A$1:$AS$1,),))))</f>
        <v/>
      </c>
      <c r="R230" s="13">
        <f>((((VLOOKUP(B230,Database!$A:$AS,MATCH($R$1,Database!$A$1:$AS$1,),))))-(((VLOOKUP(EDATE(B230,-12),Database!$A:$AS,MATCH($R$1,Database!$A$1:$AS$1,),)))))/(((VLOOKUP(EDATE(B230,-12),Database!$A:$AS,MATCH($R$1,Database!$A$1:$AS$1,),))))</f>
        <v/>
      </c>
      <c r="S230" s="13">
        <f>((((VLOOKUP(B230,Database!$A:$AS,MATCH($S$1,Database!$A$1:$AS$1,),))))-(((VLOOKUP(EDATE(B230,-12),Database!$A:$AS,MATCH($S$1,Database!$A$1:$AS$1,),)))))/(((VLOOKUP(EDATE(B230,-12),Database!$A:$AS,MATCH($S$1,Database!$A$1:$AS$1,),))))</f>
        <v/>
      </c>
      <c r="T230" s="13">
        <f>((((VLOOKUP(B230,Database!$A:$AS,MATCH($T$1,Database!$A$1:$AS$1,),))))-(((VLOOKUP(EDATE(B230,-12),Database!$A:$AS,MATCH($T$1,Database!$A$1:$AS$1,),)))))/(((VLOOKUP(EDATE(B230,-12),Database!$A:$AS,MATCH($T$1,Database!$A$1:$AS$1,),))))</f>
        <v/>
      </c>
      <c r="U230" s="13">
        <f>((((VLOOKUP(B230,Database!$A:$AS,MATCH($U$1,Database!$A$1:$AS$1,),))))-(((VLOOKUP(EDATE(B230,-12),Database!$A:$AS,MATCH($U$1,Database!$A$1:$AS$1,),)))))/(((VLOOKUP(EDATE(B230,-12),Database!$A:$AS,MATCH($U$1,Database!$A$1:$AS$1,),))))</f>
        <v/>
      </c>
      <c r="V230" s="13">
        <f>((((VLOOKUP(B230,Database!$A:$AS,MATCH($V$1,Database!$A$1:$AS$1,),))))-(((VLOOKUP(EDATE(B230,-12),Database!$A:$AS,MATCH($V$1,Database!$A$1:$AS$1,),)))))/(((VLOOKUP(EDATE(B230,-12),Database!$A:$AS,MATCH($V$1,Database!$A$1:$AS$1,),))))</f>
        <v/>
      </c>
    </row>
    <row r="231" customFormat="1" s="94">
      <c r="A231" s="44" t="n"/>
      <c r="B231" s="85" t="n">
        <v>39173</v>
      </c>
      <c r="C231" s="13">
        <f>((((VLOOKUP(B231,Database!$A:$AS,MATCH($C$1,Database!$A$1:$AS$1,),))))-(((VLOOKUP(EDATE(B231,-12),Database!$A:$AS,MATCH($C$1,Database!$A$1:$AS$1,),)))))/(((VLOOKUP(EDATE(B231,-12),Database!$A:$AS,MATCH($C$1,Database!$A$1:$AS$1,),))))</f>
        <v/>
      </c>
      <c r="D231" s="13">
        <f>((((VLOOKUP(B231,Database!$A:$AS,MATCH($D$1,Database!$A$1:$AS$1,),))))-(((VLOOKUP(EDATE(B231,-12),Database!$A:$AS,MATCH($D$1,Database!$A$1:$AS$1,),)))))/(((VLOOKUP(EDATE(B231,-12),Database!$A:$AS,MATCH($D$1,Database!$A$1:$AS$1,),))))</f>
        <v/>
      </c>
      <c r="E231" s="13">
        <f>((((VLOOKUP(B231,Database!$A:$AS,MATCH($E$1,Database!$A$1:$AS$1,),))))-(((VLOOKUP(EDATE(B231,-12),Database!$A:$AS,MATCH($E$1,Database!$A$1:$AS$1,),)))))/(((VLOOKUP(EDATE(B231,-12),Database!$A:$AS,MATCH($E$1,Database!$A$1:$AS$1,),))))</f>
        <v/>
      </c>
      <c r="F231" s="13">
        <f>((((VLOOKUP(B231,Database!$A:$AS,MATCH($F$1,Database!$A$1:$AS$1,),))))-(((VLOOKUP(EDATE(B231,-12),Database!$A:$AS,MATCH($F$1,Database!$A$1:$AS$1,),)))))/(((VLOOKUP(EDATE(B231,-12),Database!$A:$AS,MATCH($F$1,Database!$A$1:$AS$1,),))))</f>
        <v/>
      </c>
      <c r="G231" s="13">
        <f>((((VLOOKUP(B231,Database!$A:$AS,MATCH($G$1,Database!$A$1:$AS$1,),))))-(((VLOOKUP(EDATE(B231,-12),Database!$A:$AS,MATCH($G$1,Database!$A$1:$AS$1,),)))))/(((VLOOKUP(EDATE(B231,-12),Database!$A:$AS,MATCH($G$1,Database!$A$1:$AS$1,),))))</f>
        <v/>
      </c>
      <c r="H231" s="13">
        <f>((((VLOOKUP(B231,Database!$A:$AS,MATCH($H$1,Database!$A$1:$AS$1,),))))-(((VLOOKUP(EDATE(B231,-12),Database!$A:$AS,MATCH($H$1,Database!$A$1:$AS$1,),)))))/(((VLOOKUP(EDATE(B231,-12),Database!$A:$AS,MATCH($H$1,Database!$A$1:$AS$1,),))))</f>
        <v/>
      </c>
      <c r="I231" s="13">
        <f>((((VLOOKUP(B231,Database!$A:$AS,MATCH($I$1,Database!$A$1:$AS$1,),))))-(((VLOOKUP(EDATE(B231,-12),Database!$A:$AS,MATCH($I$1,Database!$A$1:$AS$1,),)))))/(((VLOOKUP(EDATE(B231,-12),Database!$A:$AS,MATCH($I$1,Database!$A$1:$AS$1,),))))</f>
        <v/>
      </c>
      <c r="J231" s="13">
        <f>((((VLOOKUP(B231,Database!$A:$AS,MATCH($J$1,Database!$A$1:$AS$1,),))))-(((VLOOKUP(EDATE(B231,-12),Database!$A:$AS,MATCH($J$1,Database!$A$1:$AS$1,),)))))/(((VLOOKUP(EDATE(B231,-12),Database!$A:$AS,MATCH($J$1,Database!$A$1:$AS$1,),))))</f>
        <v/>
      </c>
      <c r="K231" s="13">
        <f>((((VLOOKUP(B231,Database!$A:$AS,MATCH($K$1,Database!$A$1:$AS$1,),))))-(((VLOOKUP(EDATE(B231,-12),Database!$A:$AS,MATCH($K$1,Database!$A$1:$AS$1,),)))))/(((VLOOKUP(EDATE(B231,-12),Database!$A:$AS,MATCH($K$1,Database!$A$1:$AS$1,),))))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((((VLOOKUP(B231,Database!$A:$AS,MATCH($O$1,Database!$A$1:$AS$1,),))))-(((VLOOKUP(EDATE(B231,-12),Database!$A:$AS,MATCH($O$1,Database!$A$1:$AS$1,),)))))/(((VLOOKUP(EDATE(B231,-12),Database!$A:$AS,MATCH($O$1,Database!$A$1:$AS$1,),))))</f>
        <v/>
      </c>
      <c r="P231" s="13">
        <f>((((VLOOKUP(B231,Database!$A:$AS,MATCH($P$1,Database!$A$1:$AS$1,),))))-(((VLOOKUP(EDATE(B231,-12),Database!$A:$AS,MATCH($P$1,Database!$A$1:$AS$1,),)))))/(((VLOOKUP(EDATE(B231,-12),Database!$A:$AS,MATCH($P$1,Database!$A$1:$AS$1,),))))</f>
        <v/>
      </c>
      <c r="Q231" s="13">
        <f>((((VLOOKUP(B231,Database!$A:$AS,MATCH($Q$1,Database!$A$1:$AS$1,),))))-(((VLOOKUP(EDATE(B231,-12),Database!$A:$AS,MATCH($Q$1,Database!$A$1:$AS$1,),)))))/(((VLOOKUP(EDATE(B231,-12),Database!$A:$AS,MATCH($Q$1,Database!$A$1:$AS$1,),))))</f>
        <v/>
      </c>
      <c r="R231" s="13">
        <f>((((VLOOKUP(B231,Database!$A:$AS,MATCH($R$1,Database!$A$1:$AS$1,),))))-(((VLOOKUP(EDATE(B231,-12),Database!$A:$AS,MATCH($R$1,Database!$A$1:$AS$1,),)))))/(((VLOOKUP(EDATE(B231,-12),Database!$A:$AS,MATCH($R$1,Database!$A$1:$AS$1,),))))</f>
        <v/>
      </c>
      <c r="S231" s="13">
        <f>((((VLOOKUP(B231,Database!$A:$AS,MATCH($S$1,Database!$A$1:$AS$1,),))))-(((VLOOKUP(EDATE(B231,-12),Database!$A:$AS,MATCH($S$1,Database!$A$1:$AS$1,),)))))/(((VLOOKUP(EDATE(B231,-12),Database!$A:$AS,MATCH($S$1,Database!$A$1:$AS$1,),))))</f>
        <v/>
      </c>
      <c r="T231" s="13">
        <f>((((VLOOKUP(B231,Database!$A:$AS,MATCH($T$1,Database!$A$1:$AS$1,),))))-(((VLOOKUP(EDATE(B231,-12),Database!$A:$AS,MATCH($T$1,Database!$A$1:$AS$1,),)))))/(((VLOOKUP(EDATE(B231,-12),Database!$A:$AS,MATCH($T$1,Database!$A$1:$AS$1,),))))</f>
        <v/>
      </c>
      <c r="U231" s="13">
        <f>((((VLOOKUP(B231,Database!$A:$AS,MATCH($U$1,Database!$A$1:$AS$1,),))))-(((VLOOKUP(EDATE(B231,-12),Database!$A:$AS,MATCH($U$1,Database!$A$1:$AS$1,),)))))/(((VLOOKUP(EDATE(B231,-12),Database!$A:$AS,MATCH($U$1,Database!$A$1:$AS$1,),))))</f>
        <v/>
      </c>
      <c r="V231" s="13">
        <f>((((VLOOKUP(B231,Database!$A:$AS,MATCH($V$1,Database!$A$1:$AS$1,),))))-(((VLOOKUP(EDATE(B231,-12),Database!$A:$AS,MATCH($V$1,Database!$A$1:$AS$1,),)))))/(((VLOOKUP(EDATE(B231,-12),Database!$A:$AS,MATCH($V$1,Database!$A$1:$AS$1,),))))</f>
        <v/>
      </c>
    </row>
    <row r="232" customFormat="1" s="94">
      <c r="A232" s="44" t="n"/>
      <c r="B232" s="85" t="n">
        <v>39203</v>
      </c>
      <c r="C232" s="13">
        <f>((((VLOOKUP(B232,Database!$A:$AS,MATCH($C$1,Database!$A$1:$AS$1,),))))-(((VLOOKUP(EDATE(B232,-12),Database!$A:$AS,MATCH($C$1,Database!$A$1:$AS$1,),)))))/(((VLOOKUP(EDATE(B232,-12),Database!$A:$AS,MATCH($C$1,Database!$A$1:$AS$1,),))))</f>
        <v/>
      </c>
      <c r="D232" s="13">
        <f>((((VLOOKUP(B232,Database!$A:$AS,MATCH($D$1,Database!$A$1:$AS$1,),))))-(((VLOOKUP(EDATE(B232,-12),Database!$A:$AS,MATCH($D$1,Database!$A$1:$AS$1,),)))))/(((VLOOKUP(EDATE(B232,-12),Database!$A:$AS,MATCH($D$1,Database!$A$1:$AS$1,),))))</f>
        <v/>
      </c>
      <c r="E232" s="13">
        <f>((((VLOOKUP(B232,Database!$A:$AS,MATCH($E$1,Database!$A$1:$AS$1,),))))-(((VLOOKUP(EDATE(B232,-12),Database!$A:$AS,MATCH($E$1,Database!$A$1:$AS$1,),)))))/(((VLOOKUP(EDATE(B232,-12),Database!$A:$AS,MATCH($E$1,Database!$A$1:$AS$1,),))))</f>
        <v/>
      </c>
      <c r="F232" s="13">
        <f>((((VLOOKUP(B232,Database!$A:$AS,MATCH($F$1,Database!$A$1:$AS$1,),))))-(((VLOOKUP(EDATE(B232,-12),Database!$A:$AS,MATCH($F$1,Database!$A$1:$AS$1,),)))))/(((VLOOKUP(EDATE(B232,-12),Database!$A:$AS,MATCH($F$1,Database!$A$1:$AS$1,),))))</f>
        <v/>
      </c>
      <c r="G232" s="13">
        <f>((((VLOOKUP(B232,Database!$A:$AS,MATCH($G$1,Database!$A$1:$AS$1,),))))-(((VLOOKUP(EDATE(B232,-12),Database!$A:$AS,MATCH($G$1,Database!$A$1:$AS$1,),)))))/(((VLOOKUP(EDATE(B232,-12),Database!$A:$AS,MATCH($G$1,Database!$A$1:$AS$1,),))))</f>
        <v/>
      </c>
      <c r="H232" s="13">
        <f>((((VLOOKUP(B232,Database!$A:$AS,MATCH($H$1,Database!$A$1:$AS$1,),))))-(((VLOOKUP(EDATE(B232,-12),Database!$A:$AS,MATCH($H$1,Database!$A$1:$AS$1,),)))))/(((VLOOKUP(EDATE(B232,-12),Database!$A:$AS,MATCH($H$1,Database!$A$1:$AS$1,),))))</f>
        <v/>
      </c>
      <c r="I232" s="13">
        <f>((((VLOOKUP(B232,Database!$A:$AS,MATCH($I$1,Database!$A$1:$AS$1,),))))-(((VLOOKUP(EDATE(B232,-12),Database!$A:$AS,MATCH($I$1,Database!$A$1:$AS$1,),)))))/(((VLOOKUP(EDATE(B232,-12),Database!$A:$AS,MATCH($I$1,Database!$A$1:$AS$1,),))))</f>
        <v/>
      </c>
      <c r="J232" s="13">
        <f>((((VLOOKUP(B232,Database!$A:$AS,MATCH($J$1,Database!$A$1:$AS$1,),))))-(((VLOOKUP(EDATE(B232,-12),Database!$A:$AS,MATCH($J$1,Database!$A$1:$AS$1,),)))))/(((VLOOKUP(EDATE(B232,-12),Database!$A:$AS,MATCH($J$1,Database!$A$1:$AS$1,),))))</f>
        <v/>
      </c>
      <c r="K232" s="13">
        <f>((((VLOOKUP(B232,Database!$A:$AS,MATCH($K$1,Database!$A$1:$AS$1,),))))-(((VLOOKUP(EDATE(B232,-12),Database!$A:$AS,MATCH($K$1,Database!$A$1:$AS$1,),)))))/(((VLOOKUP(EDATE(B232,-12),Database!$A:$AS,MATCH($K$1,Database!$A$1:$AS$1,),))))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((((VLOOKUP(B232,Database!$A:$AS,MATCH($O$1,Database!$A$1:$AS$1,),))))-(((VLOOKUP(EDATE(B232,-12),Database!$A:$AS,MATCH($O$1,Database!$A$1:$AS$1,),)))))/(((VLOOKUP(EDATE(B232,-12),Database!$A:$AS,MATCH($O$1,Database!$A$1:$AS$1,),))))</f>
        <v/>
      </c>
      <c r="P232" s="13">
        <f>((((VLOOKUP(B232,Database!$A:$AS,MATCH($P$1,Database!$A$1:$AS$1,),))))-(((VLOOKUP(EDATE(B232,-12),Database!$A:$AS,MATCH($P$1,Database!$A$1:$AS$1,),)))))/(((VLOOKUP(EDATE(B232,-12),Database!$A:$AS,MATCH($P$1,Database!$A$1:$AS$1,),))))</f>
        <v/>
      </c>
      <c r="Q232" s="13">
        <f>((((VLOOKUP(B232,Database!$A:$AS,MATCH($Q$1,Database!$A$1:$AS$1,),))))-(((VLOOKUP(EDATE(B232,-12),Database!$A:$AS,MATCH($Q$1,Database!$A$1:$AS$1,),)))))/(((VLOOKUP(EDATE(B232,-12),Database!$A:$AS,MATCH($Q$1,Database!$A$1:$AS$1,),))))</f>
        <v/>
      </c>
      <c r="R232" s="13">
        <f>((((VLOOKUP(B232,Database!$A:$AS,MATCH($R$1,Database!$A$1:$AS$1,),))))-(((VLOOKUP(EDATE(B232,-12),Database!$A:$AS,MATCH($R$1,Database!$A$1:$AS$1,),)))))/(((VLOOKUP(EDATE(B232,-12),Database!$A:$AS,MATCH($R$1,Database!$A$1:$AS$1,),))))</f>
        <v/>
      </c>
      <c r="S232" s="13">
        <f>((((VLOOKUP(B232,Database!$A:$AS,MATCH($S$1,Database!$A$1:$AS$1,),))))-(((VLOOKUP(EDATE(B232,-12),Database!$A:$AS,MATCH($S$1,Database!$A$1:$AS$1,),)))))/(((VLOOKUP(EDATE(B232,-12),Database!$A:$AS,MATCH($S$1,Database!$A$1:$AS$1,),))))</f>
        <v/>
      </c>
      <c r="T232" s="13">
        <f>((((VLOOKUP(B232,Database!$A:$AS,MATCH($T$1,Database!$A$1:$AS$1,),))))-(((VLOOKUP(EDATE(B232,-12),Database!$A:$AS,MATCH($T$1,Database!$A$1:$AS$1,),)))))/(((VLOOKUP(EDATE(B232,-12),Database!$A:$AS,MATCH($T$1,Database!$A$1:$AS$1,),))))</f>
        <v/>
      </c>
      <c r="U232" s="13">
        <f>((((VLOOKUP(B232,Database!$A:$AS,MATCH($U$1,Database!$A$1:$AS$1,),))))-(((VLOOKUP(EDATE(B232,-12),Database!$A:$AS,MATCH($U$1,Database!$A$1:$AS$1,),)))))/(((VLOOKUP(EDATE(B232,-12),Database!$A:$AS,MATCH($U$1,Database!$A$1:$AS$1,),))))</f>
        <v/>
      </c>
      <c r="V232" s="13">
        <f>((((VLOOKUP(B232,Database!$A:$AS,MATCH($V$1,Database!$A$1:$AS$1,),))))-(((VLOOKUP(EDATE(B232,-12),Database!$A:$AS,MATCH($V$1,Database!$A$1:$AS$1,),)))))/(((VLOOKUP(EDATE(B232,-12),Database!$A:$AS,MATCH($V$1,Database!$A$1:$AS$1,),))))</f>
        <v/>
      </c>
    </row>
    <row r="233" customFormat="1" s="94">
      <c r="A233" s="44" t="n"/>
      <c r="B233" s="85" t="n">
        <v>39234</v>
      </c>
      <c r="C233" s="13">
        <f>((((VLOOKUP(B233,Database!$A:$AS,MATCH($C$1,Database!$A$1:$AS$1,),))))-(((VLOOKUP(EDATE(B233,-12),Database!$A:$AS,MATCH($C$1,Database!$A$1:$AS$1,),)))))/(((VLOOKUP(EDATE(B233,-12),Database!$A:$AS,MATCH($C$1,Database!$A$1:$AS$1,),))))</f>
        <v/>
      </c>
      <c r="D233" s="13">
        <f>((((VLOOKUP(B233,Database!$A:$AS,MATCH($D$1,Database!$A$1:$AS$1,),))))-(((VLOOKUP(EDATE(B233,-12),Database!$A:$AS,MATCH($D$1,Database!$A$1:$AS$1,),)))))/(((VLOOKUP(EDATE(B233,-12),Database!$A:$AS,MATCH($D$1,Database!$A$1:$AS$1,),))))</f>
        <v/>
      </c>
      <c r="E233" s="13">
        <f>((((VLOOKUP(B233,Database!$A:$AS,MATCH($E$1,Database!$A$1:$AS$1,),))))-(((VLOOKUP(EDATE(B233,-12),Database!$A:$AS,MATCH($E$1,Database!$A$1:$AS$1,),)))))/(((VLOOKUP(EDATE(B233,-12),Database!$A:$AS,MATCH($E$1,Database!$A$1:$AS$1,),))))</f>
        <v/>
      </c>
      <c r="F233" s="13">
        <f>((((VLOOKUP(B233,Database!$A:$AS,MATCH($F$1,Database!$A$1:$AS$1,),))))-(((VLOOKUP(EDATE(B233,-12),Database!$A:$AS,MATCH($F$1,Database!$A$1:$AS$1,),)))))/(((VLOOKUP(EDATE(B233,-12),Database!$A:$AS,MATCH($F$1,Database!$A$1:$AS$1,),))))</f>
        <v/>
      </c>
      <c r="G233" s="13">
        <f>((((VLOOKUP(B233,Database!$A:$AS,MATCH($G$1,Database!$A$1:$AS$1,),))))-(((VLOOKUP(EDATE(B233,-12),Database!$A:$AS,MATCH($G$1,Database!$A$1:$AS$1,),)))))/(((VLOOKUP(EDATE(B233,-12),Database!$A:$AS,MATCH($G$1,Database!$A$1:$AS$1,),))))</f>
        <v/>
      </c>
      <c r="H233" s="13">
        <f>((((VLOOKUP(B233,Database!$A:$AS,MATCH($H$1,Database!$A$1:$AS$1,),))))-(((VLOOKUP(EDATE(B233,-12),Database!$A:$AS,MATCH($H$1,Database!$A$1:$AS$1,),)))))/(((VLOOKUP(EDATE(B233,-12),Database!$A:$AS,MATCH($H$1,Database!$A$1:$AS$1,),))))</f>
        <v/>
      </c>
      <c r="I233" s="13">
        <f>((((VLOOKUP(B233,Database!$A:$AS,MATCH($I$1,Database!$A$1:$AS$1,),))))-(((VLOOKUP(EDATE(B233,-12),Database!$A:$AS,MATCH($I$1,Database!$A$1:$AS$1,),)))))/(((VLOOKUP(EDATE(B233,-12),Database!$A:$AS,MATCH($I$1,Database!$A$1:$AS$1,),))))</f>
        <v/>
      </c>
      <c r="J233" s="13">
        <f>((((VLOOKUP(B233,Database!$A:$AS,MATCH($J$1,Database!$A$1:$AS$1,),))))-(((VLOOKUP(EDATE(B233,-12),Database!$A:$AS,MATCH($J$1,Database!$A$1:$AS$1,),)))))/(((VLOOKUP(EDATE(B233,-12),Database!$A:$AS,MATCH($J$1,Database!$A$1:$AS$1,),))))</f>
        <v/>
      </c>
      <c r="K233" s="13">
        <f>((((VLOOKUP(B233,Database!$A:$AS,MATCH($K$1,Database!$A$1:$AS$1,),))))-(((VLOOKUP(EDATE(B233,-12),Database!$A:$AS,MATCH($K$1,Database!$A$1:$AS$1,),)))))/(((VLOOKUP(EDATE(B233,-12),Database!$A:$AS,MATCH($K$1,Database!$A$1:$AS$1,),))))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((((VLOOKUP(B233,Database!$A:$AS,MATCH($O$1,Database!$A$1:$AS$1,),))))-(((VLOOKUP(EDATE(B233,-12),Database!$A:$AS,MATCH($O$1,Database!$A$1:$AS$1,),)))))/(((VLOOKUP(EDATE(B233,-12),Database!$A:$AS,MATCH($O$1,Database!$A$1:$AS$1,),))))</f>
        <v/>
      </c>
      <c r="P233" s="13">
        <f>((((VLOOKUP(B233,Database!$A:$AS,MATCH($P$1,Database!$A$1:$AS$1,),))))-(((VLOOKUP(EDATE(B233,-12),Database!$A:$AS,MATCH($P$1,Database!$A$1:$AS$1,),)))))/(((VLOOKUP(EDATE(B233,-12),Database!$A:$AS,MATCH($P$1,Database!$A$1:$AS$1,),))))</f>
        <v/>
      </c>
      <c r="Q233" s="13">
        <f>((((VLOOKUP(B233,Database!$A:$AS,MATCH($Q$1,Database!$A$1:$AS$1,),))))-(((VLOOKUP(EDATE(B233,-12),Database!$A:$AS,MATCH($Q$1,Database!$A$1:$AS$1,),)))))/(((VLOOKUP(EDATE(B233,-12),Database!$A:$AS,MATCH($Q$1,Database!$A$1:$AS$1,),))))</f>
        <v/>
      </c>
      <c r="R233" s="13">
        <f>((((VLOOKUP(B233,Database!$A:$AS,MATCH($R$1,Database!$A$1:$AS$1,),))))-(((VLOOKUP(EDATE(B233,-12),Database!$A:$AS,MATCH($R$1,Database!$A$1:$AS$1,),)))))/(((VLOOKUP(EDATE(B233,-12),Database!$A:$AS,MATCH($R$1,Database!$A$1:$AS$1,),))))</f>
        <v/>
      </c>
      <c r="S233" s="13">
        <f>((((VLOOKUP(B233,Database!$A:$AS,MATCH($S$1,Database!$A$1:$AS$1,),))))-(((VLOOKUP(EDATE(B233,-12),Database!$A:$AS,MATCH($S$1,Database!$A$1:$AS$1,),)))))/(((VLOOKUP(EDATE(B233,-12),Database!$A:$AS,MATCH($S$1,Database!$A$1:$AS$1,),))))</f>
        <v/>
      </c>
      <c r="T233" s="13">
        <f>((((VLOOKUP(B233,Database!$A:$AS,MATCH($T$1,Database!$A$1:$AS$1,),))))-(((VLOOKUP(EDATE(B233,-12),Database!$A:$AS,MATCH($T$1,Database!$A$1:$AS$1,),)))))/(((VLOOKUP(EDATE(B233,-12),Database!$A:$AS,MATCH($T$1,Database!$A$1:$AS$1,),))))</f>
        <v/>
      </c>
      <c r="U233" s="13">
        <f>((((VLOOKUP(B233,Database!$A:$AS,MATCH($U$1,Database!$A$1:$AS$1,),))))-(((VLOOKUP(EDATE(B233,-12),Database!$A:$AS,MATCH($U$1,Database!$A$1:$AS$1,),)))))/(((VLOOKUP(EDATE(B233,-12),Database!$A:$AS,MATCH($U$1,Database!$A$1:$AS$1,),))))</f>
        <v/>
      </c>
      <c r="V233" s="13">
        <f>((((VLOOKUP(B233,Database!$A:$AS,MATCH($V$1,Database!$A$1:$AS$1,),))))-(((VLOOKUP(EDATE(B233,-12),Database!$A:$AS,MATCH($V$1,Database!$A$1:$AS$1,),)))))/(((VLOOKUP(EDATE(B233,-12),Database!$A:$AS,MATCH($V$1,Database!$A$1:$AS$1,),))))</f>
        <v/>
      </c>
    </row>
    <row r="234" customFormat="1" s="94">
      <c r="A234" s="44" t="n"/>
      <c r="B234" s="85" t="n">
        <v>39264</v>
      </c>
      <c r="C234" s="13">
        <f>((((VLOOKUP(B234,Database!$A:$AS,MATCH($C$1,Database!$A$1:$AS$1,),))))-(((VLOOKUP(EDATE(B234,-12),Database!$A:$AS,MATCH($C$1,Database!$A$1:$AS$1,),)))))/(((VLOOKUP(EDATE(B234,-12),Database!$A:$AS,MATCH($C$1,Database!$A$1:$AS$1,),))))</f>
        <v/>
      </c>
      <c r="D234" s="13">
        <f>((((VLOOKUP(B234,Database!$A:$AS,MATCH($D$1,Database!$A$1:$AS$1,),))))-(((VLOOKUP(EDATE(B234,-12),Database!$A:$AS,MATCH($D$1,Database!$A$1:$AS$1,),)))))/(((VLOOKUP(EDATE(B234,-12),Database!$A:$AS,MATCH($D$1,Database!$A$1:$AS$1,),))))</f>
        <v/>
      </c>
      <c r="E234" s="13">
        <f>((((VLOOKUP(B234,Database!$A:$AS,MATCH($E$1,Database!$A$1:$AS$1,),))))-(((VLOOKUP(EDATE(B234,-12),Database!$A:$AS,MATCH($E$1,Database!$A$1:$AS$1,),)))))/(((VLOOKUP(EDATE(B234,-12),Database!$A:$AS,MATCH($E$1,Database!$A$1:$AS$1,),))))</f>
        <v/>
      </c>
      <c r="F234" s="13">
        <f>((((VLOOKUP(B234,Database!$A:$AS,MATCH($F$1,Database!$A$1:$AS$1,),))))-(((VLOOKUP(EDATE(B234,-12),Database!$A:$AS,MATCH($F$1,Database!$A$1:$AS$1,),)))))/(((VLOOKUP(EDATE(B234,-12),Database!$A:$AS,MATCH($F$1,Database!$A$1:$AS$1,),))))</f>
        <v/>
      </c>
      <c r="G234" s="13">
        <f>((((VLOOKUP(B234,Database!$A:$AS,MATCH($G$1,Database!$A$1:$AS$1,),))))-(((VLOOKUP(EDATE(B234,-12),Database!$A:$AS,MATCH($G$1,Database!$A$1:$AS$1,),)))))/(((VLOOKUP(EDATE(B234,-12),Database!$A:$AS,MATCH($G$1,Database!$A$1:$AS$1,),))))</f>
        <v/>
      </c>
      <c r="H234" s="13">
        <f>((((VLOOKUP(B234,Database!$A:$AS,MATCH($H$1,Database!$A$1:$AS$1,),))))-(((VLOOKUP(EDATE(B234,-12),Database!$A:$AS,MATCH($H$1,Database!$A$1:$AS$1,),)))))/(((VLOOKUP(EDATE(B234,-12),Database!$A:$AS,MATCH($H$1,Database!$A$1:$AS$1,),))))</f>
        <v/>
      </c>
      <c r="I234" s="13">
        <f>((((VLOOKUP(B234,Database!$A:$AS,MATCH($I$1,Database!$A$1:$AS$1,),))))-(((VLOOKUP(EDATE(B234,-12),Database!$A:$AS,MATCH($I$1,Database!$A$1:$AS$1,),)))))/(((VLOOKUP(EDATE(B234,-12),Database!$A:$AS,MATCH($I$1,Database!$A$1:$AS$1,),))))</f>
        <v/>
      </c>
      <c r="J234" s="13">
        <f>((((VLOOKUP(B234,Database!$A:$AS,MATCH($J$1,Database!$A$1:$AS$1,),))))-(((VLOOKUP(EDATE(B234,-12),Database!$A:$AS,MATCH($J$1,Database!$A$1:$AS$1,),)))))/(((VLOOKUP(EDATE(B234,-12),Database!$A:$AS,MATCH($J$1,Database!$A$1:$AS$1,),))))</f>
        <v/>
      </c>
      <c r="K234" s="13">
        <f>((((VLOOKUP(B234,Database!$A:$AS,MATCH($K$1,Database!$A$1:$AS$1,),))))-(((VLOOKUP(EDATE(B234,-12),Database!$A:$AS,MATCH($K$1,Database!$A$1:$AS$1,),)))))/(((VLOOKUP(EDATE(B234,-12),Database!$A:$AS,MATCH($K$1,Database!$A$1:$AS$1,),))))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((((VLOOKUP(B234,Database!$A:$AS,MATCH($O$1,Database!$A$1:$AS$1,),))))-(((VLOOKUP(EDATE(B234,-12),Database!$A:$AS,MATCH($O$1,Database!$A$1:$AS$1,),)))))/(((VLOOKUP(EDATE(B234,-12),Database!$A:$AS,MATCH($O$1,Database!$A$1:$AS$1,),))))</f>
        <v/>
      </c>
      <c r="P234" s="13">
        <f>((((VLOOKUP(B234,Database!$A:$AS,MATCH($P$1,Database!$A$1:$AS$1,),))))-(((VLOOKUP(EDATE(B234,-12),Database!$A:$AS,MATCH($P$1,Database!$A$1:$AS$1,),)))))/(((VLOOKUP(EDATE(B234,-12),Database!$A:$AS,MATCH($P$1,Database!$A$1:$AS$1,),))))</f>
        <v/>
      </c>
      <c r="Q234" s="13">
        <f>((((VLOOKUP(B234,Database!$A:$AS,MATCH($Q$1,Database!$A$1:$AS$1,),))))-(((VLOOKUP(EDATE(B234,-12),Database!$A:$AS,MATCH($Q$1,Database!$A$1:$AS$1,),)))))/(((VLOOKUP(EDATE(B234,-12),Database!$A:$AS,MATCH($Q$1,Database!$A$1:$AS$1,),))))</f>
        <v/>
      </c>
      <c r="R234" s="13">
        <f>((((VLOOKUP(B234,Database!$A:$AS,MATCH($R$1,Database!$A$1:$AS$1,),))))-(((VLOOKUP(EDATE(B234,-12),Database!$A:$AS,MATCH($R$1,Database!$A$1:$AS$1,),)))))/(((VLOOKUP(EDATE(B234,-12),Database!$A:$AS,MATCH($R$1,Database!$A$1:$AS$1,),))))</f>
        <v/>
      </c>
      <c r="S234" s="13">
        <f>((((VLOOKUP(B234,Database!$A:$AS,MATCH($S$1,Database!$A$1:$AS$1,),))))-(((VLOOKUP(EDATE(B234,-12),Database!$A:$AS,MATCH($S$1,Database!$A$1:$AS$1,),)))))/(((VLOOKUP(EDATE(B234,-12),Database!$A:$AS,MATCH($S$1,Database!$A$1:$AS$1,),))))</f>
        <v/>
      </c>
      <c r="T234" s="13">
        <f>((((VLOOKUP(B234,Database!$A:$AS,MATCH($T$1,Database!$A$1:$AS$1,),))))-(((VLOOKUP(EDATE(B234,-12),Database!$A:$AS,MATCH($T$1,Database!$A$1:$AS$1,),)))))/(((VLOOKUP(EDATE(B234,-12),Database!$A:$AS,MATCH($T$1,Database!$A$1:$AS$1,),))))</f>
        <v/>
      </c>
      <c r="U234" s="13">
        <f>((((VLOOKUP(B234,Database!$A:$AS,MATCH($U$1,Database!$A$1:$AS$1,),))))-(((VLOOKUP(EDATE(B234,-12),Database!$A:$AS,MATCH($U$1,Database!$A$1:$AS$1,),)))))/(((VLOOKUP(EDATE(B234,-12),Database!$A:$AS,MATCH($U$1,Database!$A$1:$AS$1,),))))</f>
        <v/>
      </c>
      <c r="V234" s="13">
        <f>((((VLOOKUP(B234,Database!$A:$AS,MATCH($V$1,Database!$A$1:$AS$1,),))))-(((VLOOKUP(EDATE(B234,-12),Database!$A:$AS,MATCH($V$1,Database!$A$1:$AS$1,),)))))/(((VLOOKUP(EDATE(B234,-12),Database!$A:$AS,MATCH($V$1,Database!$A$1:$AS$1,),))))</f>
        <v/>
      </c>
    </row>
    <row r="235" customFormat="1" s="94">
      <c r="A235" s="44" t="n"/>
      <c r="B235" s="85" t="n">
        <v>39295</v>
      </c>
      <c r="C235" s="13">
        <f>((((VLOOKUP(B235,Database!$A:$AS,MATCH($C$1,Database!$A$1:$AS$1,),))))-(((VLOOKUP(EDATE(B235,-12),Database!$A:$AS,MATCH($C$1,Database!$A$1:$AS$1,),)))))/(((VLOOKUP(EDATE(B235,-12),Database!$A:$AS,MATCH($C$1,Database!$A$1:$AS$1,),))))</f>
        <v/>
      </c>
      <c r="D235" s="13">
        <f>((((VLOOKUP(B235,Database!$A:$AS,MATCH($D$1,Database!$A$1:$AS$1,),))))-(((VLOOKUP(EDATE(B235,-12),Database!$A:$AS,MATCH($D$1,Database!$A$1:$AS$1,),)))))/(((VLOOKUP(EDATE(B235,-12),Database!$A:$AS,MATCH($D$1,Database!$A$1:$AS$1,),))))</f>
        <v/>
      </c>
      <c r="E235" s="13">
        <f>((((VLOOKUP(B235,Database!$A:$AS,MATCH($E$1,Database!$A$1:$AS$1,),))))-(((VLOOKUP(EDATE(B235,-12),Database!$A:$AS,MATCH($E$1,Database!$A$1:$AS$1,),)))))/(((VLOOKUP(EDATE(B235,-12),Database!$A:$AS,MATCH($E$1,Database!$A$1:$AS$1,),))))</f>
        <v/>
      </c>
      <c r="F235" s="13">
        <f>((((VLOOKUP(B235,Database!$A:$AS,MATCH($F$1,Database!$A$1:$AS$1,),))))-(((VLOOKUP(EDATE(B235,-12),Database!$A:$AS,MATCH($F$1,Database!$A$1:$AS$1,),)))))/(((VLOOKUP(EDATE(B235,-12),Database!$A:$AS,MATCH($F$1,Database!$A$1:$AS$1,),))))</f>
        <v/>
      </c>
      <c r="G235" s="13">
        <f>((((VLOOKUP(B235,Database!$A:$AS,MATCH($G$1,Database!$A$1:$AS$1,),))))-(((VLOOKUP(EDATE(B235,-12),Database!$A:$AS,MATCH($G$1,Database!$A$1:$AS$1,),)))))/(((VLOOKUP(EDATE(B235,-12),Database!$A:$AS,MATCH($G$1,Database!$A$1:$AS$1,),))))</f>
        <v/>
      </c>
      <c r="H235" s="13">
        <f>((((VLOOKUP(B235,Database!$A:$AS,MATCH($H$1,Database!$A$1:$AS$1,),))))-(((VLOOKUP(EDATE(B235,-12),Database!$A:$AS,MATCH($H$1,Database!$A$1:$AS$1,),)))))/(((VLOOKUP(EDATE(B235,-12),Database!$A:$AS,MATCH($H$1,Database!$A$1:$AS$1,),))))</f>
        <v/>
      </c>
      <c r="I235" s="13">
        <f>((((VLOOKUP(B235,Database!$A:$AS,MATCH($I$1,Database!$A$1:$AS$1,),))))-(((VLOOKUP(EDATE(B235,-12),Database!$A:$AS,MATCH($I$1,Database!$A$1:$AS$1,),)))))/(((VLOOKUP(EDATE(B235,-12),Database!$A:$AS,MATCH($I$1,Database!$A$1:$AS$1,),))))</f>
        <v/>
      </c>
      <c r="J235" s="13">
        <f>((((VLOOKUP(B235,Database!$A:$AS,MATCH($J$1,Database!$A$1:$AS$1,),))))-(((VLOOKUP(EDATE(B235,-12),Database!$A:$AS,MATCH($J$1,Database!$A$1:$AS$1,),)))))/(((VLOOKUP(EDATE(B235,-12),Database!$A:$AS,MATCH($J$1,Database!$A$1:$AS$1,),))))</f>
        <v/>
      </c>
      <c r="K235" s="13">
        <f>((((VLOOKUP(B235,Database!$A:$AS,MATCH($K$1,Database!$A$1:$AS$1,),))))-(((VLOOKUP(EDATE(B235,-12),Database!$A:$AS,MATCH($K$1,Database!$A$1:$AS$1,),)))))/(((VLOOKUP(EDATE(B235,-12),Database!$A:$AS,MATCH($K$1,Database!$A$1:$AS$1,),))))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((((VLOOKUP(B235,Database!$A:$AS,MATCH($O$1,Database!$A$1:$AS$1,),))))-(((VLOOKUP(EDATE(B235,-12),Database!$A:$AS,MATCH($O$1,Database!$A$1:$AS$1,),)))))/(((VLOOKUP(EDATE(B235,-12),Database!$A:$AS,MATCH($O$1,Database!$A$1:$AS$1,),))))</f>
        <v/>
      </c>
      <c r="P235" s="13">
        <f>((((VLOOKUP(B235,Database!$A:$AS,MATCH($P$1,Database!$A$1:$AS$1,),))))-(((VLOOKUP(EDATE(B235,-12),Database!$A:$AS,MATCH($P$1,Database!$A$1:$AS$1,),)))))/(((VLOOKUP(EDATE(B235,-12),Database!$A:$AS,MATCH($P$1,Database!$A$1:$AS$1,),))))</f>
        <v/>
      </c>
      <c r="Q235" s="13">
        <f>((((VLOOKUP(B235,Database!$A:$AS,MATCH($Q$1,Database!$A$1:$AS$1,),))))-(((VLOOKUP(EDATE(B235,-12),Database!$A:$AS,MATCH($Q$1,Database!$A$1:$AS$1,),)))))/(((VLOOKUP(EDATE(B235,-12),Database!$A:$AS,MATCH($Q$1,Database!$A$1:$AS$1,),))))</f>
        <v/>
      </c>
      <c r="R235" s="13">
        <f>((((VLOOKUP(B235,Database!$A:$AS,MATCH($R$1,Database!$A$1:$AS$1,),))))-(((VLOOKUP(EDATE(B235,-12),Database!$A:$AS,MATCH($R$1,Database!$A$1:$AS$1,),)))))/(((VLOOKUP(EDATE(B235,-12),Database!$A:$AS,MATCH($R$1,Database!$A$1:$AS$1,),))))</f>
        <v/>
      </c>
      <c r="S235" s="13">
        <f>((((VLOOKUP(B235,Database!$A:$AS,MATCH($S$1,Database!$A$1:$AS$1,),))))-(((VLOOKUP(EDATE(B235,-12),Database!$A:$AS,MATCH($S$1,Database!$A$1:$AS$1,),)))))/(((VLOOKUP(EDATE(B235,-12),Database!$A:$AS,MATCH($S$1,Database!$A$1:$AS$1,),))))</f>
        <v/>
      </c>
      <c r="T235" s="13">
        <f>((((VLOOKUP(B235,Database!$A:$AS,MATCH($T$1,Database!$A$1:$AS$1,),))))-(((VLOOKUP(EDATE(B235,-12),Database!$A:$AS,MATCH($T$1,Database!$A$1:$AS$1,),)))))/(((VLOOKUP(EDATE(B235,-12),Database!$A:$AS,MATCH($T$1,Database!$A$1:$AS$1,),))))</f>
        <v/>
      </c>
      <c r="U235" s="13">
        <f>((((VLOOKUP(B235,Database!$A:$AS,MATCH($U$1,Database!$A$1:$AS$1,),))))-(((VLOOKUP(EDATE(B235,-12),Database!$A:$AS,MATCH($U$1,Database!$A$1:$AS$1,),)))))/(((VLOOKUP(EDATE(B235,-12),Database!$A:$AS,MATCH($U$1,Database!$A$1:$AS$1,),))))</f>
        <v/>
      </c>
      <c r="V235" s="13">
        <f>((((VLOOKUP(B235,Database!$A:$AS,MATCH($V$1,Database!$A$1:$AS$1,),))))-(((VLOOKUP(EDATE(B235,-12),Database!$A:$AS,MATCH($V$1,Database!$A$1:$AS$1,),)))))/(((VLOOKUP(EDATE(B235,-12),Database!$A:$AS,MATCH($V$1,Database!$A$1:$AS$1,),))))</f>
        <v/>
      </c>
    </row>
    <row r="236" customFormat="1" s="94">
      <c r="A236" s="44" t="n"/>
      <c r="B236" s="85" t="n">
        <v>39326</v>
      </c>
      <c r="C236" s="13">
        <f>((((VLOOKUP(B236,Database!$A:$AS,MATCH($C$1,Database!$A$1:$AS$1,),))))-(((VLOOKUP(EDATE(B236,-12),Database!$A:$AS,MATCH($C$1,Database!$A$1:$AS$1,),)))))/(((VLOOKUP(EDATE(B236,-12),Database!$A:$AS,MATCH($C$1,Database!$A$1:$AS$1,),))))</f>
        <v/>
      </c>
      <c r="D236" s="13">
        <f>((((VLOOKUP(B236,Database!$A:$AS,MATCH($D$1,Database!$A$1:$AS$1,),))))-(((VLOOKUP(EDATE(B236,-12),Database!$A:$AS,MATCH($D$1,Database!$A$1:$AS$1,),)))))/(((VLOOKUP(EDATE(B236,-12),Database!$A:$AS,MATCH($D$1,Database!$A$1:$AS$1,),))))</f>
        <v/>
      </c>
      <c r="E236" s="13">
        <f>((((VLOOKUP(B236,Database!$A:$AS,MATCH($E$1,Database!$A$1:$AS$1,),))))-(((VLOOKUP(EDATE(B236,-12),Database!$A:$AS,MATCH($E$1,Database!$A$1:$AS$1,),)))))/(((VLOOKUP(EDATE(B236,-12),Database!$A:$AS,MATCH($E$1,Database!$A$1:$AS$1,),))))</f>
        <v/>
      </c>
      <c r="F236" s="13">
        <f>((((VLOOKUP(B236,Database!$A:$AS,MATCH($F$1,Database!$A$1:$AS$1,),))))-(((VLOOKUP(EDATE(B236,-12),Database!$A:$AS,MATCH($F$1,Database!$A$1:$AS$1,),)))))/(((VLOOKUP(EDATE(B236,-12),Database!$A:$AS,MATCH($F$1,Database!$A$1:$AS$1,),))))</f>
        <v/>
      </c>
      <c r="G236" s="13">
        <f>((((VLOOKUP(B236,Database!$A:$AS,MATCH($G$1,Database!$A$1:$AS$1,),))))-(((VLOOKUP(EDATE(B236,-12),Database!$A:$AS,MATCH($G$1,Database!$A$1:$AS$1,),)))))/(((VLOOKUP(EDATE(B236,-12),Database!$A:$AS,MATCH($G$1,Database!$A$1:$AS$1,),))))</f>
        <v/>
      </c>
      <c r="H236" s="13">
        <f>((((VLOOKUP(B236,Database!$A:$AS,MATCH($H$1,Database!$A$1:$AS$1,),))))-(((VLOOKUP(EDATE(B236,-12),Database!$A:$AS,MATCH($H$1,Database!$A$1:$AS$1,),)))))/(((VLOOKUP(EDATE(B236,-12),Database!$A:$AS,MATCH($H$1,Database!$A$1:$AS$1,),))))</f>
        <v/>
      </c>
      <c r="I236" s="13">
        <f>((((VLOOKUP(B236,Database!$A:$AS,MATCH($I$1,Database!$A$1:$AS$1,),))))-(((VLOOKUP(EDATE(B236,-12),Database!$A:$AS,MATCH($I$1,Database!$A$1:$AS$1,),)))))/(((VLOOKUP(EDATE(B236,-12),Database!$A:$AS,MATCH($I$1,Database!$A$1:$AS$1,),))))</f>
        <v/>
      </c>
      <c r="J236" s="13">
        <f>((((VLOOKUP(B236,Database!$A:$AS,MATCH($J$1,Database!$A$1:$AS$1,),))))-(((VLOOKUP(EDATE(B236,-12),Database!$A:$AS,MATCH($J$1,Database!$A$1:$AS$1,),)))))/(((VLOOKUP(EDATE(B236,-12),Database!$A:$AS,MATCH($J$1,Database!$A$1:$AS$1,),))))</f>
        <v/>
      </c>
      <c r="K236" s="13">
        <f>((((VLOOKUP(B236,Database!$A:$AS,MATCH($K$1,Database!$A$1:$AS$1,),))))-(((VLOOKUP(EDATE(B236,-12),Database!$A:$AS,MATCH($K$1,Database!$A$1:$AS$1,),)))))/(((VLOOKUP(EDATE(B236,-12),Database!$A:$AS,MATCH($K$1,Database!$A$1:$AS$1,),))))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((((VLOOKUP(B236,Database!$A:$AS,MATCH($O$1,Database!$A$1:$AS$1,),))))-(((VLOOKUP(EDATE(B236,-12),Database!$A:$AS,MATCH($O$1,Database!$A$1:$AS$1,),)))))/(((VLOOKUP(EDATE(B236,-12),Database!$A:$AS,MATCH($O$1,Database!$A$1:$AS$1,),))))</f>
        <v/>
      </c>
      <c r="P236" s="13">
        <f>((((VLOOKUP(B236,Database!$A:$AS,MATCH($P$1,Database!$A$1:$AS$1,),))))-(((VLOOKUP(EDATE(B236,-12),Database!$A:$AS,MATCH($P$1,Database!$A$1:$AS$1,),)))))/(((VLOOKUP(EDATE(B236,-12),Database!$A:$AS,MATCH($P$1,Database!$A$1:$AS$1,),))))</f>
        <v/>
      </c>
      <c r="Q236" s="13">
        <f>((((VLOOKUP(B236,Database!$A:$AS,MATCH($Q$1,Database!$A$1:$AS$1,),))))-(((VLOOKUP(EDATE(B236,-12),Database!$A:$AS,MATCH($Q$1,Database!$A$1:$AS$1,),)))))/(((VLOOKUP(EDATE(B236,-12),Database!$A:$AS,MATCH($Q$1,Database!$A$1:$AS$1,),))))</f>
        <v/>
      </c>
      <c r="R236" s="13">
        <f>((((VLOOKUP(B236,Database!$A:$AS,MATCH($R$1,Database!$A$1:$AS$1,),))))-(((VLOOKUP(EDATE(B236,-12),Database!$A:$AS,MATCH($R$1,Database!$A$1:$AS$1,),)))))/(((VLOOKUP(EDATE(B236,-12),Database!$A:$AS,MATCH($R$1,Database!$A$1:$AS$1,),))))</f>
        <v/>
      </c>
      <c r="S236" s="13">
        <f>((((VLOOKUP(B236,Database!$A:$AS,MATCH($S$1,Database!$A$1:$AS$1,),))))-(((VLOOKUP(EDATE(B236,-12),Database!$A:$AS,MATCH($S$1,Database!$A$1:$AS$1,),)))))/(((VLOOKUP(EDATE(B236,-12),Database!$A:$AS,MATCH($S$1,Database!$A$1:$AS$1,),))))</f>
        <v/>
      </c>
      <c r="T236" s="13">
        <f>((((VLOOKUP(B236,Database!$A:$AS,MATCH($T$1,Database!$A$1:$AS$1,),))))-(((VLOOKUP(EDATE(B236,-12),Database!$A:$AS,MATCH($T$1,Database!$A$1:$AS$1,),)))))/(((VLOOKUP(EDATE(B236,-12),Database!$A:$AS,MATCH($T$1,Database!$A$1:$AS$1,),))))</f>
        <v/>
      </c>
      <c r="U236" s="13">
        <f>((((VLOOKUP(B236,Database!$A:$AS,MATCH($U$1,Database!$A$1:$AS$1,),))))-(((VLOOKUP(EDATE(B236,-12),Database!$A:$AS,MATCH($U$1,Database!$A$1:$AS$1,),)))))/(((VLOOKUP(EDATE(B236,-12),Database!$A:$AS,MATCH($U$1,Database!$A$1:$AS$1,),))))</f>
        <v/>
      </c>
      <c r="V236" s="13">
        <f>((((VLOOKUP(B236,Database!$A:$AS,MATCH($V$1,Database!$A$1:$AS$1,),))))-(((VLOOKUP(EDATE(B236,-12),Database!$A:$AS,MATCH($V$1,Database!$A$1:$AS$1,),)))))/(((VLOOKUP(EDATE(B236,-12),Database!$A:$AS,MATCH($V$1,Database!$A$1:$AS$1,),))))</f>
        <v/>
      </c>
    </row>
    <row r="237" customFormat="1" s="94">
      <c r="A237" s="44" t="n"/>
      <c r="B237" s="85" t="n">
        <v>39356</v>
      </c>
      <c r="C237" s="13">
        <f>((((VLOOKUP(B237,Database!$A:$AS,MATCH($C$1,Database!$A$1:$AS$1,),))))-(((VLOOKUP(EDATE(B237,-12),Database!$A:$AS,MATCH($C$1,Database!$A$1:$AS$1,),)))))/(((VLOOKUP(EDATE(B237,-12),Database!$A:$AS,MATCH($C$1,Database!$A$1:$AS$1,),))))</f>
        <v/>
      </c>
      <c r="D237" s="13">
        <f>((((VLOOKUP(B237,Database!$A:$AS,MATCH($D$1,Database!$A$1:$AS$1,),))))-(((VLOOKUP(EDATE(B237,-12),Database!$A:$AS,MATCH($D$1,Database!$A$1:$AS$1,),)))))/(((VLOOKUP(EDATE(B237,-12),Database!$A:$AS,MATCH($D$1,Database!$A$1:$AS$1,),))))</f>
        <v/>
      </c>
      <c r="E237" s="13">
        <f>((((VLOOKUP(B237,Database!$A:$AS,MATCH($E$1,Database!$A$1:$AS$1,),))))-(((VLOOKUP(EDATE(B237,-12),Database!$A:$AS,MATCH($E$1,Database!$A$1:$AS$1,),)))))/(((VLOOKUP(EDATE(B237,-12),Database!$A:$AS,MATCH($E$1,Database!$A$1:$AS$1,),))))</f>
        <v/>
      </c>
      <c r="F237" s="13">
        <f>((((VLOOKUP(B237,Database!$A:$AS,MATCH($F$1,Database!$A$1:$AS$1,),))))-(((VLOOKUP(EDATE(B237,-12),Database!$A:$AS,MATCH($F$1,Database!$A$1:$AS$1,),)))))/(((VLOOKUP(EDATE(B237,-12),Database!$A:$AS,MATCH($F$1,Database!$A$1:$AS$1,),))))</f>
        <v/>
      </c>
      <c r="G237" s="13">
        <f>((((VLOOKUP(B237,Database!$A:$AS,MATCH($G$1,Database!$A$1:$AS$1,),))))-(((VLOOKUP(EDATE(B237,-12),Database!$A:$AS,MATCH($G$1,Database!$A$1:$AS$1,),)))))/(((VLOOKUP(EDATE(B237,-12),Database!$A:$AS,MATCH($G$1,Database!$A$1:$AS$1,),))))</f>
        <v/>
      </c>
      <c r="H237" s="13">
        <f>((((VLOOKUP(B237,Database!$A:$AS,MATCH($H$1,Database!$A$1:$AS$1,),))))-(((VLOOKUP(EDATE(B237,-12),Database!$A:$AS,MATCH($H$1,Database!$A$1:$AS$1,),)))))/(((VLOOKUP(EDATE(B237,-12),Database!$A:$AS,MATCH($H$1,Database!$A$1:$AS$1,),))))</f>
        <v/>
      </c>
      <c r="I237" s="13">
        <f>((((VLOOKUP(B237,Database!$A:$AS,MATCH($I$1,Database!$A$1:$AS$1,),))))-(((VLOOKUP(EDATE(B237,-12),Database!$A:$AS,MATCH($I$1,Database!$A$1:$AS$1,),)))))/(((VLOOKUP(EDATE(B237,-12),Database!$A:$AS,MATCH($I$1,Database!$A$1:$AS$1,),))))</f>
        <v/>
      </c>
      <c r="J237" s="13">
        <f>((((VLOOKUP(B237,Database!$A:$AS,MATCH($J$1,Database!$A$1:$AS$1,),))))-(((VLOOKUP(EDATE(B237,-12),Database!$A:$AS,MATCH($J$1,Database!$A$1:$AS$1,),)))))/(((VLOOKUP(EDATE(B237,-12),Database!$A:$AS,MATCH($J$1,Database!$A$1:$AS$1,),))))</f>
        <v/>
      </c>
      <c r="K237" s="13">
        <f>((((VLOOKUP(B237,Database!$A:$AS,MATCH($K$1,Database!$A$1:$AS$1,),))))-(((VLOOKUP(EDATE(B237,-12),Database!$A:$AS,MATCH($K$1,Database!$A$1:$AS$1,),)))))/(((VLOOKUP(EDATE(B237,-12),Database!$A:$AS,MATCH($K$1,Database!$A$1:$AS$1,),))))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((((VLOOKUP(B237,Database!$A:$AS,MATCH($O$1,Database!$A$1:$AS$1,),))))-(((VLOOKUP(EDATE(B237,-12),Database!$A:$AS,MATCH($O$1,Database!$A$1:$AS$1,),)))))/(((VLOOKUP(EDATE(B237,-12),Database!$A:$AS,MATCH($O$1,Database!$A$1:$AS$1,),))))</f>
        <v/>
      </c>
      <c r="P237" s="13">
        <f>((((VLOOKUP(B237,Database!$A:$AS,MATCH($P$1,Database!$A$1:$AS$1,),))))-(((VLOOKUP(EDATE(B237,-12),Database!$A:$AS,MATCH($P$1,Database!$A$1:$AS$1,),)))))/(((VLOOKUP(EDATE(B237,-12),Database!$A:$AS,MATCH($P$1,Database!$A$1:$AS$1,),))))</f>
        <v/>
      </c>
      <c r="Q237" s="13">
        <f>((((VLOOKUP(B237,Database!$A:$AS,MATCH($Q$1,Database!$A$1:$AS$1,),))))-(((VLOOKUP(EDATE(B237,-12),Database!$A:$AS,MATCH($Q$1,Database!$A$1:$AS$1,),)))))/(((VLOOKUP(EDATE(B237,-12),Database!$A:$AS,MATCH($Q$1,Database!$A$1:$AS$1,),))))</f>
        <v/>
      </c>
      <c r="R237" s="13">
        <f>((((VLOOKUP(B237,Database!$A:$AS,MATCH($R$1,Database!$A$1:$AS$1,),))))-(((VLOOKUP(EDATE(B237,-12),Database!$A:$AS,MATCH($R$1,Database!$A$1:$AS$1,),)))))/(((VLOOKUP(EDATE(B237,-12),Database!$A:$AS,MATCH($R$1,Database!$A$1:$AS$1,),))))</f>
        <v/>
      </c>
      <c r="S237" s="13">
        <f>((((VLOOKUP(B237,Database!$A:$AS,MATCH($S$1,Database!$A$1:$AS$1,),))))-(((VLOOKUP(EDATE(B237,-12),Database!$A:$AS,MATCH($S$1,Database!$A$1:$AS$1,),)))))/(((VLOOKUP(EDATE(B237,-12),Database!$A:$AS,MATCH($S$1,Database!$A$1:$AS$1,),))))</f>
        <v/>
      </c>
      <c r="T237" s="13">
        <f>((((VLOOKUP(B237,Database!$A:$AS,MATCH($T$1,Database!$A$1:$AS$1,),))))-(((VLOOKUP(EDATE(B237,-12),Database!$A:$AS,MATCH($T$1,Database!$A$1:$AS$1,),)))))/(((VLOOKUP(EDATE(B237,-12),Database!$A:$AS,MATCH($T$1,Database!$A$1:$AS$1,),))))</f>
        <v/>
      </c>
      <c r="U237" s="13">
        <f>((((VLOOKUP(B237,Database!$A:$AS,MATCH($U$1,Database!$A$1:$AS$1,),))))-(((VLOOKUP(EDATE(B237,-12),Database!$A:$AS,MATCH($U$1,Database!$A$1:$AS$1,),)))))/(((VLOOKUP(EDATE(B237,-12),Database!$A:$AS,MATCH($U$1,Database!$A$1:$AS$1,),))))</f>
        <v/>
      </c>
      <c r="V237" s="13">
        <f>((((VLOOKUP(B237,Database!$A:$AS,MATCH($V$1,Database!$A$1:$AS$1,),))))-(((VLOOKUP(EDATE(B237,-12),Database!$A:$AS,MATCH($V$1,Database!$A$1:$AS$1,),)))))/(((VLOOKUP(EDATE(B237,-12),Database!$A:$AS,MATCH($V$1,Database!$A$1:$AS$1,),))))</f>
        <v/>
      </c>
    </row>
    <row r="238" customFormat="1" s="94">
      <c r="A238" s="44" t="n"/>
      <c r="B238" s="85" t="n">
        <v>39387</v>
      </c>
      <c r="C238" s="13">
        <f>((((VLOOKUP(B238,Database!$A:$AS,MATCH($C$1,Database!$A$1:$AS$1,),))))-(((VLOOKUP(EDATE(B238,-12),Database!$A:$AS,MATCH($C$1,Database!$A$1:$AS$1,),)))))/(((VLOOKUP(EDATE(B238,-12),Database!$A:$AS,MATCH($C$1,Database!$A$1:$AS$1,),))))</f>
        <v/>
      </c>
      <c r="D238" s="13">
        <f>((((VLOOKUP(B238,Database!$A:$AS,MATCH($D$1,Database!$A$1:$AS$1,),))))-(((VLOOKUP(EDATE(B238,-12),Database!$A:$AS,MATCH($D$1,Database!$A$1:$AS$1,),)))))/(((VLOOKUP(EDATE(B238,-12),Database!$A:$AS,MATCH($D$1,Database!$A$1:$AS$1,),))))</f>
        <v/>
      </c>
      <c r="E238" s="13">
        <f>((((VLOOKUP(B238,Database!$A:$AS,MATCH($E$1,Database!$A$1:$AS$1,),))))-(((VLOOKUP(EDATE(B238,-12),Database!$A:$AS,MATCH($E$1,Database!$A$1:$AS$1,),)))))/(((VLOOKUP(EDATE(B238,-12),Database!$A:$AS,MATCH($E$1,Database!$A$1:$AS$1,),))))</f>
        <v/>
      </c>
      <c r="F238" s="13">
        <f>((((VLOOKUP(B238,Database!$A:$AS,MATCH($F$1,Database!$A$1:$AS$1,),))))-(((VLOOKUP(EDATE(B238,-12),Database!$A:$AS,MATCH($F$1,Database!$A$1:$AS$1,),)))))/(((VLOOKUP(EDATE(B238,-12),Database!$A:$AS,MATCH($F$1,Database!$A$1:$AS$1,),))))</f>
        <v/>
      </c>
      <c r="G238" s="13">
        <f>((((VLOOKUP(B238,Database!$A:$AS,MATCH($G$1,Database!$A$1:$AS$1,),))))-(((VLOOKUP(EDATE(B238,-12),Database!$A:$AS,MATCH($G$1,Database!$A$1:$AS$1,),)))))/(((VLOOKUP(EDATE(B238,-12),Database!$A:$AS,MATCH($G$1,Database!$A$1:$AS$1,),))))</f>
        <v/>
      </c>
      <c r="H238" s="13">
        <f>((((VLOOKUP(B238,Database!$A:$AS,MATCH($H$1,Database!$A$1:$AS$1,),))))-(((VLOOKUP(EDATE(B238,-12),Database!$A:$AS,MATCH($H$1,Database!$A$1:$AS$1,),)))))/(((VLOOKUP(EDATE(B238,-12),Database!$A:$AS,MATCH($H$1,Database!$A$1:$AS$1,),))))</f>
        <v/>
      </c>
      <c r="I238" s="13">
        <f>((((VLOOKUP(B238,Database!$A:$AS,MATCH($I$1,Database!$A$1:$AS$1,),))))-(((VLOOKUP(EDATE(B238,-12),Database!$A:$AS,MATCH($I$1,Database!$A$1:$AS$1,),)))))/(((VLOOKUP(EDATE(B238,-12),Database!$A:$AS,MATCH($I$1,Database!$A$1:$AS$1,),))))</f>
        <v/>
      </c>
      <c r="J238" s="13">
        <f>((((VLOOKUP(B238,Database!$A:$AS,MATCH($J$1,Database!$A$1:$AS$1,),))))-(((VLOOKUP(EDATE(B238,-12),Database!$A:$AS,MATCH($J$1,Database!$A$1:$AS$1,),)))))/(((VLOOKUP(EDATE(B238,-12),Database!$A:$AS,MATCH($J$1,Database!$A$1:$AS$1,),))))</f>
        <v/>
      </c>
      <c r="K238" s="13">
        <f>((((VLOOKUP(B238,Database!$A:$AS,MATCH($K$1,Database!$A$1:$AS$1,),))))-(((VLOOKUP(EDATE(B238,-12),Database!$A:$AS,MATCH($K$1,Database!$A$1:$AS$1,),)))))/(((VLOOKUP(EDATE(B238,-12),Database!$A:$AS,MATCH($K$1,Database!$A$1:$AS$1,),))))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((((VLOOKUP(B238,Database!$A:$AS,MATCH($O$1,Database!$A$1:$AS$1,),))))-(((VLOOKUP(EDATE(B238,-12),Database!$A:$AS,MATCH($O$1,Database!$A$1:$AS$1,),)))))/(((VLOOKUP(EDATE(B238,-12),Database!$A:$AS,MATCH($O$1,Database!$A$1:$AS$1,),))))</f>
        <v/>
      </c>
      <c r="P238" s="13">
        <f>((((VLOOKUP(B238,Database!$A:$AS,MATCH($P$1,Database!$A$1:$AS$1,),))))-(((VLOOKUP(EDATE(B238,-12),Database!$A:$AS,MATCH($P$1,Database!$A$1:$AS$1,),)))))/(((VLOOKUP(EDATE(B238,-12),Database!$A:$AS,MATCH($P$1,Database!$A$1:$AS$1,),))))</f>
        <v/>
      </c>
      <c r="Q238" s="13">
        <f>((((VLOOKUP(B238,Database!$A:$AS,MATCH($Q$1,Database!$A$1:$AS$1,),))))-(((VLOOKUP(EDATE(B238,-12),Database!$A:$AS,MATCH($Q$1,Database!$A$1:$AS$1,),)))))/(((VLOOKUP(EDATE(B238,-12),Database!$A:$AS,MATCH($Q$1,Database!$A$1:$AS$1,),))))</f>
        <v/>
      </c>
      <c r="R238" s="13">
        <f>((((VLOOKUP(B238,Database!$A:$AS,MATCH($R$1,Database!$A$1:$AS$1,),))))-(((VLOOKUP(EDATE(B238,-12),Database!$A:$AS,MATCH($R$1,Database!$A$1:$AS$1,),)))))/(((VLOOKUP(EDATE(B238,-12),Database!$A:$AS,MATCH($R$1,Database!$A$1:$AS$1,),))))</f>
        <v/>
      </c>
      <c r="S238" s="13">
        <f>((((VLOOKUP(B238,Database!$A:$AS,MATCH($S$1,Database!$A$1:$AS$1,),))))-(((VLOOKUP(EDATE(B238,-12),Database!$A:$AS,MATCH($S$1,Database!$A$1:$AS$1,),)))))/(((VLOOKUP(EDATE(B238,-12),Database!$A:$AS,MATCH($S$1,Database!$A$1:$AS$1,),))))</f>
        <v/>
      </c>
      <c r="T238" s="13">
        <f>((((VLOOKUP(B238,Database!$A:$AS,MATCH($T$1,Database!$A$1:$AS$1,),))))-(((VLOOKUP(EDATE(B238,-12),Database!$A:$AS,MATCH($T$1,Database!$A$1:$AS$1,),)))))/(((VLOOKUP(EDATE(B238,-12),Database!$A:$AS,MATCH($T$1,Database!$A$1:$AS$1,),))))</f>
        <v/>
      </c>
      <c r="U238" s="13">
        <f>((((VLOOKUP(B238,Database!$A:$AS,MATCH($U$1,Database!$A$1:$AS$1,),))))-(((VLOOKUP(EDATE(B238,-12),Database!$A:$AS,MATCH($U$1,Database!$A$1:$AS$1,),)))))/(((VLOOKUP(EDATE(B238,-12),Database!$A:$AS,MATCH($U$1,Database!$A$1:$AS$1,),))))</f>
        <v/>
      </c>
      <c r="V238" s="13">
        <f>((((VLOOKUP(B238,Database!$A:$AS,MATCH($V$1,Database!$A$1:$AS$1,),))))-(((VLOOKUP(EDATE(B238,-12),Database!$A:$AS,MATCH($V$1,Database!$A$1:$AS$1,),)))))/(((VLOOKUP(EDATE(B238,-12),Database!$A:$AS,MATCH($V$1,Database!$A$1:$AS$1,),))))</f>
        <v/>
      </c>
    </row>
    <row r="239" customFormat="1" s="94">
      <c r="A239" s="44" t="n"/>
      <c r="B239" s="85" t="n">
        <v>39417</v>
      </c>
      <c r="C239" s="13">
        <f>((((VLOOKUP(B239,Database!$A:$AS,MATCH($C$1,Database!$A$1:$AS$1,),))))-(((VLOOKUP(EDATE(B239,-12),Database!$A:$AS,MATCH($C$1,Database!$A$1:$AS$1,),)))))/(((VLOOKUP(EDATE(B239,-12),Database!$A:$AS,MATCH($C$1,Database!$A$1:$AS$1,),))))</f>
        <v/>
      </c>
      <c r="D239" s="13">
        <f>((((VLOOKUP(B239,Database!$A:$AS,MATCH($D$1,Database!$A$1:$AS$1,),))))-(((VLOOKUP(EDATE(B239,-12),Database!$A:$AS,MATCH($D$1,Database!$A$1:$AS$1,),)))))/(((VLOOKUP(EDATE(B239,-12),Database!$A:$AS,MATCH($D$1,Database!$A$1:$AS$1,),))))</f>
        <v/>
      </c>
      <c r="E239" s="13">
        <f>((((VLOOKUP(B239,Database!$A:$AS,MATCH($E$1,Database!$A$1:$AS$1,),))))-(((VLOOKUP(EDATE(B239,-12),Database!$A:$AS,MATCH($E$1,Database!$A$1:$AS$1,),)))))/(((VLOOKUP(EDATE(B239,-12),Database!$A:$AS,MATCH($E$1,Database!$A$1:$AS$1,),))))</f>
        <v/>
      </c>
      <c r="F239" s="13">
        <f>((((VLOOKUP(B239,Database!$A:$AS,MATCH($F$1,Database!$A$1:$AS$1,),))))-(((VLOOKUP(EDATE(B239,-12),Database!$A:$AS,MATCH($F$1,Database!$A$1:$AS$1,),)))))/(((VLOOKUP(EDATE(B239,-12),Database!$A:$AS,MATCH($F$1,Database!$A$1:$AS$1,),))))</f>
        <v/>
      </c>
      <c r="G239" s="13">
        <f>((((VLOOKUP(B239,Database!$A:$AS,MATCH($G$1,Database!$A$1:$AS$1,),))))-(((VLOOKUP(EDATE(B239,-12),Database!$A:$AS,MATCH($G$1,Database!$A$1:$AS$1,),)))))/(((VLOOKUP(EDATE(B239,-12),Database!$A:$AS,MATCH($G$1,Database!$A$1:$AS$1,),))))</f>
        <v/>
      </c>
      <c r="H239" s="13">
        <f>((((VLOOKUP(B239,Database!$A:$AS,MATCH($H$1,Database!$A$1:$AS$1,),))))-(((VLOOKUP(EDATE(B239,-12),Database!$A:$AS,MATCH($H$1,Database!$A$1:$AS$1,),)))))/(((VLOOKUP(EDATE(B239,-12),Database!$A:$AS,MATCH($H$1,Database!$A$1:$AS$1,),))))</f>
        <v/>
      </c>
      <c r="I239" s="13">
        <f>((((VLOOKUP(B239,Database!$A:$AS,MATCH($I$1,Database!$A$1:$AS$1,),))))-(((VLOOKUP(EDATE(B239,-12),Database!$A:$AS,MATCH($I$1,Database!$A$1:$AS$1,),)))))/(((VLOOKUP(EDATE(B239,-12),Database!$A:$AS,MATCH($I$1,Database!$A$1:$AS$1,),))))</f>
        <v/>
      </c>
      <c r="J239" s="13">
        <f>((((VLOOKUP(B239,Database!$A:$AS,MATCH($J$1,Database!$A$1:$AS$1,),))))-(((VLOOKUP(EDATE(B239,-12),Database!$A:$AS,MATCH($J$1,Database!$A$1:$AS$1,),)))))/(((VLOOKUP(EDATE(B239,-12),Database!$A:$AS,MATCH($J$1,Database!$A$1:$AS$1,),))))</f>
        <v/>
      </c>
      <c r="K239" s="13">
        <f>((((VLOOKUP(B239,Database!$A:$AS,MATCH($K$1,Database!$A$1:$AS$1,),))))-(((VLOOKUP(EDATE(B239,-12),Database!$A:$AS,MATCH($K$1,Database!$A$1:$AS$1,),)))))/(((VLOOKUP(EDATE(B239,-12),Database!$A:$AS,MATCH($K$1,Database!$A$1:$AS$1,),))))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((((VLOOKUP(B239,Database!$A:$AS,MATCH($O$1,Database!$A$1:$AS$1,),))))-(((VLOOKUP(EDATE(B239,-12),Database!$A:$AS,MATCH($O$1,Database!$A$1:$AS$1,),)))))/(((VLOOKUP(EDATE(B239,-12),Database!$A:$AS,MATCH($O$1,Database!$A$1:$AS$1,),))))</f>
        <v/>
      </c>
      <c r="P239" s="13">
        <f>((((VLOOKUP(B239,Database!$A:$AS,MATCH($P$1,Database!$A$1:$AS$1,),))))-(((VLOOKUP(EDATE(B239,-12),Database!$A:$AS,MATCH($P$1,Database!$A$1:$AS$1,),)))))/(((VLOOKUP(EDATE(B239,-12),Database!$A:$AS,MATCH($P$1,Database!$A$1:$AS$1,),))))</f>
        <v/>
      </c>
      <c r="Q239" s="13">
        <f>((((VLOOKUP(B239,Database!$A:$AS,MATCH($Q$1,Database!$A$1:$AS$1,),))))-(((VLOOKUP(EDATE(B239,-12),Database!$A:$AS,MATCH($Q$1,Database!$A$1:$AS$1,),)))))/(((VLOOKUP(EDATE(B239,-12),Database!$A:$AS,MATCH($Q$1,Database!$A$1:$AS$1,),))))</f>
        <v/>
      </c>
      <c r="R239" s="13">
        <f>((((VLOOKUP(B239,Database!$A:$AS,MATCH($R$1,Database!$A$1:$AS$1,),))))-(((VLOOKUP(EDATE(B239,-12),Database!$A:$AS,MATCH($R$1,Database!$A$1:$AS$1,),)))))/(((VLOOKUP(EDATE(B239,-12),Database!$A:$AS,MATCH($R$1,Database!$A$1:$AS$1,),))))</f>
        <v/>
      </c>
      <c r="S239" s="13">
        <f>((((VLOOKUP(B239,Database!$A:$AS,MATCH($S$1,Database!$A$1:$AS$1,),))))-(((VLOOKUP(EDATE(B239,-12),Database!$A:$AS,MATCH($S$1,Database!$A$1:$AS$1,),)))))/(((VLOOKUP(EDATE(B239,-12),Database!$A:$AS,MATCH($S$1,Database!$A$1:$AS$1,),))))</f>
        <v/>
      </c>
      <c r="T239" s="13">
        <f>((((VLOOKUP(B239,Database!$A:$AS,MATCH($T$1,Database!$A$1:$AS$1,),))))-(((VLOOKUP(EDATE(B239,-12),Database!$A:$AS,MATCH($T$1,Database!$A$1:$AS$1,),)))))/(((VLOOKUP(EDATE(B239,-12),Database!$A:$AS,MATCH($T$1,Database!$A$1:$AS$1,),))))</f>
        <v/>
      </c>
      <c r="U239" s="13">
        <f>((((VLOOKUP(B239,Database!$A:$AS,MATCH($U$1,Database!$A$1:$AS$1,),))))-(((VLOOKUP(EDATE(B239,-12),Database!$A:$AS,MATCH($U$1,Database!$A$1:$AS$1,),)))))/(((VLOOKUP(EDATE(B239,-12),Database!$A:$AS,MATCH($U$1,Database!$A$1:$AS$1,),))))</f>
        <v/>
      </c>
      <c r="V239" s="13">
        <f>((((VLOOKUP(B239,Database!$A:$AS,MATCH($V$1,Database!$A$1:$AS$1,),))))-(((VLOOKUP(EDATE(B239,-12),Database!$A:$AS,MATCH($V$1,Database!$A$1:$AS$1,),)))))/(((VLOOKUP(EDATE(B239,-12),Database!$A:$AS,MATCH($V$1,Database!$A$1:$AS$1,),))))</f>
        <v/>
      </c>
    </row>
    <row r="240" customFormat="1" s="94">
      <c r="A240" s="44" t="n"/>
      <c r="B240" s="85" t="n">
        <v>39448</v>
      </c>
      <c r="C240" s="13">
        <f>((((VLOOKUP(B240,Database!$A:$AS,MATCH($C$1,Database!$A$1:$AS$1,),))))-(((VLOOKUP(EDATE(B240,-12),Database!$A:$AS,MATCH($C$1,Database!$A$1:$AS$1,),)))))/(((VLOOKUP(EDATE(B240,-12),Database!$A:$AS,MATCH($C$1,Database!$A$1:$AS$1,),))))</f>
        <v/>
      </c>
      <c r="D240" s="13">
        <f>((((VLOOKUP(B240,Database!$A:$AS,MATCH($D$1,Database!$A$1:$AS$1,),))))-(((VLOOKUP(EDATE(B240,-12),Database!$A:$AS,MATCH($D$1,Database!$A$1:$AS$1,),)))))/(((VLOOKUP(EDATE(B240,-12),Database!$A:$AS,MATCH($D$1,Database!$A$1:$AS$1,),))))</f>
        <v/>
      </c>
      <c r="E240" s="13">
        <f>((((VLOOKUP(B240,Database!$A:$AS,MATCH($E$1,Database!$A$1:$AS$1,),))))-(((VLOOKUP(EDATE(B240,-12),Database!$A:$AS,MATCH($E$1,Database!$A$1:$AS$1,),)))))/(((VLOOKUP(EDATE(B240,-12),Database!$A:$AS,MATCH($E$1,Database!$A$1:$AS$1,),))))</f>
        <v/>
      </c>
      <c r="F240" s="13">
        <f>((((VLOOKUP(B240,Database!$A:$AS,MATCH($F$1,Database!$A$1:$AS$1,),))))-(((VLOOKUP(EDATE(B240,-12),Database!$A:$AS,MATCH($F$1,Database!$A$1:$AS$1,),)))))/(((VLOOKUP(EDATE(B240,-12),Database!$A:$AS,MATCH($F$1,Database!$A$1:$AS$1,),))))</f>
        <v/>
      </c>
      <c r="G240" s="13">
        <f>((((VLOOKUP(B240,Database!$A:$AS,MATCH($G$1,Database!$A$1:$AS$1,),))))-(((VLOOKUP(EDATE(B240,-12),Database!$A:$AS,MATCH($G$1,Database!$A$1:$AS$1,),)))))/(((VLOOKUP(EDATE(B240,-12),Database!$A:$AS,MATCH($G$1,Database!$A$1:$AS$1,),))))</f>
        <v/>
      </c>
      <c r="H240" s="13">
        <f>((((VLOOKUP(B240,Database!$A:$AS,MATCH($H$1,Database!$A$1:$AS$1,),))))-(((VLOOKUP(EDATE(B240,-12),Database!$A:$AS,MATCH($H$1,Database!$A$1:$AS$1,),)))))/(((VLOOKUP(EDATE(B240,-12),Database!$A:$AS,MATCH($H$1,Database!$A$1:$AS$1,),))))</f>
        <v/>
      </c>
      <c r="I240" s="13">
        <f>((((VLOOKUP(B240,Database!$A:$AS,MATCH($I$1,Database!$A$1:$AS$1,),))))-(((VLOOKUP(EDATE(B240,-12),Database!$A:$AS,MATCH($I$1,Database!$A$1:$AS$1,),)))))/(((VLOOKUP(EDATE(B240,-12),Database!$A:$AS,MATCH($I$1,Database!$A$1:$AS$1,),))))</f>
        <v/>
      </c>
      <c r="J240" s="13">
        <f>((((VLOOKUP(B240,Database!$A:$AS,MATCH($J$1,Database!$A$1:$AS$1,),))))-(((VLOOKUP(EDATE(B240,-12),Database!$A:$AS,MATCH($J$1,Database!$A$1:$AS$1,),)))))/(((VLOOKUP(EDATE(B240,-12),Database!$A:$AS,MATCH($J$1,Database!$A$1:$AS$1,),))))</f>
        <v/>
      </c>
      <c r="K240" s="13">
        <f>((((VLOOKUP(B240,Database!$A:$AS,MATCH($K$1,Database!$A$1:$AS$1,),))))-(((VLOOKUP(EDATE(B240,-12),Database!$A:$AS,MATCH($K$1,Database!$A$1:$AS$1,),)))))/(((VLOOKUP(EDATE(B240,-12),Database!$A:$AS,MATCH($K$1,Database!$A$1:$AS$1,),))))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((((VLOOKUP(B240,Database!$A:$AS,MATCH($O$1,Database!$A$1:$AS$1,),))))-(((VLOOKUP(EDATE(B240,-12),Database!$A:$AS,MATCH($O$1,Database!$A$1:$AS$1,),)))))/(((VLOOKUP(EDATE(B240,-12),Database!$A:$AS,MATCH($O$1,Database!$A$1:$AS$1,),))))</f>
        <v/>
      </c>
      <c r="P240" s="13">
        <f>((((VLOOKUP(B240,Database!$A:$AS,MATCH($P$1,Database!$A$1:$AS$1,),))))-(((VLOOKUP(EDATE(B240,-12),Database!$A:$AS,MATCH($P$1,Database!$A$1:$AS$1,),)))))/(((VLOOKUP(EDATE(B240,-12),Database!$A:$AS,MATCH($P$1,Database!$A$1:$AS$1,),))))</f>
        <v/>
      </c>
      <c r="Q240" s="13">
        <f>((((VLOOKUP(B240,Database!$A:$AS,MATCH($Q$1,Database!$A$1:$AS$1,),))))-(((VLOOKUP(EDATE(B240,-12),Database!$A:$AS,MATCH($Q$1,Database!$A$1:$AS$1,),)))))/(((VLOOKUP(EDATE(B240,-12),Database!$A:$AS,MATCH($Q$1,Database!$A$1:$AS$1,),))))</f>
        <v/>
      </c>
      <c r="R240" s="13">
        <f>((((VLOOKUP(B240,Database!$A:$AS,MATCH($R$1,Database!$A$1:$AS$1,),))))-(((VLOOKUP(EDATE(B240,-12),Database!$A:$AS,MATCH($R$1,Database!$A$1:$AS$1,),)))))/(((VLOOKUP(EDATE(B240,-12),Database!$A:$AS,MATCH($R$1,Database!$A$1:$AS$1,),))))</f>
        <v/>
      </c>
      <c r="S240" s="13">
        <f>((((VLOOKUP(B240,Database!$A:$AS,MATCH($S$1,Database!$A$1:$AS$1,),))))-(((VLOOKUP(EDATE(B240,-12),Database!$A:$AS,MATCH($S$1,Database!$A$1:$AS$1,),)))))/(((VLOOKUP(EDATE(B240,-12),Database!$A:$AS,MATCH($S$1,Database!$A$1:$AS$1,),))))</f>
        <v/>
      </c>
      <c r="T240" s="13">
        <f>((((VLOOKUP(B240,Database!$A:$AS,MATCH($T$1,Database!$A$1:$AS$1,),))))-(((VLOOKUP(EDATE(B240,-12),Database!$A:$AS,MATCH($T$1,Database!$A$1:$AS$1,),)))))/(((VLOOKUP(EDATE(B240,-12),Database!$A:$AS,MATCH($T$1,Database!$A$1:$AS$1,),))))</f>
        <v/>
      </c>
      <c r="U240" s="13">
        <f>((((VLOOKUP(B240,Database!$A:$AS,MATCH($U$1,Database!$A$1:$AS$1,),))))-(((VLOOKUP(EDATE(B240,-12),Database!$A:$AS,MATCH($U$1,Database!$A$1:$AS$1,),)))))/(((VLOOKUP(EDATE(B240,-12),Database!$A:$AS,MATCH($U$1,Database!$A$1:$AS$1,),))))</f>
        <v/>
      </c>
      <c r="V240" s="13">
        <f>((((VLOOKUP(B240,Database!$A:$AS,MATCH($V$1,Database!$A$1:$AS$1,),))))-(((VLOOKUP(EDATE(B240,-12),Database!$A:$AS,MATCH($V$1,Database!$A$1:$AS$1,),)))))/(((VLOOKUP(EDATE(B240,-12),Database!$A:$AS,MATCH($V$1,Database!$A$1:$AS$1,),))))</f>
        <v/>
      </c>
    </row>
    <row r="241" customFormat="1" s="94">
      <c r="A241" s="44" t="n"/>
      <c r="B241" s="85" t="n">
        <v>39479</v>
      </c>
      <c r="C241" s="13">
        <f>((((VLOOKUP(B241,Database!$A:$AS,MATCH($C$1,Database!$A$1:$AS$1,),))))-(((VLOOKUP(EDATE(B241,-12),Database!$A:$AS,MATCH($C$1,Database!$A$1:$AS$1,),)))))/(((VLOOKUP(EDATE(B241,-12),Database!$A:$AS,MATCH($C$1,Database!$A$1:$AS$1,),))))</f>
        <v/>
      </c>
      <c r="D241" s="13">
        <f>((((VLOOKUP(B241,Database!$A:$AS,MATCH($D$1,Database!$A$1:$AS$1,),))))-(((VLOOKUP(EDATE(B241,-12),Database!$A:$AS,MATCH($D$1,Database!$A$1:$AS$1,),)))))/(((VLOOKUP(EDATE(B241,-12),Database!$A:$AS,MATCH($D$1,Database!$A$1:$AS$1,),))))</f>
        <v/>
      </c>
      <c r="E241" s="13">
        <f>((((VLOOKUP(B241,Database!$A:$AS,MATCH($E$1,Database!$A$1:$AS$1,),))))-(((VLOOKUP(EDATE(B241,-12),Database!$A:$AS,MATCH($E$1,Database!$A$1:$AS$1,),)))))/(((VLOOKUP(EDATE(B241,-12),Database!$A:$AS,MATCH($E$1,Database!$A$1:$AS$1,),))))</f>
        <v/>
      </c>
      <c r="F241" s="13">
        <f>((((VLOOKUP(B241,Database!$A:$AS,MATCH($F$1,Database!$A$1:$AS$1,),))))-(((VLOOKUP(EDATE(B241,-12),Database!$A:$AS,MATCH($F$1,Database!$A$1:$AS$1,),)))))/(((VLOOKUP(EDATE(B241,-12),Database!$A:$AS,MATCH($F$1,Database!$A$1:$AS$1,),))))</f>
        <v/>
      </c>
      <c r="G241" s="13">
        <f>((((VLOOKUP(B241,Database!$A:$AS,MATCH($G$1,Database!$A$1:$AS$1,),))))-(((VLOOKUP(EDATE(B241,-12),Database!$A:$AS,MATCH($G$1,Database!$A$1:$AS$1,),)))))/(((VLOOKUP(EDATE(B241,-12),Database!$A:$AS,MATCH($G$1,Database!$A$1:$AS$1,),))))</f>
        <v/>
      </c>
      <c r="H241" s="13">
        <f>((((VLOOKUP(B241,Database!$A:$AS,MATCH($H$1,Database!$A$1:$AS$1,),))))-(((VLOOKUP(EDATE(B241,-12),Database!$A:$AS,MATCH($H$1,Database!$A$1:$AS$1,),)))))/(((VLOOKUP(EDATE(B241,-12),Database!$A:$AS,MATCH($H$1,Database!$A$1:$AS$1,),))))</f>
        <v/>
      </c>
      <c r="I241" s="13">
        <f>((((VLOOKUP(B241,Database!$A:$AS,MATCH($I$1,Database!$A$1:$AS$1,),))))-(((VLOOKUP(EDATE(B241,-12),Database!$A:$AS,MATCH($I$1,Database!$A$1:$AS$1,),)))))/(((VLOOKUP(EDATE(B241,-12),Database!$A:$AS,MATCH($I$1,Database!$A$1:$AS$1,),))))</f>
        <v/>
      </c>
      <c r="J241" s="13">
        <f>((((VLOOKUP(B241,Database!$A:$AS,MATCH($J$1,Database!$A$1:$AS$1,),))))-(((VLOOKUP(EDATE(B241,-12),Database!$A:$AS,MATCH($J$1,Database!$A$1:$AS$1,),)))))/(((VLOOKUP(EDATE(B241,-12),Database!$A:$AS,MATCH($J$1,Database!$A$1:$AS$1,),))))</f>
        <v/>
      </c>
      <c r="K241" s="13">
        <f>((((VLOOKUP(B241,Database!$A:$AS,MATCH($K$1,Database!$A$1:$AS$1,),))))-(((VLOOKUP(EDATE(B241,-12),Database!$A:$AS,MATCH($K$1,Database!$A$1:$AS$1,),)))))/(((VLOOKUP(EDATE(B241,-12),Database!$A:$AS,MATCH($K$1,Database!$A$1:$AS$1,),))))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((((VLOOKUP(B241,Database!$A:$AS,MATCH($O$1,Database!$A$1:$AS$1,),))))-(((VLOOKUP(EDATE(B241,-12),Database!$A:$AS,MATCH($O$1,Database!$A$1:$AS$1,),)))))/(((VLOOKUP(EDATE(B241,-12),Database!$A:$AS,MATCH($O$1,Database!$A$1:$AS$1,),))))</f>
        <v/>
      </c>
      <c r="P241" s="13">
        <f>((((VLOOKUP(B241,Database!$A:$AS,MATCH($P$1,Database!$A$1:$AS$1,),))))-(((VLOOKUP(EDATE(B241,-12),Database!$A:$AS,MATCH($P$1,Database!$A$1:$AS$1,),)))))/(((VLOOKUP(EDATE(B241,-12),Database!$A:$AS,MATCH($P$1,Database!$A$1:$AS$1,),))))</f>
        <v/>
      </c>
      <c r="Q241" s="13">
        <f>((((VLOOKUP(B241,Database!$A:$AS,MATCH($Q$1,Database!$A$1:$AS$1,),))))-(((VLOOKUP(EDATE(B241,-12),Database!$A:$AS,MATCH($Q$1,Database!$A$1:$AS$1,),)))))/(((VLOOKUP(EDATE(B241,-12),Database!$A:$AS,MATCH($Q$1,Database!$A$1:$AS$1,),))))</f>
        <v/>
      </c>
      <c r="R241" s="13">
        <f>((((VLOOKUP(B241,Database!$A:$AS,MATCH($R$1,Database!$A$1:$AS$1,),))))-(((VLOOKUP(EDATE(B241,-12),Database!$A:$AS,MATCH($R$1,Database!$A$1:$AS$1,),)))))/(((VLOOKUP(EDATE(B241,-12),Database!$A:$AS,MATCH($R$1,Database!$A$1:$AS$1,),))))</f>
        <v/>
      </c>
      <c r="S241" s="13">
        <f>((((VLOOKUP(B241,Database!$A:$AS,MATCH($S$1,Database!$A$1:$AS$1,),))))-(((VLOOKUP(EDATE(B241,-12),Database!$A:$AS,MATCH($S$1,Database!$A$1:$AS$1,),)))))/(((VLOOKUP(EDATE(B241,-12),Database!$A:$AS,MATCH($S$1,Database!$A$1:$AS$1,),))))</f>
        <v/>
      </c>
      <c r="T241" s="13">
        <f>((((VLOOKUP(B241,Database!$A:$AS,MATCH($T$1,Database!$A$1:$AS$1,),))))-(((VLOOKUP(EDATE(B241,-12),Database!$A:$AS,MATCH($T$1,Database!$A$1:$AS$1,),)))))/(((VLOOKUP(EDATE(B241,-12),Database!$A:$AS,MATCH($T$1,Database!$A$1:$AS$1,),))))</f>
        <v/>
      </c>
      <c r="U241" s="13">
        <f>((((VLOOKUP(B241,Database!$A:$AS,MATCH($U$1,Database!$A$1:$AS$1,),))))-(((VLOOKUP(EDATE(B241,-12),Database!$A:$AS,MATCH($U$1,Database!$A$1:$AS$1,),)))))/(((VLOOKUP(EDATE(B241,-12),Database!$A:$AS,MATCH($U$1,Database!$A$1:$AS$1,),))))</f>
        <v/>
      </c>
      <c r="V241" s="13">
        <f>((((VLOOKUP(B241,Database!$A:$AS,MATCH($V$1,Database!$A$1:$AS$1,),))))-(((VLOOKUP(EDATE(B241,-12),Database!$A:$AS,MATCH($V$1,Database!$A$1:$AS$1,),)))))/(((VLOOKUP(EDATE(B241,-12),Database!$A:$AS,MATCH($V$1,Database!$A$1:$AS$1,),))))</f>
        <v/>
      </c>
    </row>
    <row r="242" customFormat="1" s="94">
      <c r="A242" s="44" t="n"/>
      <c r="B242" s="85" t="n">
        <v>39508</v>
      </c>
      <c r="C242" s="13">
        <f>((((VLOOKUP(B242,Database!$A:$AS,MATCH($C$1,Database!$A$1:$AS$1,),))))-(((VLOOKUP(EDATE(B242,-12),Database!$A:$AS,MATCH($C$1,Database!$A$1:$AS$1,),)))))/(((VLOOKUP(EDATE(B242,-12),Database!$A:$AS,MATCH($C$1,Database!$A$1:$AS$1,),))))</f>
        <v/>
      </c>
      <c r="D242" s="13">
        <f>((((VLOOKUP(B242,Database!$A:$AS,MATCH($D$1,Database!$A$1:$AS$1,),))))-(((VLOOKUP(EDATE(B242,-12),Database!$A:$AS,MATCH($D$1,Database!$A$1:$AS$1,),)))))/(((VLOOKUP(EDATE(B242,-12),Database!$A:$AS,MATCH($D$1,Database!$A$1:$AS$1,),))))</f>
        <v/>
      </c>
      <c r="E242" s="13">
        <f>((((VLOOKUP(B242,Database!$A:$AS,MATCH($E$1,Database!$A$1:$AS$1,),))))-(((VLOOKUP(EDATE(B242,-12),Database!$A:$AS,MATCH($E$1,Database!$A$1:$AS$1,),)))))/(((VLOOKUP(EDATE(B242,-12),Database!$A:$AS,MATCH($E$1,Database!$A$1:$AS$1,),))))</f>
        <v/>
      </c>
      <c r="F242" s="13">
        <f>((((VLOOKUP(B242,Database!$A:$AS,MATCH($F$1,Database!$A$1:$AS$1,),))))-(((VLOOKUP(EDATE(B242,-12),Database!$A:$AS,MATCH($F$1,Database!$A$1:$AS$1,),)))))/(((VLOOKUP(EDATE(B242,-12),Database!$A:$AS,MATCH($F$1,Database!$A$1:$AS$1,),))))</f>
        <v/>
      </c>
      <c r="G242" s="13">
        <f>((((VLOOKUP(B242,Database!$A:$AS,MATCH($G$1,Database!$A$1:$AS$1,),))))-(((VLOOKUP(EDATE(B242,-12),Database!$A:$AS,MATCH($G$1,Database!$A$1:$AS$1,),)))))/(((VLOOKUP(EDATE(B242,-12),Database!$A:$AS,MATCH($G$1,Database!$A$1:$AS$1,),))))</f>
        <v/>
      </c>
      <c r="H242" s="13">
        <f>((((VLOOKUP(B242,Database!$A:$AS,MATCH($H$1,Database!$A$1:$AS$1,),))))-(((VLOOKUP(EDATE(B242,-12),Database!$A:$AS,MATCH($H$1,Database!$A$1:$AS$1,),)))))/(((VLOOKUP(EDATE(B242,-12),Database!$A:$AS,MATCH($H$1,Database!$A$1:$AS$1,),))))</f>
        <v/>
      </c>
      <c r="I242" s="13">
        <f>((((VLOOKUP(B242,Database!$A:$AS,MATCH($I$1,Database!$A$1:$AS$1,),))))-(((VLOOKUP(EDATE(B242,-12),Database!$A:$AS,MATCH($I$1,Database!$A$1:$AS$1,),)))))/(((VLOOKUP(EDATE(B242,-12),Database!$A:$AS,MATCH($I$1,Database!$A$1:$AS$1,),))))</f>
        <v/>
      </c>
      <c r="J242" s="13">
        <f>((((VLOOKUP(B242,Database!$A:$AS,MATCH($J$1,Database!$A$1:$AS$1,),))))-(((VLOOKUP(EDATE(B242,-12),Database!$A:$AS,MATCH($J$1,Database!$A$1:$AS$1,),)))))/(((VLOOKUP(EDATE(B242,-12),Database!$A:$AS,MATCH($J$1,Database!$A$1:$AS$1,),))))</f>
        <v/>
      </c>
      <c r="K242" s="13">
        <f>((((VLOOKUP(B242,Database!$A:$AS,MATCH($K$1,Database!$A$1:$AS$1,),))))-(((VLOOKUP(EDATE(B242,-12),Database!$A:$AS,MATCH($K$1,Database!$A$1:$AS$1,),)))))/(((VLOOKUP(EDATE(B242,-12),Database!$A:$AS,MATCH($K$1,Database!$A$1:$AS$1,),))))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((((VLOOKUP(B242,Database!$A:$AS,MATCH($O$1,Database!$A$1:$AS$1,),))))-(((VLOOKUP(EDATE(B242,-12),Database!$A:$AS,MATCH($O$1,Database!$A$1:$AS$1,),)))))/(((VLOOKUP(EDATE(B242,-12),Database!$A:$AS,MATCH($O$1,Database!$A$1:$AS$1,),))))</f>
        <v/>
      </c>
      <c r="P242" s="13">
        <f>((((VLOOKUP(B242,Database!$A:$AS,MATCH($P$1,Database!$A$1:$AS$1,),))))-(((VLOOKUP(EDATE(B242,-12),Database!$A:$AS,MATCH($P$1,Database!$A$1:$AS$1,),)))))/(((VLOOKUP(EDATE(B242,-12),Database!$A:$AS,MATCH($P$1,Database!$A$1:$AS$1,),))))</f>
        <v/>
      </c>
      <c r="Q242" s="13">
        <f>((((VLOOKUP(B242,Database!$A:$AS,MATCH($Q$1,Database!$A$1:$AS$1,),))))-(((VLOOKUP(EDATE(B242,-12),Database!$A:$AS,MATCH($Q$1,Database!$A$1:$AS$1,),)))))/(((VLOOKUP(EDATE(B242,-12),Database!$A:$AS,MATCH($Q$1,Database!$A$1:$AS$1,),))))</f>
        <v/>
      </c>
      <c r="R242" s="13">
        <f>((((VLOOKUP(B242,Database!$A:$AS,MATCH($R$1,Database!$A$1:$AS$1,),))))-(((VLOOKUP(EDATE(B242,-12),Database!$A:$AS,MATCH($R$1,Database!$A$1:$AS$1,),)))))/(((VLOOKUP(EDATE(B242,-12),Database!$A:$AS,MATCH($R$1,Database!$A$1:$AS$1,),))))</f>
        <v/>
      </c>
      <c r="S242" s="13">
        <f>((((VLOOKUP(B242,Database!$A:$AS,MATCH($S$1,Database!$A$1:$AS$1,),))))-(((VLOOKUP(EDATE(B242,-12),Database!$A:$AS,MATCH($S$1,Database!$A$1:$AS$1,),)))))/(((VLOOKUP(EDATE(B242,-12),Database!$A:$AS,MATCH($S$1,Database!$A$1:$AS$1,),))))</f>
        <v/>
      </c>
      <c r="T242" s="13">
        <f>((((VLOOKUP(B242,Database!$A:$AS,MATCH($T$1,Database!$A$1:$AS$1,),))))-(((VLOOKUP(EDATE(B242,-12),Database!$A:$AS,MATCH($T$1,Database!$A$1:$AS$1,),)))))/(((VLOOKUP(EDATE(B242,-12),Database!$A:$AS,MATCH($T$1,Database!$A$1:$AS$1,),))))</f>
        <v/>
      </c>
      <c r="U242" s="13">
        <f>((((VLOOKUP(B242,Database!$A:$AS,MATCH($U$1,Database!$A$1:$AS$1,),))))-(((VLOOKUP(EDATE(B242,-12),Database!$A:$AS,MATCH($U$1,Database!$A$1:$AS$1,),)))))/(((VLOOKUP(EDATE(B242,-12),Database!$A:$AS,MATCH($U$1,Database!$A$1:$AS$1,),))))</f>
        <v/>
      </c>
      <c r="V242" s="13">
        <f>((((VLOOKUP(B242,Database!$A:$AS,MATCH($V$1,Database!$A$1:$AS$1,),))))-(((VLOOKUP(EDATE(B242,-12),Database!$A:$AS,MATCH($V$1,Database!$A$1:$AS$1,),)))))/(((VLOOKUP(EDATE(B242,-12),Database!$A:$AS,MATCH($V$1,Database!$A$1:$AS$1,),))))</f>
        <v/>
      </c>
    </row>
    <row r="243" customFormat="1" s="94">
      <c r="A243" s="44" t="n"/>
      <c r="B243" s="85" t="n">
        <v>39539</v>
      </c>
      <c r="C243" s="13">
        <f>((((VLOOKUP(B243,Database!$A:$AS,MATCH($C$1,Database!$A$1:$AS$1,),))))-(((VLOOKUP(EDATE(B243,-12),Database!$A:$AS,MATCH($C$1,Database!$A$1:$AS$1,),)))))/(((VLOOKUP(EDATE(B243,-12),Database!$A:$AS,MATCH($C$1,Database!$A$1:$AS$1,),))))</f>
        <v/>
      </c>
      <c r="D243" s="13">
        <f>((((VLOOKUP(B243,Database!$A:$AS,MATCH($D$1,Database!$A$1:$AS$1,),))))-(((VLOOKUP(EDATE(B243,-12),Database!$A:$AS,MATCH($D$1,Database!$A$1:$AS$1,),)))))/(((VLOOKUP(EDATE(B243,-12),Database!$A:$AS,MATCH($D$1,Database!$A$1:$AS$1,),))))</f>
        <v/>
      </c>
      <c r="E243" s="13">
        <f>((((VLOOKUP(B243,Database!$A:$AS,MATCH($E$1,Database!$A$1:$AS$1,),))))-(((VLOOKUP(EDATE(B243,-12),Database!$A:$AS,MATCH($E$1,Database!$A$1:$AS$1,),)))))/(((VLOOKUP(EDATE(B243,-12),Database!$A:$AS,MATCH($E$1,Database!$A$1:$AS$1,),))))</f>
        <v/>
      </c>
      <c r="F243" s="13">
        <f>((((VLOOKUP(B243,Database!$A:$AS,MATCH($F$1,Database!$A$1:$AS$1,),))))-(((VLOOKUP(EDATE(B243,-12),Database!$A:$AS,MATCH($F$1,Database!$A$1:$AS$1,),)))))/(((VLOOKUP(EDATE(B243,-12),Database!$A:$AS,MATCH($F$1,Database!$A$1:$AS$1,),))))</f>
        <v/>
      </c>
      <c r="G243" s="13">
        <f>((((VLOOKUP(B243,Database!$A:$AS,MATCH($G$1,Database!$A$1:$AS$1,),))))-(((VLOOKUP(EDATE(B243,-12),Database!$A:$AS,MATCH($G$1,Database!$A$1:$AS$1,),)))))/(((VLOOKUP(EDATE(B243,-12),Database!$A:$AS,MATCH($G$1,Database!$A$1:$AS$1,),))))</f>
        <v/>
      </c>
      <c r="H243" s="13">
        <f>((((VLOOKUP(B243,Database!$A:$AS,MATCH($H$1,Database!$A$1:$AS$1,),))))-(((VLOOKUP(EDATE(B243,-12),Database!$A:$AS,MATCH($H$1,Database!$A$1:$AS$1,),)))))/(((VLOOKUP(EDATE(B243,-12),Database!$A:$AS,MATCH($H$1,Database!$A$1:$AS$1,),))))</f>
        <v/>
      </c>
      <c r="I243" s="13">
        <f>((((VLOOKUP(B243,Database!$A:$AS,MATCH($I$1,Database!$A$1:$AS$1,),))))-(((VLOOKUP(EDATE(B243,-12),Database!$A:$AS,MATCH($I$1,Database!$A$1:$AS$1,),)))))/(((VLOOKUP(EDATE(B243,-12),Database!$A:$AS,MATCH($I$1,Database!$A$1:$AS$1,),))))</f>
        <v/>
      </c>
      <c r="J243" s="13">
        <f>((((VLOOKUP(B243,Database!$A:$AS,MATCH($J$1,Database!$A$1:$AS$1,),))))-(((VLOOKUP(EDATE(B243,-12),Database!$A:$AS,MATCH($J$1,Database!$A$1:$AS$1,),)))))/(((VLOOKUP(EDATE(B243,-12),Database!$A:$AS,MATCH($J$1,Database!$A$1:$AS$1,),))))</f>
        <v/>
      </c>
      <c r="K243" s="13">
        <f>((((VLOOKUP(B243,Database!$A:$AS,MATCH($K$1,Database!$A$1:$AS$1,),))))-(((VLOOKUP(EDATE(B243,-12),Database!$A:$AS,MATCH($K$1,Database!$A$1:$AS$1,),)))))/(((VLOOKUP(EDATE(B243,-12),Database!$A:$AS,MATCH($K$1,Database!$A$1:$AS$1,),))))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((((VLOOKUP(B243,Database!$A:$AS,MATCH($O$1,Database!$A$1:$AS$1,),))))-(((VLOOKUP(EDATE(B243,-12),Database!$A:$AS,MATCH($O$1,Database!$A$1:$AS$1,),)))))/(((VLOOKUP(EDATE(B243,-12),Database!$A:$AS,MATCH($O$1,Database!$A$1:$AS$1,),))))</f>
        <v/>
      </c>
      <c r="P243" s="13">
        <f>((((VLOOKUP(B243,Database!$A:$AS,MATCH($P$1,Database!$A$1:$AS$1,),))))-(((VLOOKUP(EDATE(B243,-12),Database!$A:$AS,MATCH($P$1,Database!$A$1:$AS$1,),)))))/(((VLOOKUP(EDATE(B243,-12),Database!$A:$AS,MATCH($P$1,Database!$A$1:$AS$1,),))))</f>
        <v/>
      </c>
      <c r="Q243" s="13">
        <f>((((VLOOKUP(B243,Database!$A:$AS,MATCH($Q$1,Database!$A$1:$AS$1,),))))-(((VLOOKUP(EDATE(B243,-12),Database!$A:$AS,MATCH($Q$1,Database!$A$1:$AS$1,),)))))/(((VLOOKUP(EDATE(B243,-12),Database!$A:$AS,MATCH($Q$1,Database!$A$1:$AS$1,),))))</f>
        <v/>
      </c>
      <c r="R243" s="13">
        <f>((((VLOOKUP(B243,Database!$A:$AS,MATCH($R$1,Database!$A$1:$AS$1,),))))-(((VLOOKUP(EDATE(B243,-12),Database!$A:$AS,MATCH($R$1,Database!$A$1:$AS$1,),)))))/(((VLOOKUP(EDATE(B243,-12),Database!$A:$AS,MATCH($R$1,Database!$A$1:$AS$1,),))))</f>
        <v/>
      </c>
      <c r="S243" s="13">
        <f>((((VLOOKUP(B243,Database!$A:$AS,MATCH($S$1,Database!$A$1:$AS$1,),))))-(((VLOOKUP(EDATE(B243,-12),Database!$A:$AS,MATCH($S$1,Database!$A$1:$AS$1,),)))))/(((VLOOKUP(EDATE(B243,-12),Database!$A:$AS,MATCH($S$1,Database!$A$1:$AS$1,),))))</f>
        <v/>
      </c>
      <c r="T243" s="13">
        <f>((((VLOOKUP(B243,Database!$A:$AS,MATCH($T$1,Database!$A$1:$AS$1,),))))-(((VLOOKUP(EDATE(B243,-12),Database!$A:$AS,MATCH($T$1,Database!$A$1:$AS$1,),)))))/(((VLOOKUP(EDATE(B243,-12),Database!$A:$AS,MATCH($T$1,Database!$A$1:$AS$1,),))))</f>
        <v/>
      </c>
      <c r="U243" s="13">
        <f>((((VLOOKUP(B243,Database!$A:$AS,MATCH($U$1,Database!$A$1:$AS$1,),))))-(((VLOOKUP(EDATE(B243,-12),Database!$A:$AS,MATCH($U$1,Database!$A$1:$AS$1,),)))))/(((VLOOKUP(EDATE(B243,-12),Database!$A:$AS,MATCH($U$1,Database!$A$1:$AS$1,),))))</f>
        <v/>
      </c>
      <c r="V243" s="13">
        <f>((((VLOOKUP(B243,Database!$A:$AS,MATCH($V$1,Database!$A$1:$AS$1,),))))-(((VLOOKUP(EDATE(B243,-12),Database!$A:$AS,MATCH($V$1,Database!$A$1:$AS$1,),)))))/(((VLOOKUP(EDATE(B243,-12),Database!$A:$AS,MATCH($V$1,Database!$A$1:$AS$1,),))))</f>
        <v/>
      </c>
    </row>
    <row r="244" customFormat="1" s="94">
      <c r="A244" s="44" t="n"/>
      <c r="B244" s="85" t="n">
        <v>39569</v>
      </c>
      <c r="C244" s="13">
        <f>((((VLOOKUP(B244,Database!$A:$AS,MATCH($C$1,Database!$A$1:$AS$1,),))))-(((VLOOKUP(EDATE(B244,-12),Database!$A:$AS,MATCH($C$1,Database!$A$1:$AS$1,),)))))/(((VLOOKUP(EDATE(B244,-12),Database!$A:$AS,MATCH($C$1,Database!$A$1:$AS$1,),))))</f>
        <v/>
      </c>
      <c r="D244" s="13">
        <f>((((VLOOKUP(B244,Database!$A:$AS,MATCH($D$1,Database!$A$1:$AS$1,),))))-(((VLOOKUP(EDATE(B244,-12),Database!$A:$AS,MATCH($D$1,Database!$A$1:$AS$1,),)))))/(((VLOOKUP(EDATE(B244,-12),Database!$A:$AS,MATCH($D$1,Database!$A$1:$AS$1,),))))</f>
        <v/>
      </c>
      <c r="E244" s="13">
        <f>((((VLOOKUP(B244,Database!$A:$AS,MATCH($E$1,Database!$A$1:$AS$1,),))))-(((VLOOKUP(EDATE(B244,-12),Database!$A:$AS,MATCH($E$1,Database!$A$1:$AS$1,),)))))/(((VLOOKUP(EDATE(B244,-12),Database!$A:$AS,MATCH($E$1,Database!$A$1:$AS$1,),))))</f>
        <v/>
      </c>
      <c r="F244" s="13">
        <f>((((VLOOKUP(B244,Database!$A:$AS,MATCH($F$1,Database!$A$1:$AS$1,),))))-(((VLOOKUP(EDATE(B244,-12),Database!$A:$AS,MATCH($F$1,Database!$A$1:$AS$1,),)))))/(((VLOOKUP(EDATE(B244,-12),Database!$A:$AS,MATCH($F$1,Database!$A$1:$AS$1,),))))</f>
        <v/>
      </c>
      <c r="G244" s="13">
        <f>((((VLOOKUP(B244,Database!$A:$AS,MATCH($G$1,Database!$A$1:$AS$1,),))))-(((VLOOKUP(EDATE(B244,-12),Database!$A:$AS,MATCH($G$1,Database!$A$1:$AS$1,),)))))/(((VLOOKUP(EDATE(B244,-12),Database!$A:$AS,MATCH($G$1,Database!$A$1:$AS$1,),))))</f>
        <v/>
      </c>
      <c r="H244" s="13">
        <f>((((VLOOKUP(B244,Database!$A:$AS,MATCH($H$1,Database!$A$1:$AS$1,),))))-(((VLOOKUP(EDATE(B244,-12),Database!$A:$AS,MATCH($H$1,Database!$A$1:$AS$1,),)))))/(((VLOOKUP(EDATE(B244,-12),Database!$A:$AS,MATCH($H$1,Database!$A$1:$AS$1,),))))</f>
        <v/>
      </c>
      <c r="I244" s="13">
        <f>((((VLOOKUP(B244,Database!$A:$AS,MATCH($I$1,Database!$A$1:$AS$1,),))))-(((VLOOKUP(EDATE(B244,-12),Database!$A:$AS,MATCH($I$1,Database!$A$1:$AS$1,),)))))/(((VLOOKUP(EDATE(B244,-12),Database!$A:$AS,MATCH($I$1,Database!$A$1:$AS$1,),))))</f>
        <v/>
      </c>
      <c r="J244" s="13">
        <f>((((VLOOKUP(B244,Database!$A:$AS,MATCH($J$1,Database!$A$1:$AS$1,),))))-(((VLOOKUP(EDATE(B244,-12),Database!$A:$AS,MATCH($J$1,Database!$A$1:$AS$1,),)))))/(((VLOOKUP(EDATE(B244,-12),Database!$A:$AS,MATCH($J$1,Database!$A$1:$AS$1,),))))</f>
        <v/>
      </c>
      <c r="K244" s="13">
        <f>((((VLOOKUP(B244,Database!$A:$AS,MATCH($K$1,Database!$A$1:$AS$1,),))))-(((VLOOKUP(EDATE(B244,-12),Database!$A:$AS,MATCH($K$1,Database!$A$1:$AS$1,),)))))/(((VLOOKUP(EDATE(B244,-12),Database!$A:$AS,MATCH($K$1,Database!$A$1:$AS$1,),))))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((((VLOOKUP(B244,Database!$A:$AS,MATCH($O$1,Database!$A$1:$AS$1,),))))-(((VLOOKUP(EDATE(B244,-12),Database!$A:$AS,MATCH($O$1,Database!$A$1:$AS$1,),)))))/(((VLOOKUP(EDATE(B244,-12),Database!$A:$AS,MATCH($O$1,Database!$A$1:$AS$1,),))))</f>
        <v/>
      </c>
      <c r="P244" s="13">
        <f>((((VLOOKUP(B244,Database!$A:$AS,MATCH($P$1,Database!$A$1:$AS$1,),))))-(((VLOOKUP(EDATE(B244,-12),Database!$A:$AS,MATCH($P$1,Database!$A$1:$AS$1,),)))))/(((VLOOKUP(EDATE(B244,-12),Database!$A:$AS,MATCH($P$1,Database!$A$1:$AS$1,),))))</f>
        <v/>
      </c>
      <c r="Q244" s="13">
        <f>((((VLOOKUP(B244,Database!$A:$AS,MATCH($Q$1,Database!$A$1:$AS$1,),))))-(((VLOOKUP(EDATE(B244,-12),Database!$A:$AS,MATCH($Q$1,Database!$A$1:$AS$1,),)))))/(((VLOOKUP(EDATE(B244,-12),Database!$A:$AS,MATCH($Q$1,Database!$A$1:$AS$1,),))))</f>
        <v/>
      </c>
      <c r="R244" s="13">
        <f>((((VLOOKUP(B244,Database!$A:$AS,MATCH($R$1,Database!$A$1:$AS$1,),))))-(((VLOOKUP(EDATE(B244,-12),Database!$A:$AS,MATCH($R$1,Database!$A$1:$AS$1,),)))))/(((VLOOKUP(EDATE(B244,-12),Database!$A:$AS,MATCH($R$1,Database!$A$1:$AS$1,),))))</f>
        <v/>
      </c>
      <c r="S244" s="13">
        <f>((((VLOOKUP(B244,Database!$A:$AS,MATCH($S$1,Database!$A$1:$AS$1,),))))-(((VLOOKUP(EDATE(B244,-12),Database!$A:$AS,MATCH($S$1,Database!$A$1:$AS$1,),)))))/(((VLOOKUP(EDATE(B244,-12),Database!$A:$AS,MATCH($S$1,Database!$A$1:$AS$1,),))))</f>
        <v/>
      </c>
      <c r="T244" s="13">
        <f>((((VLOOKUP(B244,Database!$A:$AS,MATCH($T$1,Database!$A$1:$AS$1,),))))-(((VLOOKUP(EDATE(B244,-12),Database!$A:$AS,MATCH($T$1,Database!$A$1:$AS$1,),)))))/(((VLOOKUP(EDATE(B244,-12),Database!$A:$AS,MATCH($T$1,Database!$A$1:$AS$1,),))))</f>
        <v/>
      </c>
      <c r="U244" s="13">
        <f>((((VLOOKUP(B244,Database!$A:$AS,MATCH($U$1,Database!$A$1:$AS$1,),))))-(((VLOOKUP(EDATE(B244,-12),Database!$A:$AS,MATCH($U$1,Database!$A$1:$AS$1,),)))))/(((VLOOKUP(EDATE(B244,-12),Database!$A:$AS,MATCH($U$1,Database!$A$1:$AS$1,),))))</f>
        <v/>
      </c>
      <c r="V244" s="13">
        <f>((((VLOOKUP(B244,Database!$A:$AS,MATCH($V$1,Database!$A$1:$AS$1,),))))-(((VLOOKUP(EDATE(B244,-12),Database!$A:$AS,MATCH($V$1,Database!$A$1:$AS$1,),)))))/(((VLOOKUP(EDATE(B244,-12),Database!$A:$AS,MATCH($V$1,Database!$A$1:$AS$1,),))))</f>
        <v/>
      </c>
    </row>
    <row r="245" customFormat="1" s="94">
      <c r="A245" s="44" t="n"/>
      <c r="B245" s="85" t="n">
        <v>39600</v>
      </c>
      <c r="C245" s="13">
        <f>((((VLOOKUP(B245,Database!$A:$AS,MATCH($C$1,Database!$A$1:$AS$1,),))))-(((VLOOKUP(EDATE(B245,-12),Database!$A:$AS,MATCH($C$1,Database!$A$1:$AS$1,),)))))/(((VLOOKUP(EDATE(B245,-12),Database!$A:$AS,MATCH($C$1,Database!$A$1:$AS$1,),))))</f>
        <v/>
      </c>
      <c r="D245" s="13">
        <f>((((VLOOKUP(B245,Database!$A:$AS,MATCH($D$1,Database!$A$1:$AS$1,),))))-(((VLOOKUP(EDATE(B245,-12),Database!$A:$AS,MATCH($D$1,Database!$A$1:$AS$1,),)))))/(((VLOOKUP(EDATE(B245,-12),Database!$A:$AS,MATCH($D$1,Database!$A$1:$AS$1,),))))</f>
        <v/>
      </c>
      <c r="E245" s="13">
        <f>((((VLOOKUP(B245,Database!$A:$AS,MATCH($E$1,Database!$A$1:$AS$1,),))))-(((VLOOKUP(EDATE(B245,-12),Database!$A:$AS,MATCH($E$1,Database!$A$1:$AS$1,),)))))/(((VLOOKUP(EDATE(B245,-12),Database!$A:$AS,MATCH($E$1,Database!$A$1:$AS$1,),))))</f>
        <v/>
      </c>
      <c r="F245" s="13">
        <f>((((VLOOKUP(B245,Database!$A:$AS,MATCH($F$1,Database!$A$1:$AS$1,),))))-(((VLOOKUP(EDATE(B245,-12),Database!$A:$AS,MATCH($F$1,Database!$A$1:$AS$1,),)))))/(((VLOOKUP(EDATE(B245,-12),Database!$A:$AS,MATCH($F$1,Database!$A$1:$AS$1,),))))</f>
        <v/>
      </c>
      <c r="G245" s="13">
        <f>((((VLOOKUP(B245,Database!$A:$AS,MATCH($G$1,Database!$A$1:$AS$1,),))))-(((VLOOKUP(EDATE(B245,-12),Database!$A:$AS,MATCH($G$1,Database!$A$1:$AS$1,),)))))/(((VLOOKUP(EDATE(B245,-12),Database!$A:$AS,MATCH($G$1,Database!$A$1:$AS$1,),))))</f>
        <v/>
      </c>
      <c r="H245" s="13">
        <f>((((VLOOKUP(B245,Database!$A:$AS,MATCH($H$1,Database!$A$1:$AS$1,),))))-(((VLOOKUP(EDATE(B245,-12),Database!$A:$AS,MATCH($H$1,Database!$A$1:$AS$1,),)))))/(((VLOOKUP(EDATE(B245,-12),Database!$A:$AS,MATCH($H$1,Database!$A$1:$AS$1,),))))</f>
        <v/>
      </c>
      <c r="I245" s="13">
        <f>((((VLOOKUP(B245,Database!$A:$AS,MATCH($I$1,Database!$A$1:$AS$1,),))))-(((VLOOKUP(EDATE(B245,-12),Database!$A:$AS,MATCH($I$1,Database!$A$1:$AS$1,),)))))/(((VLOOKUP(EDATE(B245,-12),Database!$A:$AS,MATCH($I$1,Database!$A$1:$AS$1,),))))</f>
        <v/>
      </c>
      <c r="J245" s="13">
        <f>((((VLOOKUP(B245,Database!$A:$AS,MATCH($J$1,Database!$A$1:$AS$1,),))))-(((VLOOKUP(EDATE(B245,-12),Database!$A:$AS,MATCH($J$1,Database!$A$1:$AS$1,),)))))/(((VLOOKUP(EDATE(B245,-12),Database!$A:$AS,MATCH($J$1,Database!$A$1:$AS$1,),))))</f>
        <v/>
      </c>
      <c r="K245" s="13">
        <f>((((VLOOKUP(B245,Database!$A:$AS,MATCH($K$1,Database!$A$1:$AS$1,),))))-(((VLOOKUP(EDATE(B245,-12),Database!$A:$AS,MATCH($K$1,Database!$A$1:$AS$1,),)))))/(((VLOOKUP(EDATE(B245,-12),Database!$A:$AS,MATCH($K$1,Database!$A$1:$AS$1,),))))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((((VLOOKUP(B245,Database!$A:$AS,MATCH($O$1,Database!$A$1:$AS$1,),))))-(((VLOOKUP(EDATE(B245,-12),Database!$A:$AS,MATCH($O$1,Database!$A$1:$AS$1,),)))))/(((VLOOKUP(EDATE(B245,-12),Database!$A:$AS,MATCH($O$1,Database!$A$1:$AS$1,),))))</f>
        <v/>
      </c>
      <c r="P245" s="13">
        <f>((((VLOOKUP(B245,Database!$A:$AS,MATCH($P$1,Database!$A$1:$AS$1,),))))-(((VLOOKUP(EDATE(B245,-12),Database!$A:$AS,MATCH($P$1,Database!$A$1:$AS$1,),)))))/(((VLOOKUP(EDATE(B245,-12),Database!$A:$AS,MATCH($P$1,Database!$A$1:$AS$1,),))))</f>
        <v/>
      </c>
      <c r="Q245" s="13">
        <f>((((VLOOKUP(B245,Database!$A:$AS,MATCH($Q$1,Database!$A$1:$AS$1,),))))-(((VLOOKUP(EDATE(B245,-12),Database!$A:$AS,MATCH($Q$1,Database!$A$1:$AS$1,),)))))/(((VLOOKUP(EDATE(B245,-12),Database!$A:$AS,MATCH($Q$1,Database!$A$1:$AS$1,),))))</f>
        <v/>
      </c>
      <c r="R245" s="13">
        <f>((((VLOOKUP(B245,Database!$A:$AS,MATCH($R$1,Database!$A$1:$AS$1,),))))-(((VLOOKUP(EDATE(B245,-12),Database!$A:$AS,MATCH($R$1,Database!$A$1:$AS$1,),)))))/(((VLOOKUP(EDATE(B245,-12),Database!$A:$AS,MATCH($R$1,Database!$A$1:$AS$1,),))))</f>
        <v/>
      </c>
      <c r="S245" s="13">
        <f>((((VLOOKUP(B245,Database!$A:$AS,MATCH($S$1,Database!$A$1:$AS$1,),))))-(((VLOOKUP(EDATE(B245,-12),Database!$A:$AS,MATCH($S$1,Database!$A$1:$AS$1,),)))))/(((VLOOKUP(EDATE(B245,-12),Database!$A:$AS,MATCH($S$1,Database!$A$1:$AS$1,),))))</f>
        <v/>
      </c>
      <c r="T245" s="13">
        <f>((((VLOOKUP(B245,Database!$A:$AS,MATCH($T$1,Database!$A$1:$AS$1,),))))-(((VLOOKUP(EDATE(B245,-12),Database!$A:$AS,MATCH($T$1,Database!$A$1:$AS$1,),)))))/(((VLOOKUP(EDATE(B245,-12),Database!$A:$AS,MATCH($T$1,Database!$A$1:$AS$1,),))))</f>
        <v/>
      </c>
      <c r="U245" s="13">
        <f>((((VLOOKUP(B245,Database!$A:$AS,MATCH($U$1,Database!$A$1:$AS$1,),))))-(((VLOOKUP(EDATE(B245,-12),Database!$A:$AS,MATCH($U$1,Database!$A$1:$AS$1,),)))))/(((VLOOKUP(EDATE(B245,-12),Database!$A:$AS,MATCH($U$1,Database!$A$1:$AS$1,),))))</f>
        <v/>
      </c>
      <c r="V245" s="13">
        <f>((((VLOOKUP(B245,Database!$A:$AS,MATCH($V$1,Database!$A$1:$AS$1,),))))-(((VLOOKUP(EDATE(B245,-12),Database!$A:$AS,MATCH($V$1,Database!$A$1:$AS$1,),)))))/(((VLOOKUP(EDATE(B245,-12),Database!$A:$AS,MATCH($V$1,Database!$A$1:$AS$1,),))))</f>
        <v/>
      </c>
    </row>
    <row r="246" customFormat="1" s="94">
      <c r="A246" s="44" t="n"/>
      <c r="B246" s="85" t="n">
        <v>39630</v>
      </c>
      <c r="C246" s="13">
        <f>((((VLOOKUP(B246,Database!$A:$AS,MATCH($C$1,Database!$A$1:$AS$1,),))))-(((VLOOKUP(EDATE(B246,-12),Database!$A:$AS,MATCH($C$1,Database!$A$1:$AS$1,),)))))/(((VLOOKUP(EDATE(B246,-12),Database!$A:$AS,MATCH($C$1,Database!$A$1:$AS$1,),))))</f>
        <v/>
      </c>
      <c r="D246" s="13">
        <f>((((VLOOKUP(B246,Database!$A:$AS,MATCH($D$1,Database!$A$1:$AS$1,),))))-(((VLOOKUP(EDATE(B246,-12),Database!$A:$AS,MATCH($D$1,Database!$A$1:$AS$1,),)))))/(((VLOOKUP(EDATE(B246,-12),Database!$A:$AS,MATCH($D$1,Database!$A$1:$AS$1,),))))</f>
        <v/>
      </c>
      <c r="E246" s="13">
        <f>((((VLOOKUP(B246,Database!$A:$AS,MATCH($E$1,Database!$A$1:$AS$1,),))))-(((VLOOKUP(EDATE(B246,-12),Database!$A:$AS,MATCH($E$1,Database!$A$1:$AS$1,),)))))/(((VLOOKUP(EDATE(B246,-12),Database!$A:$AS,MATCH($E$1,Database!$A$1:$AS$1,),))))</f>
        <v/>
      </c>
      <c r="F246" s="13">
        <f>((((VLOOKUP(B246,Database!$A:$AS,MATCH($F$1,Database!$A$1:$AS$1,),))))-(((VLOOKUP(EDATE(B246,-12),Database!$A:$AS,MATCH($F$1,Database!$A$1:$AS$1,),)))))/(((VLOOKUP(EDATE(B246,-12),Database!$A:$AS,MATCH($F$1,Database!$A$1:$AS$1,),))))</f>
        <v/>
      </c>
      <c r="G246" s="13">
        <f>((((VLOOKUP(B246,Database!$A:$AS,MATCH($G$1,Database!$A$1:$AS$1,),))))-(((VLOOKUP(EDATE(B246,-12),Database!$A:$AS,MATCH($G$1,Database!$A$1:$AS$1,),)))))/(((VLOOKUP(EDATE(B246,-12),Database!$A:$AS,MATCH($G$1,Database!$A$1:$AS$1,),))))</f>
        <v/>
      </c>
      <c r="H246" s="13">
        <f>((((VLOOKUP(B246,Database!$A:$AS,MATCH($H$1,Database!$A$1:$AS$1,),))))-(((VLOOKUP(EDATE(B246,-12),Database!$A:$AS,MATCH($H$1,Database!$A$1:$AS$1,),)))))/(((VLOOKUP(EDATE(B246,-12),Database!$A:$AS,MATCH($H$1,Database!$A$1:$AS$1,),))))</f>
        <v/>
      </c>
      <c r="I246" s="13">
        <f>((((VLOOKUP(B246,Database!$A:$AS,MATCH($I$1,Database!$A$1:$AS$1,),))))-(((VLOOKUP(EDATE(B246,-12),Database!$A:$AS,MATCH($I$1,Database!$A$1:$AS$1,),)))))/(((VLOOKUP(EDATE(B246,-12),Database!$A:$AS,MATCH($I$1,Database!$A$1:$AS$1,),))))</f>
        <v/>
      </c>
      <c r="J246" s="13">
        <f>((((VLOOKUP(B246,Database!$A:$AS,MATCH($J$1,Database!$A$1:$AS$1,),))))-(((VLOOKUP(EDATE(B246,-12),Database!$A:$AS,MATCH($J$1,Database!$A$1:$AS$1,),)))))/(((VLOOKUP(EDATE(B246,-12),Database!$A:$AS,MATCH($J$1,Database!$A$1:$AS$1,),))))</f>
        <v/>
      </c>
      <c r="K246" s="13">
        <f>((((VLOOKUP(B246,Database!$A:$AS,MATCH($K$1,Database!$A$1:$AS$1,),))))-(((VLOOKUP(EDATE(B246,-12),Database!$A:$AS,MATCH($K$1,Database!$A$1:$AS$1,),)))))/(((VLOOKUP(EDATE(B246,-12),Database!$A:$AS,MATCH($K$1,Database!$A$1:$AS$1,),))))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((((VLOOKUP(B246,Database!$A:$AS,MATCH($O$1,Database!$A$1:$AS$1,),))))-(((VLOOKUP(EDATE(B246,-12),Database!$A:$AS,MATCH($O$1,Database!$A$1:$AS$1,),)))))/(((VLOOKUP(EDATE(B246,-12),Database!$A:$AS,MATCH($O$1,Database!$A$1:$AS$1,),))))</f>
        <v/>
      </c>
      <c r="P246" s="13">
        <f>((((VLOOKUP(B246,Database!$A:$AS,MATCH($P$1,Database!$A$1:$AS$1,),))))-(((VLOOKUP(EDATE(B246,-12),Database!$A:$AS,MATCH($P$1,Database!$A$1:$AS$1,),)))))/(((VLOOKUP(EDATE(B246,-12),Database!$A:$AS,MATCH($P$1,Database!$A$1:$AS$1,),))))</f>
        <v/>
      </c>
      <c r="Q246" s="13">
        <f>((((VLOOKUP(B246,Database!$A:$AS,MATCH($Q$1,Database!$A$1:$AS$1,),))))-(((VLOOKUP(EDATE(B246,-12),Database!$A:$AS,MATCH($Q$1,Database!$A$1:$AS$1,),)))))/(((VLOOKUP(EDATE(B246,-12),Database!$A:$AS,MATCH($Q$1,Database!$A$1:$AS$1,),))))</f>
        <v/>
      </c>
      <c r="R246" s="13">
        <f>((((VLOOKUP(B246,Database!$A:$AS,MATCH($R$1,Database!$A$1:$AS$1,),))))-(((VLOOKUP(EDATE(B246,-12),Database!$A:$AS,MATCH($R$1,Database!$A$1:$AS$1,),)))))/(((VLOOKUP(EDATE(B246,-12),Database!$A:$AS,MATCH($R$1,Database!$A$1:$AS$1,),))))</f>
        <v/>
      </c>
      <c r="S246" s="13">
        <f>((((VLOOKUP(B246,Database!$A:$AS,MATCH($S$1,Database!$A$1:$AS$1,),))))-(((VLOOKUP(EDATE(B246,-12),Database!$A:$AS,MATCH($S$1,Database!$A$1:$AS$1,),)))))/(((VLOOKUP(EDATE(B246,-12),Database!$A:$AS,MATCH($S$1,Database!$A$1:$AS$1,),))))</f>
        <v/>
      </c>
      <c r="T246" s="13">
        <f>((((VLOOKUP(B246,Database!$A:$AS,MATCH($T$1,Database!$A$1:$AS$1,),))))-(((VLOOKUP(EDATE(B246,-12),Database!$A:$AS,MATCH($T$1,Database!$A$1:$AS$1,),)))))/(((VLOOKUP(EDATE(B246,-12),Database!$A:$AS,MATCH($T$1,Database!$A$1:$AS$1,),))))</f>
        <v/>
      </c>
      <c r="U246" s="13">
        <f>((((VLOOKUP(B246,Database!$A:$AS,MATCH($U$1,Database!$A$1:$AS$1,),))))-(((VLOOKUP(EDATE(B246,-12),Database!$A:$AS,MATCH($U$1,Database!$A$1:$AS$1,),)))))/(((VLOOKUP(EDATE(B246,-12),Database!$A:$AS,MATCH($U$1,Database!$A$1:$AS$1,),))))</f>
        <v/>
      </c>
      <c r="V246" s="13">
        <f>((((VLOOKUP(B246,Database!$A:$AS,MATCH($V$1,Database!$A$1:$AS$1,),))))-(((VLOOKUP(EDATE(B246,-12),Database!$A:$AS,MATCH($V$1,Database!$A$1:$AS$1,),)))))/(((VLOOKUP(EDATE(B246,-12),Database!$A:$AS,MATCH($V$1,Database!$A$1:$AS$1,),))))</f>
        <v/>
      </c>
    </row>
    <row r="247" customFormat="1" s="94">
      <c r="A247" s="44" t="n"/>
      <c r="B247" s="85" t="n">
        <v>39661</v>
      </c>
      <c r="C247" s="13">
        <f>((((VLOOKUP(B247,Database!$A:$AS,MATCH($C$1,Database!$A$1:$AS$1,),))))-(((VLOOKUP(EDATE(B247,-12),Database!$A:$AS,MATCH($C$1,Database!$A$1:$AS$1,),)))))/(((VLOOKUP(EDATE(B247,-12),Database!$A:$AS,MATCH($C$1,Database!$A$1:$AS$1,),))))</f>
        <v/>
      </c>
      <c r="D247" s="13">
        <f>((((VLOOKUP(B247,Database!$A:$AS,MATCH($D$1,Database!$A$1:$AS$1,),))))-(((VLOOKUP(EDATE(B247,-12),Database!$A:$AS,MATCH($D$1,Database!$A$1:$AS$1,),)))))/(((VLOOKUP(EDATE(B247,-12),Database!$A:$AS,MATCH($D$1,Database!$A$1:$AS$1,),))))</f>
        <v/>
      </c>
      <c r="E247" s="13">
        <f>((((VLOOKUP(B247,Database!$A:$AS,MATCH($E$1,Database!$A$1:$AS$1,),))))-(((VLOOKUP(EDATE(B247,-12),Database!$A:$AS,MATCH($E$1,Database!$A$1:$AS$1,),)))))/(((VLOOKUP(EDATE(B247,-12),Database!$A:$AS,MATCH($E$1,Database!$A$1:$AS$1,),))))</f>
        <v/>
      </c>
      <c r="F247" s="13">
        <f>((((VLOOKUP(B247,Database!$A:$AS,MATCH($F$1,Database!$A$1:$AS$1,),))))-(((VLOOKUP(EDATE(B247,-12),Database!$A:$AS,MATCH($F$1,Database!$A$1:$AS$1,),)))))/(((VLOOKUP(EDATE(B247,-12),Database!$A:$AS,MATCH($F$1,Database!$A$1:$AS$1,),))))</f>
        <v/>
      </c>
      <c r="G247" s="13">
        <f>((((VLOOKUP(B247,Database!$A:$AS,MATCH($G$1,Database!$A$1:$AS$1,),))))-(((VLOOKUP(EDATE(B247,-12),Database!$A:$AS,MATCH($G$1,Database!$A$1:$AS$1,),)))))/(((VLOOKUP(EDATE(B247,-12),Database!$A:$AS,MATCH($G$1,Database!$A$1:$AS$1,),))))</f>
        <v/>
      </c>
      <c r="H247" s="13">
        <f>((((VLOOKUP(B247,Database!$A:$AS,MATCH($H$1,Database!$A$1:$AS$1,),))))-(((VLOOKUP(EDATE(B247,-12),Database!$A:$AS,MATCH($H$1,Database!$A$1:$AS$1,),)))))/(((VLOOKUP(EDATE(B247,-12),Database!$A:$AS,MATCH($H$1,Database!$A$1:$AS$1,),))))</f>
        <v/>
      </c>
      <c r="I247" s="13">
        <f>((((VLOOKUP(B247,Database!$A:$AS,MATCH($I$1,Database!$A$1:$AS$1,),))))-(((VLOOKUP(EDATE(B247,-12),Database!$A:$AS,MATCH($I$1,Database!$A$1:$AS$1,),)))))/(((VLOOKUP(EDATE(B247,-12),Database!$A:$AS,MATCH($I$1,Database!$A$1:$AS$1,),))))</f>
        <v/>
      </c>
      <c r="J247" s="13">
        <f>((((VLOOKUP(B247,Database!$A:$AS,MATCH($J$1,Database!$A$1:$AS$1,),))))-(((VLOOKUP(EDATE(B247,-12),Database!$A:$AS,MATCH($J$1,Database!$A$1:$AS$1,),)))))/(((VLOOKUP(EDATE(B247,-12),Database!$A:$AS,MATCH($J$1,Database!$A$1:$AS$1,),))))</f>
        <v/>
      </c>
      <c r="K247" s="13">
        <f>((((VLOOKUP(B247,Database!$A:$AS,MATCH($K$1,Database!$A$1:$AS$1,),))))-(((VLOOKUP(EDATE(B247,-12),Database!$A:$AS,MATCH($K$1,Database!$A$1:$AS$1,),)))))/(((VLOOKUP(EDATE(B247,-12),Database!$A:$AS,MATCH($K$1,Database!$A$1:$AS$1,),))))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((((VLOOKUP(B247,Database!$A:$AS,MATCH($O$1,Database!$A$1:$AS$1,),))))-(((VLOOKUP(EDATE(B247,-12),Database!$A:$AS,MATCH($O$1,Database!$A$1:$AS$1,),)))))/(((VLOOKUP(EDATE(B247,-12),Database!$A:$AS,MATCH($O$1,Database!$A$1:$AS$1,),))))</f>
        <v/>
      </c>
      <c r="P247" s="13">
        <f>((((VLOOKUP(B247,Database!$A:$AS,MATCH($P$1,Database!$A$1:$AS$1,),))))-(((VLOOKUP(EDATE(B247,-12),Database!$A:$AS,MATCH($P$1,Database!$A$1:$AS$1,),)))))/(((VLOOKUP(EDATE(B247,-12),Database!$A:$AS,MATCH($P$1,Database!$A$1:$AS$1,),))))</f>
        <v/>
      </c>
      <c r="Q247" s="13">
        <f>((((VLOOKUP(B247,Database!$A:$AS,MATCH($Q$1,Database!$A$1:$AS$1,),))))-(((VLOOKUP(EDATE(B247,-12),Database!$A:$AS,MATCH($Q$1,Database!$A$1:$AS$1,),)))))/(((VLOOKUP(EDATE(B247,-12),Database!$A:$AS,MATCH($Q$1,Database!$A$1:$AS$1,),))))</f>
        <v/>
      </c>
      <c r="R247" s="13">
        <f>((((VLOOKUP(B247,Database!$A:$AS,MATCH($R$1,Database!$A$1:$AS$1,),))))-(((VLOOKUP(EDATE(B247,-12),Database!$A:$AS,MATCH($R$1,Database!$A$1:$AS$1,),)))))/(((VLOOKUP(EDATE(B247,-12),Database!$A:$AS,MATCH($R$1,Database!$A$1:$AS$1,),))))</f>
        <v/>
      </c>
      <c r="S247" s="13">
        <f>((((VLOOKUP(B247,Database!$A:$AS,MATCH($S$1,Database!$A$1:$AS$1,),))))-(((VLOOKUP(EDATE(B247,-12),Database!$A:$AS,MATCH($S$1,Database!$A$1:$AS$1,),)))))/(((VLOOKUP(EDATE(B247,-12),Database!$A:$AS,MATCH($S$1,Database!$A$1:$AS$1,),))))</f>
        <v/>
      </c>
      <c r="T247" s="13">
        <f>((((VLOOKUP(B247,Database!$A:$AS,MATCH($T$1,Database!$A$1:$AS$1,),))))-(((VLOOKUP(EDATE(B247,-12),Database!$A:$AS,MATCH($T$1,Database!$A$1:$AS$1,),)))))/(((VLOOKUP(EDATE(B247,-12),Database!$A:$AS,MATCH($T$1,Database!$A$1:$AS$1,),))))</f>
        <v/>
      </c>
      <c r="U247" s="13">
        <f>((((VLOOKUP(B247,Database!$A:$AS,MATCH($U$1,Database!$A$1:$AS$1,),))))-(((VLOOKUP(EDATE(B247,-12),Database!$A:$AS,MATCH($U$1,Database!$A$1:$AS$1,),)))))/(((VLOOKUP(EDATE(B247,-12),Database!$A:$AS,MATCH($U$1,Database!$A$1:$AS$1,),))))</f>
        <v/>
      </c>
      <c r="V247" s="13">
        <f>((((VLOOKUP(B247,Database!$A:$AS,MATCH($V$1,Database!$A$1:$AS$1,),))))-(((VLOOKUP(EDATE(B247,-12),Database!$A:$AS,MATCH($V$1,Database!$A$1:$AS$1,),)))))/(((VLOOKUP(EDATE(B247,-12),Database!$A:$AS,MATCH($V$1,Database!$A$1:$AS$1,),))))</f>
        <v/>
      </c>
    </row>
    <row r="248" customFormat="1" s="94">
      <c r="A248" s="44" t="n"/>
      <c r="B248" s="85" t="n">
        <v>39692</v>
      </c>
      <c r="C248" s="13">
        <f>((((VLOOKUP(B248,Database!$A:$AS,MATCH($C$1,Database!$A$1:$AS$1,),))))-(((VLOOKUP(EDATE(B248,-12),Database!$A:$AS,MATCH($C$1,Database!$A$1:$AS$1,),)))))/(((VLOOKUP(EDATE(B248,-12),Database!$A:$AS,MATCH($C$1,Database!$A$1:$AS$1,),))))</f>
        <v/>
      </c>
      <c r="D248" s="13">
        <f>((((VLOOKUP(B248,Database!$A:$AS,MATCH($D$1,Database!$A$1:$AS$1,),))))-(((VLOOKUP(EDATE(B248,-12),Database!$A:$AS,MATCH($D$1,Database!$A$1:$AS$1,),)))))/(((VLOOKUP(EDATE(B248,-12),Database!$A:$AS,MATCH($D$1,Database!$A$1:$AS$1,),))))</f>
        <v/>
      </c>
      <c r="E248" s="13">
        <f>((((VLOOKUP(B248,Database!$A:$AS,MATCH($E$1,Database!$A$1:$AS$1,),))))-(((VLOOKUP(EDATE(B248,-12),Database!$A:$AS,MATCH($E$1,Database!$A$1:$AS$1,),)))))/(((VLOOKUP(EDATE(B248,-12),Database!$A:$AS,MATCH($E$1,Database!$A$1:$AS$1,),))))</f>
        <v/>
      </c>
      <c r="F248" s="13">
        <f>((((VLOOKUP(B248,Database!$A:$AS,MATCH($F$1,Database!$A$1:$AS$1,),))))-(((VLOOKUP(EDATE(B248,-12),Database!$A:$AS,MATCH($F$1,Database!$A$1:$AS$1,),)))))/(((VLOOKUP(EDATE(B248,-12),Database!$A:$AS,MATCH($F$1,Database!$A$1:$AS$1,),))))</f>
        <v/>
      </c>
      <c r="G248" s="13">
        <f>((((VLOOKUP(B248,Database!$A:$AS,MATCH($G$1,Database!$A$1:$AS$1,),))))-(((VLOOKUP(EDATE(B248,-12),Database!$A:$AS,MATCH($G$1,Database!$A$1:$AS$1,),)))))/(((VLOOKUP(EDATE(B248,-12),Database!$A:$AS,MATCH($G$1,Database!$A$1:$AS$1,),))))</f>
        <v/>
      </c>
      <c r="H248" s="13">
        <f>((((VLOOKUP(B248,Database!$A:$AS,MATCH($H$1,Database!$A$1:$AS$1,),))))-(((VLOOKUP(EDATE(B248,-12),Database!$A:$AS,MATCH($H$1,Database!$A$1:$AS$1,),)))))/(((VLOOKUP(EDATE(B248,-12),Database!$A:$AS,MATCH($H$1,Database!$A$1:$AS$1,),))))</f>
        <v/>
      </c>
      <c r="I248" s="13">
        <f>((((VLOOKUP(B248,Database!$A:$AS,MATCH($I$1,Database!$A$1:$AS$1,),))))-(((VLOOKUP(EDATE(B248,-12),Database!$A:$AS,MATCH($I$1,Database!$A$1:$AS$1,),)))))/(((VLOOKUP(EDATE(B248,-12),Database!$A:$AS,MATCH($I$1,Database!$A$1:$AS$1,),))))</f>
        <v/>
      </c>
      <c r="J248" s="13">
        <f>((((VLOOKUP(B248,Database!$A:$AS,MATCH($J$1,Database!$A$1:$AS$1,),))))-(((VLOOKUP(EDATE(B248,-12),Database!$A:$AS,MATCH($J$1,Database!$A$1:$AS$1,),)))))/(((VLOOKUP(EDATE(B248,-12),Database!$A:$AS,MATCH($J$1,Database!$A$1:$AS$1,),))))</f>
        <v/>
      </c>
      <c r="K248" s="13">
        <f>((((VLOOKUP(B248,Database!$A:$AS,MATCH($K$1,Database!$A$1:$AS$1,),))))-(((VLOOKUP(EDATE(B248,-12),Database!$A:$AS,MATCH($K$1,Database!$A$1:$AS$1,),)))))/(((VLOOKUP(EDATE(B248,-12),Database!$A:$AS,MATCH($K$1,Database!$A$1:$AS$1,),))))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((((VLOOKUP(B248,Database!$A:$AS,MATCH($O$1,Database!$A$1:$AS$1,),))))-(((VLOOKUP(EDATE(B248,-12),Database!$A:$AS,MATCH($O$1,Database!$A$1:$AS$1,),)))))/(((VLOOKUP(EDATE(B248,-12),Database!$A:$AS,MATCH($O$1,Database!$A$1:$AS$1,),))))</f>
        <v/>
      </c>
      <c r="P248" s="13">
        <f>((((VLOOKUP(B248,Database!$A:$AS,MATCH($P$1,Database!$A$1:$AS$1,),))))-(((VLOOKUP(EDATE(B248,-12),Database!$A:$AS,MATCH($P$1,Database!$A$1:$AS$1,),)))))/(((VLOOKUP(EDATE(B248,-12),Database!$A:$AS,MATCH($P$1,Database!$A$1:$AS$1,),))))</f>
        <v/>
      </c>
      <c r="Q248" s="13">
        <f>((((VLOOKUP(B248,Database!$A:$AS,MATCH($Q$1,Database!$A$1:$AS$1,),))))-(((VLOOKUP(EDATE(B248,-12),Database!$A:$AS,MATCH($Q$1,Database!$A$1:$AS$1,),)))))/(((VLOOKUP(EDATE(B248,-12),Database!$A:$AS,MATCH($Q$1,Database!$A$1:$AS$1,),))))</f>
        <v/>
      </c>
      <c r="R248" s="13">
        <f>((((VLOOKUP(B248,Database!$A:$AS,MATCH($R$1,Database!$A$1:$AS$1,),))))-(((VLOOKUP(EDATE(B248,-12),Database!$A:$AS,MATCH($R$1,Database!$A$1:$AS$1,),)))))/(((VLOOKUP(EDATE(B248,-12),Database!$A:$AS,MATCH($R$1,Database!$A$1:$AS$1,),))))</f>
        <v/>
      </c>
      <c r="S248" s="13">
        <f>((((VLOOKUP(B248,Database!$A:$AS,MATCH($S$1,Database!$A$1:$AS$1,),))))-(((VLOOKUP(EDATE(B248,-12),Database!$A:$AS,MATCH($S$1,Database!$A$1:$AS$1,),)))))/(((VLOOKUP(EDATE(B248,-12),Database!$A:$AS,MATCH($S$1,Database!$A$1:$AS$1,),))))</f>
        <v/>
      </c>
      <c r="T248" s="13">
        <f>((((VLOOKUP(B248,Database!$A:$AS,MATCH($T$1,Database!$A$1:$AS$1,),))))-(((VLOOKUP(EDATE(B248,-12),Database!$A:$AS,MATCH($T$1,Database!$A$1:$AS$1,),)))))/(((VLOOKUP(EDATE(B248,-12),Database!$A:$AS,MATCH($T$1,Database!$A$1:$AS$1,),))))</f>
        <v/>
      </c>
      <c r="U248" s="13">
        <f>((((VLOOKUP(B248,Database!$A:$AS,MATCH($U$1,Database!$A$1:$AS$1,),))))-(((VLOOKUP(EDATE(B248,-12),Database!$A:$AS,MATCH($U$1,Database!$A$1:$AS$1,),)))))/(((VLOOKUP(EDATE(B248,-12),Database!$A:$AS,MATCH($U$1,Database!$A$1:$AS$1,),))))</f>
        <v/>
      </c>
      <c r="V248" s="13">
        <f>((((VLOOKUP(B248,Database!$A:$AS,MATCH($V$1,Database!$A$1:$AS$1,),))))-(((VLOOKUP(EDATE(B248,-12),Database!$A:$AS,MATCH($V$1,Database!$A$1:$AS$1,),)))))/(((VLOOKUP(EDATE(B248,-12),Database!$A:$AS,MATCH($V$1,Database!$A$1:$AS$1,),))))</f>
        <v/>
      </c>
    </row>
    <row r="249" customFormat="1" s="94">
      <c r="A249" s="44" t="n"/>
      <c r="B249" s="85" t="n">
        <v>39722</v>
      </c>
      <c r="C249" s="13">
        <f>((((VLOOKUP(B249,Database!$A:$AS,MATCH($C$1,Database!$A$1:$AS$1,),))))-(((VLOOKUP(EDATE(B249,-12),Database!$A:$AS,MATCH($C$1,Database!$A$1:$AS$1,),)))))/(((VLOOKUP(EDATE(B249,-12),Database!$A:$AS,MATCH($C$1,Database!$A$1:$AS$1,),))))</f>
        <v/>
      </c>
      <c r="D249" s="13">
        <f>((((VLOOKUP(B249,Database!$A:$AS,MATCH($D$1,Database!$A$1:$AS$1,),))))-(((VLOOKUP(EDATE(B249,-12),Database!$A:$AS,MATCH($D$1,Database!$A$1:$AS$1,),)))))/(((VLOOKUP(EDATE(B249,-12),Database!$A:$AS,MATCH($D$1,Database!$A$1:$AS$1,),))))</f>
        <v/>
      </c>
      <c r="E249" s="13">
        <f>((((VLOOKUP(B249,Database!$A:$AS,MATCH($E$1,Database!$A$1:$AS$1,),))))-(((VLOOKUP(EDATE(B249,-12),Database!$A:$AS,MATCH($E$1,Database!$A$1:$AS$1,),)))))/(((VLOOKUP(EDATE(B249,-12),Database!$A:$AS,MATCH($E$1,Database!$A$1:$AS$1,),))))</f>
        <v/>
      </c>
      <c r="F249" s="13">
        <f>((((VLOOKUP(B249,Database!$A:$AS,MATCH($F$1,Database!$A$1:$AS$1,),))))-(((VLOOKUP(EDATE(B249,-12),Database!$A:$AS,MATCH($F$1,Database!$A$1:$AS$1,),)))))/(((VLOOKUP(EDATE(B249,-12),Database!$A:$AS,MATCH($F$1,Database!$A$1:$AS$1,),))))</f>
        <v/>
      </c>
      <c r="G249" s="13">
        <f>((((VLOOKUP(B249,Database!$A:$AS,MATCH($G$1,Database!$A$1:$AS$1,),))))-(((VLOOKUP(EDATE(B249,-12),Database!$A:$AS,MATCH($G$1,Database!$A$1:$AS$1,),)))))/(((VLOOKUP(EDATE(B249,-12),Database!$A:$AS,MATCH($G$1,Database!$A$1:$AS$1,),))))</f>
        <v/>
      </c>
      <c r="H249" s="13">
        <f>((((VLOOKUP(B249,Database!$A:$AS,MATCH($H$1,Database!$A$1:$AS$1,),))))-(((VLOOKUP(EDATE(B249,-12),Database!$A:$AS,MATCH($H$1,Database!$A$1:$AS$1,),)))))/(((VLOOKUP(EDATE(B249,-12),Database!$A:$AS,MATCH($H$1,Database!$A$1:$AS$1,),))))</f>
        <v/>
      </c>
      <c r="I249" s="13">
        <f>((((VLOOKUP(B249,Database!$A:$AS,MATCH($I$1,Database!$A$1:$AS$1,),))))-(((VLOOKUP(EDATE(B249,-12),Database!$A:$AS,MATCH($I$1,Database!$A$1:$AS$1,),)))))/(((VLOOKUP(EDATE(B249,-12),Database!$A:$AS,MATCH($I$1,Database!$A$1:$AS$1,),))))</f>
        <v/>
      </c>
      <c r="J249" s="13">
        <f>((((VLOOKUP(B249,Database!$A:$AS,MATCH($J$1,Database!$A$1:$AS$1,),))))-(((VLOOKUP(EDATE(B249,-12),Database!$A:$AS,MATCH($J$1,Database!$A$1:$AS$1,),)))))/(((VLOOKUP(EDATE(B249,-12),Database!$A:$AS,MATCH($J$1,Database!$A$1:$AS$1,),))))</f>
        <v/>
      </c>
      <c r="K249" s="13">
        <f>((((VLOOKUP(B249,Database!$A:$AS,MATCH($K$1,Database!$A$1:$AS$1,),))))-(((VLOOKUP(EDATE(B249,-12),Database!$A:$AS,MATCH($K$1,Database!$A$1:$AS$1,),)))))/(((VLOOKUP(EDATE(B249,-12),Database!$A:$AS,MATCH($K$1,Database!$A$1:$AS$1,),))))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((((VLOOKUP(B249,Database!$A:$AS,MATCH($O$1,Database!$A$1:$AS$1,),))))-(((VLOOKUP(EDATE(B249,-12),Database!$A:$AS,MATCH($O$1,Database!$A$1:$AS$1,),)))))/(((VLOOKUP(EDATE(B249,-12),Database!$A:$AS,MATCH($O$1,Database!$A$1:$AS$1,),))))</f>
        <v/>
      </c>
      <c r="P249" s="13">
        <f>((((VLOOKUP(B249,Database!$A:$AS,MATCH($P$1,Database!$A$1:$AS$1,),))))-(((VLOOKUP(EDATE(B249,-12),Database!$A:$AS,MATCH($P$1,Database!$A$1:$AS$1,),)))))/(((VLOOKUP(EDATE(B249,-12),Database!$A:$AS,MATCH($P$1,Database!$A$1:$AS$1,),))))</f>
        <v/>
      </c>
      <c r="Q249" s="13">
        <f>((((VLOOKUP(B249,Database!$A:$AS,MATCH($Q$1,Database!$A$1:$AS$1,),))))-(((VLOOKUP(EDATE(B249,-12),Database!$A:$AS,MATCH($Q$1,Database!$A$1:$AS$1,),)))))/(((VLOOKUP(EDATE(B249,-12),Database!$A:$AS,MATCH($Q$1,Database!$A$1:$AS$1,),))))</f>
        <v/>
      </c>
      <c r="R249" s="13">
        <f>((((VLOOKUP(B249,Database!$A:$AS,MATCH($R$1,Database!$A$1:$AS$1,),))))-(((VLOOKUP(EDATE(B249,-12),Database!$A:$AS,MATCH($R$1,Database!$A$1:$AS$1,),)))))/(((VLOOKUP(EDATE(B249,-12),Database!$A:$AS,MATCH($R$1,Database!$A$1:$AS$1,),))))</f>
        <v/>
      </c>
      <c r="S249" s="13">
        <f>((((VLOOKUP(B249,Database!$A:$AS,MATCH($S$1,Database!$A$1:$AS$1,),))))-(((VLOOKUP(EDATE(B249,-12),Database!$A:$AS,MATCH($S$1,Database!$A$1:$AS$1,),)))))/(((VLOOKUP(EDATE(B249,-12),Database!$A:$AS,MATCH($S$1,Database!$A$1:$AS$1,),))))</f>
        <v/>
      </c>
      <c r="T249" s="13">
        <f>((((VLOOKUP(B249,Database!$A:$AS,MATCH($T$1,Database!$A$1:$AS$1,),))))-(((VLOOKUP(EDATE(B249,-12),Database!$A:$AS,MATCH($T$1,Database!$A$1:$AS$1,),)))))/(((VLOOKUP(EDATE(B249,-12),Database!$A:$AS,MATCH($T$1,Database!$A$1:$AS$1,),))))</f>
        <v/>
      </c>
      <c r="U249" s="13">
        <f>((((VLOOKUP(B249,Database!$A:$AS,MATCH($U$1,Database!$A$1:$AS$1,),))))-(((VLOOKUP(EDATE(B249,-12),Database!$A:$AS,MATCH($U$1,Database!$A$1:$AS$1,),)))))/(((VLOOKUP(EDATE(B249,-12),Database!$A:$AS,MATCH($U$1,Database!$A$1:$AS$1,),))))</f>
        <v/>
      </c>
      <c r="V249" s="13">
        <f>((((VLOOKUP(B249,Database!$A:$AS,MATCH($V$1,Database!$A$1:$AS$1,),))))-(((VLOOKUP(EDATE(B249,-12),Database!$A:$AS,MATCH($V$1,Database!$A$1:$AS$1,),)))))/(((VLOOKUP(EDATE(B249,-12),Database!$A:$AS,MATCH($V$1,Database!$A$1:$AS$1,),))))</f>
        <v/>
      </c>
    </row>
    <row r="250" customFormat="1" s="94">
      <c r="A250" s="44" t="n"/>
      <c r="B250" s="85" t="n">
        <v>39753</v>
      </c>
      <c r="C250" s="13">
        <f>((((VLOOKUP(B250,Database!$A:$AS,MATCH($C$1,Database!$A$1:$AS$1,),))))-(((VLOOKUP(EDATE(B250,-12),Database!$A:$AS,MATCH($C$1,Database!$A$1:$AS$1,),)))))/(((VLOOKUP(EDATE(B250,-12),Database!$A:$AS,MATCH($C$1,Database!$A$1:$AS$1,),))))</f>
        <v/>
      </c>
      <c r="D250" s="13">
        <f>((((VLOOKUP(B250,Database!$A:$AS,MATCH($D$1,Database!$A$1:$AS$1,),))))-(((VLOOKUP(EDATE(B250,-12),Database!$A:$AS,MATCH($D$1,Database!$A$1:$AS$1,),)))))/(((VLOOKUP(EDATE(B250,-12),Database!$A:$AS,MATCH($D$1,Database!$A$1:$AS$1,),))))</f>
        <v/>
      </c>
      <c r="E250" s="13">
        <f>((((VLOOKUP(B250,Database!$A:$AS,MATCH($E$1,Database!$A$1:$AS$1,),))))-(((VLOOKUP(EDATE(B250,-12),Database!$A:$AS,MATCH($E$1,Database!$A$1:$AS$1,),)))))/(((VLOOKUP(EDATE(B250,-12),Database!$A:$AS,MATCH($E$1,Database!$A$1:$AS$1,),))))</f>
        <v/>
      </c>
      <c r="F250" s="13">
        <f>((((VLOOKUP(B250,Database!$A:$AS,MATCH($F$1,Database!$A$1:$AS$1,),))))-(((VLOOKUP(EDATE(B250,-12),Database!$A:$AS,MATCH($F$1,Database!$A$1:$AS$1,),)))))/(((VLOOKUP(EDATE(B250,-12),Database!$A:$AS,MATCH($F$1,Database!$A$1:$AS$1,),))))</f>
        <v/>
      </c>
      <c r="G250" s="13">
        <f>((((VLOOKUP(B250,Database!$A:$AS,MATCH($G$1,Database!$A$1:$AS$1,),))))-(((VLOOKUP(EDATE(B250,-12),Database!$A:$AS,MATCH($G$1,Database!$A$1:$AS$1,),)))))/(((VLOOKUP(EDATE(B250,-12),Database!$A:$AS,MATCH($G$1,Database!$A$1:$AS$1,),))))</f>
        <v/>
      </c>
      <c r="H250" s="13">
        <f>((((VLOOKUP(B250,Database!$A:$AS,MATCH($H$1,Database!$A$1:$AS$1,),))))-(((VLOOKUP(EDATE(B250,-12),Database!$A:$AS,MATCH($H$1,Database!$A$1:$AS$1,),)))))/(((VLOOKUP(EDATE(B250,-12),Database!$A:$AS,MATCH($H$1,Database!$A$1:$AS$1,),))))</f>
        <v/>
      </c>
      <c r="I250" s="13">
        <f>((((VLOOKUP(B250,Database!$A:$AS,MATCH($I$1,Database!$A$1:$AS$1,),))))-(((VLOOKUP(EDATE(B250,-12),Database!$A:$AS,MATCH($I$1,Database!$A$1:$AS$1,),)))))/(((VLOOKUP(EDATE(B250,-12),Database!$A:$AS,MATCH($I$1,Database!$A$1:$AS$1,),))))</f>
        <v/>
      </c>
      <c r="J250" s="13">
        <f>((((VLOOKUP(B250,Database!$A:$AS,MATCH($J$1,Database!$A$1:$AS$1,),))))-(((VLOOKUP(EDATE(B250,-12),Database!$A:$AS,MATCH($J$1,Database!$A$1:$AS$1,),)))))/(((VLOOKUP(EDATE(B250,-12),Database!$A:$AS,MATCH($J$1,Database!$A$1:$AS$1,),))))</f>
        <v/>
      </c>
      <c r="K250" s="13">
        <f>((((VLOOKUP(B250,Database!$A:$AS,MATCH($K$1,Database!$A$1:$AS$1,),))))-(((VLOOKUP(EDATE(B250,-12),Database!$A:$AS,MATCH($K$1,Database!$A$1:$AS$1,),)))))/(((VLOOKUP(EDATE(B250,-12),Database!$A:$AS,MATCH($K$1,Database!$A$1:$AS$1,),))))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((((VLOOKUP(B250,Database!$A:$AS,MATCH($O$1,Database!$A$1:$AS$1,),))))-(((VLOOKUP(EDATE(B250,-12),Database!$A:$AS,MATCH($O$1,Database!$A$1:$AS$1,),)))))/(((VLOOKUP(EDATE(B250,-12),Database!$A:$AS,MATCH($O$1,Database!$A$1:$AS$1,),))))</f>
        <v/>
      </c>
      <c r="P250" s="13">
        <f>((((VLOOKUP(B250,Database!$A:$AS,MATCH($P$1,Database!$A$1:$AS$1,),))))-(((VLOOKUP(EDATE(B250,-12),Database!$A:$AS,MATCH($P$1,Database!$A$1:$AS$1,),)))))/(((VLOOKUP(EDATE(B250,-12),Database!$A:$AS,MATCH($P$1,Database!$A$1:$AS$1,),))))</f>
        <v/>
      </c>
      <c r="Q250" s="13">
        <f>((((VLOOKUP(B250,Database!$A:$AS,MATCH($Q$1,Database!$A$1:$AS$1,),))))-(((VLOOKUP(EDATE(B250,-12),Database!$A:$AS,MATCH($Q$1,Database!$A$1:$AS$1,),)))))/(((VLOOKUP(EDATE(B250,-12),Database!$A:$AS,MATCH($Q$1,Database!$A$1:$AS$1,),))))</f>
        <v/>
      </c>
      <c r="R250" s="13">
        <f>((((VLOOKUP(B250,Database!$A:$AS,MATCH($R$1,Database!$A$1:$AS$1,),))))-(((VLOOKUP(EDATE(B250,-12),Database!$A:$AS,MATCH($R$1,Database!$A$1:$AS$1,),)))))/(((VLOOKUP(EDATE(B250,-12),Database!$A:$AS,MATCH($R$1,Database!$A$1:$AS$1,),))))</f>
        <v/>
      </c>
      <c r="S250" s="13">
        <f>((((VLOOKUP(B250,Database!$A:$AS,MATCH($S$1,Database!$A$1:$AS$1,),))))-(((VLOOKUP(EDATE(B250,-12),Database!$A:$AS,MATCH($S$1,Database!$A$1:$AS$1,),)))))/(((VLOOKUP(EDATE(B250,-12),Database!$A:$AS,MATCH($S$1,Database!$A$1:$AS$1,),))))</f>
        <v/>
      </c>
      <c r="T250" s="13">
        <f>((((VLOOKUP(B250,Database!$A:$AS,MATCH($T$1,Database!$A$1:$AS$1,),))))-(((VLOOKUP(EDATE(B250,-12),Database!$A:$AS,MATCH($T$1,Database!$A$1:$AS$1,),)))))/(((VLOOKUP(EDATE(B250,-12),Database!$A:$AS,MATCH($T$1,Database!$A$1:$AS$1,),))))</f>
        <v/>
      </c>
      <c r="U250" s="13">
        <f>((((VLOOKUP(B250,Database!$A:$AS,MATCH($U$1,Database!$A$1:$AS$1,),))))-(((VLOOKUP(EDATE(B250,-12),Database!$A:$AS,MATCH($U$1,Database!$A$1:$AS$1,),)))))/(((VLOOKUP(EDATE(B250,-12),Database!$A:$AS,MATCH($U$1,Database!$A$1:$AS$1,),))))</f>
        <v/>
      </c>
      <c r="V250" s="13">
        <f>((((VLOOKUP(B250,Database!$A:$AS,MATCH($V$1,Database!$A$1:$AS$1,),))))-(((VLOOKUP(EDATE(B250,-12),Database!$A:$AS,MATCH($V$1,Database!$A$1:$AS$1,),)))))/(((VLOOKUP(EDATE(B250,-12),Database!$A:$AS,MATCH($V$1,Database!$A$1:$AS$1,),))))</f>
        <v/>
      </c>
    </row>
    <row r="251" customFormat="1" s="94">
      <c r="A251" s="44" t="n"/>
      <c r="B251" s="85" t="n">
        <v>39783</v>
      </c>
      <c r="C251" s="13">
        <f>((((VLOOKUP(B251,Database!$A:$AS,MATCH($C$1,Database!$A$1:$AS$1,),))))-(((VLOOKUP(EDATE(B251,-12),Database!$A:$AS,MATCH($C$1,Database!$A$1:$AS$1,),)))))/(((VLOOKUP(EDATE(B251,-12),Database!$A:$AS,MATCH($C$1,Database!$A$1:$AS$1,),))))</f>
        <v/>
      </c>
      <c r="D251" s="13">
        <f>((((VLOOKUP(B251,Database!$A:$AS,MATCH($D$1,Database!$A$1:$AS$1,),))))-(((VLOOKUP(EDATE(B251,-12),Database!$A:$AS,MATCH($D$1,Database!$A$1:$AS$1,),)))))/(((VLOOKUP(EDATE(B251,-12),Database!$A:$AS,MATCH($D$1,Database!$A$1:$AS$1,),))))</f>
        <v/>
      </c>
      <c r="E251" s="13">
        <f>((((VLOOKUP(B251,Database!$A:$AS,MATCH($E$1,Database!$A$1:$AS$1,),))))-(((VLOOKUP(EDATE(B251,-12),Database!$A:$AS,MATCH($E$1,Database!$A$1:$AS$1,),)))))/(((VLOOKUP(EDATE(B251,-12),Database!$A:$AS,MATCH($E$1,Database!$A$1:$AS$1,),))))</f>
        <v/>
      </c>
      <c r="F251" s="13">
        <f>((((VLOOKUP(B251,Database!$A:$AS,MATCH($F$1,Database!$A$1:$AS$1,),))))-(((VLOOKUP(EDATE(B251,-12),Database!$A:$AS,MATCH($F$1,Database!$A$1:$AS$1,),)))))/(((VLOOKUP(EDATE(B251,-12),Database!$A:$AS,MATCH($F$1,Database!$A$1:$AS$1,),))))</f>
        <v/>
      </c>
      <c r="G251" s="13">
        <f>((((VLOOKUP(B251,Database!$A:$AS,MATCH($G$1,Database!$A$1:$AS$1,),))))-(((VLOOKUP(EDATE(B251,-12),Database!$A:$AS,MATCH($G$1,Database!$A$1:$AS$1,),)))))/(((VLOOKUP(EDATE(B251,-12),Database!$A:$AS,MATCH($G$1,Database!$A$1:$AS$1,),))))</f>
        <v/>
      </c>
      <c r="H251" s="13">
        <f>((((VLOOKUP(B251,Database!$A:$AS,MATCH($H$1,Database!$A$1:$AS$1,),))))-(((VLOOKUP(EDATE(B251,-12),Database!$A:$AS,MATCH($H$1,Database!$A$1:$AS$1,),)))))/(((VLOOKUP(EDATE(B251,-12),Database!$A:$AS,MATCH($H$1,Database!$A$1:$AS$1,),))))</f>
        <v/>
      </c>
      <c r="I251" s="13">
        <f>((((VLOOKUP(B251,Database!$A:$AS,MATCH($I$1,Database!$A$1:$AS$1,),))))-(((VLOOKUP(EDATE(B251,-12),Database!$A:$AS,MATCH($I$1,Database!$A$1:$AS$1,),)))))/(((VLOOKUP(EDATE(B251,-12),Database!$A:$AS,MATCH($I$1,Database!$A$1:$AS$1,),))))</f>
        <v/>
      </c>
      <c r="J251" s="13">
        <f>((((VLOOKUP(B251,Database!$A:$AS,MATCH($J$1,Database!$A$1:$AS$1,),))))-(((VLOOKUP(EDATE(B251,-12),Database!$A:$AS,MATCH($J$1,Database!$A$1:$AS$1,),)))))/(((VLOOKUP(EDATE(B251,-12),Database!$A:$AS,MATCH($J$1,Database!$A$1:$AS$1,),))))</f>
        <v/>
      </c>
      <c r="K251" s="13">
        <f>((((VLOOKUP(B251,Database!$A:$AS,MATCH($K$1,Database!$A$1:$AS$1,),))))-(((VLOOKUP(EDATE(B251,-12),Database!$A:$AS,MATCH($K$1,Database!$A$1:$AS$1,),)))))/(((VLOOKUP(EDATE(B251,-12),Database!$A:$AS,MATCH($K$1,Database!$A$1:$AS$1,),))))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((((VLOOKUP(B251,Database!$A:$AS,MATCH($O$1,Database!$A$1:$AS$1,),))))-(((VLOOKUP(EDATE(B251,-12),Database!$A:$AS,MATCH($O$1,Database!$A$1:$AS$1,),)))))/(((VLOOKUP(EDATE(B251,-12),Database!$A:$AS,MATCH($O$1,Database!$A$1:$AS$1,),))))</f>
        <v/>
      </c>
      <c r="P251" s="13">
        <f>((((VLOOKUP(B251,Database!$A:$AS,MATCH($P$1,Database!$A$1:$AS$1,),))))-(((VLOOKUP(EDATE(B251,-12),Database!$A:$AS,MATCH($P$1,Database!$A$1:$AS$1,),)))))/(((VLOOKUP(EDATE(B251,-12),Database!$A:$AS,MATCH($P$1,Database!$A$1:$AS$1,),))))</f>
        <v/>
      </c>
      <c r="Q251" s="13">
        <f>((((VLOOKUP(B251,Database!$A:$AS,MATCH($Q$1,Database!$A$1:$AS$1,),))))-(((VLOOKUP(EDATE(B251,-12),Database!$A:$AS,MATCH($Q$1,Database!$A$1:$AS$1,),)))))/(((VLOOKUP(EDATE(B251,-12),Database!$A:$AS,MATCH($Q$1,Database!$A$1:$AS$1,),))))</f>
        <v/>
      </c>
      <c r="R251" s="13">
        <f>((((VLOOKUP(B251,Database!$A:$AS,MATCH($R$1,Database!$A$1:$AS$1,),))))-(((VLOOKUP(EDATE(B251,-12),Database!$A:$AS,MATCH($R$1,Database!$A$1:$AS$1,),)))))/(((VLOOKUP(EDATE(B251,-12),Database!$A:$AS,MATCH($R$1,Database!$A$1:$AS$1,),))))</f>
        <v/>
      </c>
      <c r="S251" s="13">
        <f>((((VLOOKUP(B251,Database!$A:$AS,MATCH($S$1,Database!$A$1:$AS$1,),))))-(((VLOOKUP(EDATE(B251,-12),Database!$A:$AS,MATCH($S$1,Database!$A$1:$AS$1,),)))))/(((VLOOKUP(EDATE(B251,-12),Database!$A:$AS,MATCH($S$1,Database!$A$1:$AS$1,),))))</f>
        <v/>
      </c>
      <c r="T251" s="13">
        <f>((((VLOOKUP(B251,Database!$A:$AS,MATCH($T$1,Database!$A$1:$AS$1,),))))-(((VLOOKUP(EDATE(B251,-12),Database!$A:$AS,MATCH($T$1,Database!$A$1:$AS$1,),)))))/(((VLOOKUP(EDATE(B251,-12),Database!$A:$AS,MATCH($T$1,Database!$A$1:$AS$1,),))))</f>
        <v/>
      </c>
      <c r="U251" s="13">
        <f>((((VLOOKUP(B251,Database!$A:$AS,MATCH($U$1,Database!$A$1:$AS$1,),))))-(((VLOOKUP(EDATE(B251,-12),Database!$A:$AS,MATCH($U$1,Database!$A$1:$AS$1,),)))))/(((VLOOKUP(EDATE(B251,-12),Database!$A:$AS,MATCH($U$1,Database!$A$1:$AS$1,),))))</f>
        <v/>
      </c>
      <c r="V251" s="13">
        <f>((((VLOOKUP(B251,Database!$A:$AS,MATCH($V$1,Database!$A$1:$AS$1,),))))-(((VLOOKUP(EDATE(B251,-12),Database!$A:$AS,MATCH($V$1,Database!$A$1:$AS$1,),)))))/(((VLOOKUP(EDATE(B251,-12),Database!$A:$AS,MATCH($V$1,Database!$A$1:$AS$1,),))))</f>
        <v/>
      </c>
    </row>
    <row r="252" customFormat="1" s="94">
      <c r="A252" s="44" t="n"/>
      <c r="B252" s="85" t="n">
        <v>39814</v>
      </c>
      <c r="C252" s="13">
        <f>((((VLOOKUP(B252,Database!$A:$AS,MATCH($C$1,Database!$A$1:$AS$1,),))))-(((VLOOKUP(EDATE(B252,-12),Database!$A:$AS,MATCH($C$1,Database!$A$1:$AS$1,),)))))/(((VLOOKUP(EDATE(B252,-12),Database!$A:$AS,MATCH($C$1,Database!$A$1:$AS$1,),))))</f>
        <v/>
      </c>
      <c r="D252" s="13">
        <f>((((VLOOKUP(B252,Database!$A:$AS,MATCH($D$1,Database!$A$1:$AS$1,),))))-(((VLOOKUP(EDATE(B252,-12),Database!$A:$AS,MATCH($D$1,Database!$A$1:$AS$1,),)))))/(((VLOOKUP(EDATE(B252,-12),Database!$A:$AS,MATCH($D$1,Database!$A$1:$AS$1,),))))</f>
        <v/>
      </c>
      <c r="E252" s="13">
        <f>((((VLOOKUP(B252,Database!$A:$AS,MATCH($E$1,Database!$A$1:$AS$1,),))))-(((VLOOKUP(EDATE(B252,-12),Database!$A:$AS,MATCH($E$1,Database!$A$1:$AS$1,),)))))/(((VLOOKUP(EDATE(B252,-12),Database!$A:$AS,MATCH($E$1,Database!$A$1:$AS$1,),))))</f>
        <v/>
      </c>
      <c r="F252" s="13">
        <f>((((VLOOKUP(B252,Database!$A:$AS,MATCH($F$1,Database!$A$1:$AS$1,),))))-(((VLOOKUP(EDATE(B252,-12),Database!$A:$AS,MATCH($F$1,Database!$A$1:$AS$1,),)))))/(((VLOOKUP(EDATE(B252,-12),Database!$A:$AS,MATCH($F$1,Database!$A$1:$AS$1,),))))</f>
        <v/>
      </c>
      <c r="G252" s="13">
        <f>((((VLOOKUP(B252,Database!$A:$AS,MATCH($G$1,Database!$A$1:$AS$1,),))))-(((VLOOKUP(EDATE(B252,-12),Database!$A:$AS,MATCH($G$1,Database!$A$1:$AS$1,),)))))/(((VLOOKUP(EDATE(B252,-12),Database!$A:$AS,MATCH($G$1,Database!$A$1:$AS$1,),))))</f>
        <v/>
      </c>
      <c r="H252" s="13">
        <f>((((VLOOKUP(B252,Database!$A:$AS,MATCH($H$1,Database!$A$1:$AS$1,),))))-(((VLOOKUP(EDATE(B252,-12),Database!$A:$AS,MATCH($H$1,Database!$A$1:$AS$1,),)))))/(((VLOOKUP(EDATE(B252,-12),Database!$A:$AS,MATCH($H$1,Database!$A$1:$AS$1,),))))</f>
        <v/>
      </c>
      <c r="I252" s="13">
        <f>((((VLOOKUP(B252,Database!$A:$AS,MATCH($I$1,Database!$A$1:$AS$1,),))))-(((VLOOKUP(EDATE(B252,-12),Database!$A:$AS,MATCH($I$1,Database!$A$1:$AS$1,),)))))/(((VLOOKUP(EDATE(B252,-12),Database!$A:$AS,MATCH($I$1,Database!$A$1:$AS$1,),))))</f>
        <v/>
      </c>
      <c r="J252" s="13">
        <f>((((VLOOKUP(B252,Database!$A:$AS,MATCH($J$1,Database!$A$1:$AS$1,),))))-(((VLOOKUP(EDATE(B252,-12),Database!$A:$AS,MATCH($J$1,Database!$A$1:$AS$1,),)))))/(((VLOOKUP(EDATE(B252,-12),Database!$A:$AS,MATCH($J$1,Database!$A$1:$AS$1,),))))</f>
        <v/>
      </c>
      <c r="K252" s="13">
        <f>((((VLOOKUP(B252,Database!$A:$AS,MATCH($K$1,Database!$A$1:$AS$1,),))))-(((VLOOKUP(EDATE(B252,-12),Database!$A:$AS,MATCH($K$1,Database!$A$1:$AS$1,),)))))/(((VLOOKUP(EDATE(B252,-12),Database!$A:$AS,MATCH($K$1,Database!$A$1:$AS$1,),))))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((((VLOOKUP(B252,Database!$A:$AS,MATCH($O$1,Database!$A$1:$AS$1,),))))-(((VLOOKUP(EDATE(B252,-12),Database!$A:$AS,MATCH($O$1,Database!$A$1:$AS$1,),)))))/(((VLOOKUP(EDATE(B252,-12),Database!$A:$AS,MATCH($O$1,Database!$A$1:$AS$1,),))))</f>
        <v/>
      </c>
      <c r="P252" s="13">
        <f>((((VLOOKUP(B252,Database!$A:$AS,MATCH($P$1,Database!$A$1:$AS$1,),))))-(((VLOOKUP(EDATE(B252,-12),Database!$A:$AS,MATCH($P$1,Database!$A$1:$AS$1,),)))))/(((VLOOKUP(EDATE(B252,-12),Database!$A:$AS,MATCH($P$1,Database!$A$1:$AS$1,),))))</f>
        <v/>
      </c>
      <c r="Q252" s="13">
        <f>((((VLOOKUP(B252,Database!$A:$AS,MATCH($Q$1,Database!$A$1:$AS$1,),))))-(((VLOOKUP(EDATE(B252,-12),Database!$A:$AS,MATCH($Q$1,Database!$A$1:$AS$1,),)))))/(((VLOOKUP(EDATE(B252,-12),Database!$A:$AS,MATCH($Q$1,Database!$A$1:$AS$1,),))))</f>
        <v/>
      </c>
      <c r="R252" s="13">
        <f>((((VLOOKUP(B252,Database!$A:$AS,MATCH($R$1,Database!$A$1:$AS$1,),))))-(((VLOOKUP(EDATE(B252,-12),Database!$A:$AS,MATCH($R$1,Database!$A$1:$AS$1,),)))))/(((VLOOKUP(EDATE(B252,-12),Database!$A:$AS,MATCH($R$1,Database!$A$1:$AS$1,),))))</f>
        <v/>
      </c>
      <c r="S252" s="13">
        <f>((((VLOOKUP(B252,Database!$A:$AS,MATCH($S$1,Database!$A$1:$AS$1,),))))-(((VLOOKUP(EDATE(B252,-12),Database!$A:$AS,MATCH($S$1,Database!$A$1:$AS$1,),)))))/(((VLOOKUP(EDATE(B252,-12),Database!$A:$AS,MATCH($S$1,Database!$A$1:$AS$1,),))))</f>
        <v/>
      </c>
      <c r="T252" s="13">
        <f>((((VLOOKUP(B252,Database!$A:$AS,MATCH($T$1,Database!$A$1:$AS$1,),))))-(((VLOOKUP(EDATE(B252,-12),Database!$A:$AS,MATCH($T$1,Database!$A$1:$AS$1,),)))))/(((VLOOKUP(EDATE(B252,-12),Database!$A:$AS,MATCH($T$1,Database!$A$1:$AS$1,),))))</f>
        <v/>
      </c>
      <c r="U252" s="13">
        <f>((((VLOOKUP(B252,Database!$A:$AS,MATCH($U$1,Database!$A$1:$AS$1,),))))-(((VLOOKUP(EDATE(B252,-12),Database!$A:$AS,MATCH($U$1,Database!$A$1:$AS$1,),)))))/(((VLOOKUP(EDATE(B252,-12),Database!$A:$AS,MATCH($U$1,Database!$A$1:$AS$1,),))))</f>
        <v/>
      </c>
      <c r="V252" s="13">
        <f>((((VLOOKUP(B252,Database!$A:$AS,MATCH($V$1,Database!$A$1:$AS$1,),))))-(((VLOOKUP(EDATE(B252,-12),Database!$A:$AS,MATCH($V$1,Database!$A$1:$AS$1,),)))))/(((VLOOKUP(EDATE(B252,-12),Database!$A:$AS,MATCH($V$1,Database!$A$1:$AS$1,),))))</f>
        <v/>
      </c>
    </row>
    <row r="253" customFormat="1" s="94">
      <c r="A253" s="44" t="n"/>
      <c r="B253" s="85" t="n">
        <v>39845</v>
      </c>
      <c r="C253" s="13">
        <f>((((VLOOKUP(B253,Database!$A:$AS,MATCH($C$1,Database!$A$1:$AS$1,),))))-(((VLOOKUP(EDATE(B253,-12),Database!$A:$AS,MATCH($C$1,Database!$A$1:$AS$1,),)))))/(((VLOOKUP(EDATE(B253,-12),Database!$A:$AS,MATCH($C$1,Database!$A$1:$AS$1,),))))</f>
        <v/>
      </c>
      <c r="D253" s="13">
        <f>((((VLOOKUP(B253,Database!$A:$AS,MATCH($D$1,Database!$A$1:$AS$1,),))))-(((VLOOKUP(EDATE(B253,-12),Database!$A:$AS,MATCH($D$1,Database!$A$1:$AS$1,),)))))/(((VLOOKUP(EDATE(B253,-12),Database!$A:$AS,MATCH($D$1,Database!$A$1:$AS$1,),))))</f>
        <v/>
      </c>
      <c r="E253" s="13">
        <f>((((VLOOKUP(B253,Database!$A:$AS,MATCH($E$1,Database!$A$1:$AS$1,),))))-(((VLOOKUP(EDATE(B253,-12),Database!$A:$AS,MATCH($E$1,Database!$A$1:$AS$1,),)))))/(((VLOOKUP(EDATE(B253,-12),Database!$A:$AS,MATCH($E$1,Database!$A$1:$AS$1,),))))</f>
        <v/>
      </c>
      <c r="F253" s="13">
        <f>((((VLOOKUP(B253,Database!$A:$AS,MATCH($F$1,Database!$A$1:$AS$1,),))))-(((VLOOKUP(EDATE(B253,-12),Database!$A:$AS,MATCH($F$1,Database!$A$1:$AS$1,),)))))/(((VLOOKUP(EDATE(B253,-12),Database!$A:$AS,MATCH($F$1,Database!$A$1:$AS$1,),))))</f>
        <v/>
      </c>
      <c r="G253" s="13">
        <f>((((VLOOKUP(B253,Database!$A:$AS,MATCH($G$1,Database!$A$1:$AS$1,),))))-(((VLOOKUP(EDATE(B253,-12),Database!$A:$AS,MATCH($G$1,Database!$A$1:$AS$1,),)))))/(((VLOOKUP(EDATE(B253,-12),Database!$A:$AS,MATCH($G$1,Database!$A$1:$AS$1,),))))</f>
        <v/>
      </c>
      <c r="H253" s="13">
        <f>((((VLOOKUP(B253,Database!$A:$AS,MATCH($H$1,Database!$A$1:$AS$1,),))))-(((VLOOKUP(EDATE(B253,-12),Database!$A:$AS,MATCH($H$1,Database!$A$1:$AS$1,),)))))/(((VLOOKUP(EDATE(B253,-12),Database!$A:$AS,MATCH($H$1,Database!$A$1:$AS$1,),))))</f>
        <v/>
      </c>
      <c r="I253" s="13">
        <f>((((VLOOKUP(B253,Database!$A:$AS,MATCH($I$1,Database!$A$1:$AS$1,),))))-(((VLOOKUP(EDATE(B253,-12),Database!$A:$AS,MATCH($I$1,Database!$A$1:$AS$1,),)))))/(((VLOOKUP(EDATE(B253,-12),Database!$A:$AS,MATCH($I$1,Database!$A$1:$AS$1,),))))</f>
        <v/>
      </c>
      <c r="J253" s="13">
        <f>((((VLOOKUP(B253,Database!$A:$AS,MATCH($J$1,Database!$A$1:$AS$1,),))))-(((VLOOKUP(EDATE(B253,-12),Database!$A:$AS,MATCH($J$1,Database!$A$1:$AS$1,),)))))/(((VLOOKUP(EDATE(B253,-12),Database!$A:$AS,MATCH($J$1,Database!$A$1:$AS$1,),))))</f>
        <v/>
      </c>
      <c r="K253" s="13">
        <f>((((VLOOKUP(B253,Database!$A:$AS,MATCH($K$1,Database!$A$1:$AS$1,),))))-(((VLOOKUP(EDATE(B253,-12),Database!$A:$AS,MATCH($K$1,Database!$A$1:$AS$1,),)))))/(((VLOOKUP(EDATE(B253,-12),Database!$A:$AS,MATCH($K$1,Database!$A$1:$AS$1,),))))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((((VLOOKUP(B253,Database!$A:$AS,MATCH($O$1,Database!$A$1:$AS$1,),))))-(((VLOOKUP(EDATE(B253,-12),Database!$A:$AS,MATCH($O$1,Database!$A$1:$AS$1,),)))))/(((VLOOKUP(EDATE(B253,-12),Database!$A:$AS,MATCH($O$1,Database!$A$1:$AS$1,),))))</f>
        <v/>
      </c>
      <c r="P253" s="13">
        <f>((((VLOOKUP(B253,Database!$A:$AS,MATCH($P$1,Database!$A$1:$AS$1,),))))-(((VLOOKUP(EDATE(B253,-12),Database!$A:$AS,MATCH($P$1,Database!$A$1:$AS$1,),)))))/(((VLOOKUP(EDATE(B253,-12),Database!$A:$AS,MATCH($P$1,Database!$A$1:$AS$1,),))))</f>
        <v/>
      </c>
      <c r="Q253" s="13">
        <f>((((VLOOKUP(B253,Database!$A:$AS,MATCH($Q$1,Database!$A$1:$AS$1,),))))-(((VLOOKUP(EDATE(B253,-12),Database!$A:$AS,MATCH($Q$1,Database!$A$1:$AS$1,),)))))/(((VLOOKUP(EDATE(B253,-12),Database!$A:$AS,MATCH($Q$1,Database!$A$1:$AS$1,),))))</f>
        <v/>
      </c>
      <c r="R253" s="13">
        <f>((((VLOOKUP(B253,Database!$A:$AS,MATCH($R$1,Database!$A$1:$AS$1,),))))-(((VLOOKUP(EDATE(B253,-12),Database!$A:$AS,MATCH($R$1,Database!$A$1:$AS$1,),)))))/(((VLOOKUP(EDATE(B253,-12),Database!$A:$AS,MATCH($R$1,Database!$A$1:$AS$1,),))))</f>
        <v/>
      </c>
      <c r="S253" s="13">
        <f>((((VLOOKUP(B253,Database!$A:$AS,MATCH($S$1,Database!$A$1:$AS$1,),))))-(((VLOOKUP(EDATE(B253,-12),Database!$A:$AS,MATCH($S$1,Database!$A$1:$AS$1,),)))))/(((VLOOKUP(EDATE(B253,-12),Database!$A:$AS,MATCH($S$1,Database!$A$1:$AS$1,),))))</f>
        <v/>
      </c>
      <c r="T253" s="13">
        <f>((((VLOOKUP(B253,Database!$A:$AS,MATCH($T$1,Database!$A$1:$AS$1,),))))-(((VLOOKUP(EDATE(B253,-12),Database!$A:$AS,MATCH($T$1,Database!$A$1:$AS$1,),)))))/(((VLOOKUP(EDATE(B253,-12),Database!$A:$AS,MATCH($T$1,Database!$A$1:$AS$1,),))))</f>
        <v/>
      </c>
      <c r="U253" s="13">
        <f>((((VLOOKUP(B253,Database!$A:$AS,MATCH($U$1,Database!$A$1:$AS$1,),))))-(((VLOOKUP(EDATE(B253,-12),Database!$A:$AS,MATCH($U$1,Database!$A$1:$AS$1,),)))))/(((VLOOKUP(EDATE(B253,-12),Database!$A:$AS,MATCH($U$1,Database!$A$1:$AS$1,),))))</f>
        <v/>
      </c>
      <c r="V253" s="13">
        <f>((((VLOOKUP(B253,Database!$A:$AS,MATCH($V$1,Database!$A$1:$AS$1,),))))-(((VLOOKUP(EDATE(B253,-12),Database!$A:$AS,MATCH($V$1,Database!$A$1:$AS$1,),)))))/(((VLOOKUP(EDATE(B253,-12),Database!$A:$AS,MATCH($V$1,Database!$A$1:$AS$1,),))))</f>
        <v/>
      </c>
    </row>
    <row r="254" customFormat="1" s="94">
      <c r="A254" s="44" t="n"/>
      <c r="B254" s="85" t="n">
        <v>39873</v>
      </c>
      <c r="C254" s="13">
        <f>((((VLOOKUP(B254,Database!$A:$AS,MATCH($C$1,Database!$A$1:$AS$1,),))))-(((VLOOKUP(EDATE(B254,-12),Database!$A:$AS,MATCH($C$1,Database!$A$1:$AS$1,),)))))/(((VLOOKUP(EDATE(B254,-12),Database!$A:$AS,MATCH($C$1,Database!$A$1:$AS$1,),))))</f>
        <v/>
      </c>
      <c r="D254" s="13">
        <f>((((VLOOKUP(B254,Database!$A:$AS,MATCH($D$1,Database!$A$1:$AS$1,),))))-(((VLOOKUP(EDATE(B254,-12),Database!$A:$AS,MATCH($D$1,Database!$A$1:$AS$1,),)))))/(((VLOOKUP(EDATE(B254,-12),Database!$A:$AS,MATCH($D$1,Database!$A$1:$AS$1,),))))</f>
        <v/>
      </c>
      <c r="E254" s="13">
        <f>((((VLOOKUP(B254,Database!$A:$AS,MATCH($E$1,Database!$A$1:$AS$1,),))))-(((VLOOKUP(EDATE(B254,-12),Database!$A:$AS,MATCH($E$1,Database!$A$1:$AS$1,),)))))/(((VLOOKUP(EDATE(B254,-12),Database!$A:$AS,MATCH($E$1,Database!$A$1:$AS$1,),))))</f>
        <v/>
      </c>
      <c r="F254" s="13">
        <f>((((VLOOKUP(B254,Database!$A:$AS,MATCH($F$1,Database!$A$1:$AS$1,),))))-(((VLOOKUP(EDATE(B254,-12),Database!$A:$AS,MATCH($F$1,Database!$A$1:$AS$1,),)))))/(((VLOOKUP(EDATE(B254,-12),Database!$A:$AS,MATCH($F$1,Database!$A$1:$AS$1,),))))</f>
        <v/>
      </c>
      <c r="G254" s="13">
        <f>((((VLOOKUP(B254,Database!$A:$AS,MATCH($G$1,Database!$A$1:$AS$1,),))))-(((VLOOKUP(EDATE(B254,-12),Database!$A:$AS,MATCH($G$1,Database!$A$1:$AS$1,),)))))/(((VLOOKUP(EDATE(B254,-12),Database!$A:$AS,MATCH($G$1,Database!$A$1:$AS$1,),))))</f>
        <v/>
      </c>
      <c r="H254" s="13">
        <f>((((VLOOKUP(B254,Database!$A:$AS,MATCH($H$1,Database!$A$1:$AS$1,),))))-(((VLOOKUP(EDATE(B254,-12),Database!$A:$AS,MATCH($H$1,Database!$A$1:$AS$1,),)))))/(((VLOOKUP(EDATE(B254,-12),Database!$A:$AS,MATCH($H$1,Database!$A$1:$AS$1,),))))</f>
        <v/>
      </c>
      <c r="I254" s="13">
        <f>((((VLOOKUP(B254,Database!$A:$AS,MATCH($I$1,Database!$A$1:$AS$1,),))))-(((VLOOKUP(EDATE(B254,-12),Database!$A:$AS,MATCH($I$1,Database!$A$1:$AS$1,),)))))/(((VLOOKUP(EDATE(B254,-12),Database!$A:$AS,MATCH($I$1,Database!$A$1:$AS$1,),))))</f>
        <v/>
      </c>
      <c r="J254" s="13">
        <f>((((VLOOKUP(B254,Database!$A:$AS,MATCH($J$1,Database!$A$1:$AS$1,),))))-(((VLOOKUP(EDATE(B254,-12),Database!$A:$AS,MATCH($J$1,Database!$A$1:$AS$1,),)))))/(((VLOOKUP(EDATE(B254,-12),Database!$A:$AS,MATCH($J$1,Database!$A$1:$AS$1,),))))</f>
        <v/>
      </c>
      <c r="K254" s="13">
        <f>((((VLOOKUP(B254,Database!$A:$AS,MATCH($K$1,Database!$A$1:$AS$1,),))))-(((VLOOKUP(EDATE(B254,-12),Database!$A:$AS,MATCH($K$1,Database!$A$1:$AS$1,),)))))/(((VLOOKUP(EDATE(B254,-12),Database!$A:$AS,MATCH($K$1,Database!$A$1:$AS$1,),))))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((((VLOOKUP(B254,Database!$A:$AS,MATCH($O$1,Database!$A$1:$AS$1,),))))-(((VLOOKUP(EDATE(B254,-12),Database!$A:$AS,MATCH($O$1,Database!$A$1:$AS$1,),)))))/(((VLOOKUP(EDATE(B254,-12),Database!$A:$AS,MATCH($O$1,Database!$A$1:$AS$1,),))))</f>
        <v/>
      </c>
      <c r="P254" s="13">
        <f>((((VLOOKUP(B254,Database!$A:$AS,MATCH($P$1,Database!$A$1:$AS$1,),))))-(((VLOOKUP(EDATE(B254,-12),Database!$A:$AS,MATCH($P$1,Database!$A$1:$AS$1,),)))))/(((VLOOKUP(EDATE(B254,-12),Database!$A:$AS,MATCH($P$1,Database!$A$1:$AS$1,),))))</f>
        <v/>
      </c>
      <c r="Q254" s="13">
        <f>((((VLOOKUP(B254,Database!$A:$AS,MATCH($Q$1,Database!$A$1:$AS$1,),))))-(((VLOOKUP(EDATE(B254,-12),Database!$A:$AS,MATCH($Q$1,Database!$A$1:$AS$1,),)))))/(((VLOOKUP(EDATE(B254,-12),Database!$A:$AS,MATCH($Q$1,Database!$A$1:$AS$1,),))))</f>
        <v/>
      </c>
      <c r="R254" s="13">
        <f>((((VLOOKUP(B254,Database!$A:$AS,MATCH($R$1,Database!$A$1:$AS$1,),))))-(((VLOOKUP(EDATE(B254,-12),Database!$A:$AS,MATCH($R$1,Database!$A$1:$AS$1,),)))))/(((VLOOKUP(EDATE(B254,-12),Database!$A:$AS,MATCH($R$1,Database!$A$1:$AS$1,),))))</f>
        <v/>
      </c>
      <c r="S254" s="13">
        <f>((((VLOOKUP(B254,Database!$A:$AS,MATCH($S$1,Database!$A$1:$AS$1,),))))-(((VLOOKUP(EDATE(B254,-12),Database!$A:$AS,MATCH($S$1,Database!$A$1:$AS$1,),)))))/(((VLOOKUP(EDATE(B254,-12),Database!$A:$AS,MATCH($S$1,Database!$A$1:$AS$1,),))))</f>
        <v/>
      </c>
      <c r="T254" s="13">
        <f>((((VLOOKUP(B254,Database!$A:$AS,MATCH($T$1,Database!$A$1:$AS$1,),))))-(((VLOOKUP(EDATE(B254,-12),Database!$A:$AS,MATCH($T$1,Database!$A$1:$AS$1,),)))))/(((VLOOKUP(EDATE(B254,-12),Database!$A:$AS,MATCH($T$1,Database!$A$1:$AS$1,),))))</f>
        <v/>
      </c>
      <c r="U254" s="13">
        <f>((((VLOOKUP(B254,Database!$A:$AS,MATCH($U$1,Database!$A$1:$AS$1,),))))-(((VLOOKUP(EDATE(B254,-12),Database!$A:$AS,MATCH($U$1,Database!$A$1:$AS$1,),)))))/(((VLOOKUP(EDATE(B254,-12),Database!$A:$AS,MATCH($U$1,Database!$A$1:$AS$1,),))))</f>
        <v/>
      </c>
      <c r="V254" s="13">
        <f>((((VLOOKUP(B254,Database!$A:$AS,MATCH($V$1,Database!$A$1:$AS$1,),))))-(((VLOOKUP(EDATE(B254,-12),Database!$A:$AS,MATCH($V$1,Database!$A$1:$AS$1,),)))))/(((VLOOKUP(EDATE(B254,-12),Database!$A:$AS,MATCH($V$1,Database!$A$1:$AS$1,),))))</f>
        <v/>
      </c>
    </row>
    <row r="255" customFormat="1" s="94">
      <c r="A255" s="44" t="n"/>
      <c r="B255" s="85" t="n">
        <v>39904</v>
      </c>
      <c r="C255" s="13">
        <f>((((VLOOKUP(B255,Database!$A:$AS,MATCH($C$1,Database!$A$1:$AS$1,),))))-(((VLOOKUP(EDATE(B255,-12),Database!$A:$AS,MATCH($C$1,Database!$A$1:$AS$1,),)))))/(((VLOOKUP(EDATE(B255,-12),Database!$A:$AS,MATCH($C$1,Database!$A$1:$AS$1,),))))</f>
        <v/>
      </c>
      <c r="D255" s="13">
        <f>((((VLOOKUP(B255,Database!$A:$AS,MATCH($D$1,Database!$A$1:$AS$1,),))))-(((VLOOKUP(EDATE(B255,-12),Database!$A:$AS,MATCH($D$1,Database!$A$1:$AS$1,),)))))/(((VLOOKUP(EDATE(B255,-12),Database!$A:$AS,MATCH($D$1,Database!$A$1:$AS$1,),))))</f>
        <v/>
      </c>
      <c r="E255" s="13">
        <f>((((VLOOKUP(B255,Database!$A:$AS,MATCH($E$1,Database!$A$1:$AS$1,),))))-(((VLOOKUP(EDATE(B255,-12),Database!$A:$AS,MATCH($E$1,Database!$A$1:$AS$1,),)))))/(((VLOOKUP(EDATE(B255,-12),Database!$A:$AS,MATCH($E$1,Database!$A$1:$AS$1,),))))</f>
        <v/>
      </c>
      <c r="F255" s="13">
        <f>((((VLOOKUP(B255,Database!$A:$AS,MATCH($F$1,Database!$A$1:$AS$1,),))))-(((VLOOKUP(EDATE(B255,-12),Database!$A:$AS,MATCH($F$1,Database!$A$1:$AS$1,),)))))/(((VLOOKUP(EDATE(B255,-12),Database!$A:$AS,MATCH($F$1,Database!$A$1:$AS$1,),))))</f>
        <v/>
      </c>
      <c r="G255" s="13">
        <f>((((VLOOKUP(B255,Database!$A:$AS,MATCH($G$1,Database!$A$1:$AS$1,),))))-(((VLOOKUP(EDATE(B255,-12),Database!$A:$AS,MATCH($G$1,Database!$A$1:$AS$1,),)))))/(((VLOOKUP(EDATE(B255,-12),Database!$A:$AS,MATCH($G$1,Database!$A$1:$AS$1,),))))</f>
        <v/>
      </c>
      <c r="H255" s="13">
        <f>((((VLOOKUP(B255,Database!$A:$AS,MATCH($H$1,Database!$A$1:$AS$1,),))))-(((VLOOKUP(EDATE(B255,-12),Database!$A:$AS,MATCH($H$1,Database!$A$1:$AS$1,),)))))/(((VLOOKUP(EDATE(B255,-12),Database!$A:$AS,MATCH($H$1,Database!$A$1:$AS$1,),))))</f>
        <v/>
      </c>
      <c r="I255" s="13">
        <f>((((VLOOKUP(B255,Database!$A:$AS,MATCH($I$1,Database!$A$1:$AS$1,),))))-(((VLOOKUP(EDATE(B255,-12),Database!$A:$AS,MATCH($I$1,Database!$A$1:$AS$1,),)))))/(((VLOOKUP(EDATE(B255,-12),Database!$A:$AS,MATCH($I$1,Database!$A$1:$AS$1,),))))</f>
        <v/>
      </c>
      <c r="J255" s="13">
        <f>((((VLOOKUP(B255,Database!$A:$AS,MATCH($J$1,Database!$A$1:$AS$1,),))))-(((VLOOKUP(EDATE(B255,-12),Database!$A:$AS,MATCH($J$1,Database!$A$1:$AS$1,),)))))/(((VLOOKUP(EDATE(B255,-12),Database!$A:$AS,MATCH($J$1,Database!$A$1:$AS$1,),))))</f>
        <v/>
      </c>
      <c r="K255" s="13">
        <f>((((VLOOKUP(B255,Database!$A:$AS,MATCH($K$1,Database!$A$1:$AS$1,),))))-(((VLOOKUP(EDATE(B255,-12),Database!$A:$AS,MATCH($K$1,Database!$A$1:$AS$1,),)))))/(((VLOOKUP(EDATE(B255,-12),Database!$A:$AS,MATCH($K$1,Database!$A$1:$AS$1,),))))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((((VLOOKUP(B255,Database!$A:$AS,MATCH($O$1,Database!$A$1:$AS$1,),))))-(((VLOOKUP(EDATE(B255,-12),Database!$A:$AS,MATCH($O$1,Database!$A$1:$AS$1,),)))))/(((VLOOKUP(EDATE(B255,-12),Database!$A:$AS,MATCH($O$1,Database!$A$1:$AS$1,),))))</f>
        <v/>
      </c>
      <c r="P255" s="13">
        <f>((((VLOOKUP(B255,Database!$A:$AS,MATCH($P$1,Database!$A$1:$AS$1,),))))-(((VLOOKUP(EDATE(B255,-12),Database!$A:$AS,MATCH($P$1,Database!$A$1:$AS$1,),)))))/(((VLOOKUP(EDATE(B255,-12),Database!$A:$AS,MATCH($P$1,Database!$A$1:$AS$1,),))))</f>
        <v/>
      </c>
      <c r="Q255" s="13">
        <f>((((VLOOKUP(B255,Database!$A:$AS,MATCH($Q$1,Database!$A$1:$AS$1,),))))-(((VLOOKUP(EDATE(B255,-12),Database!$A:$AS,MATCH($Q$1,Database!$A$1:$AS$1,),)))))/(((VLOOKUP(EDATE(B255,-12),Database!$A:$AS,MATCH($Q$1,Database!$A$1:$AS$1,),))))</f>
        <v/>
      </c>
      <c r="R255" s="13">
        <f>((((VLOOKUP(B255,Database!$A:$AS,MATCH($R$1,Database!$A$1:$AS$1,),))))-(((VLOOKUP(EDATE(B255,-12),Database!$A:$AS,MATCH($R$1,Database!$A$1:$AS$1,),)))))/(((VLOOKUP(EDATE(B255,-12),Database!$A:$AS,MATCH($R$1,Database!$A$1:$AS$1,),))))</f>
        <v/>
      </c>
      <c r="S255" s="13">
        <f>((((VLOOKUP(B255,Database!$A:$AS,MATCH($S$1,Database!$A$1:$AS$1,),))))-(((VLOOKUP(EDATE(B255,-12),Database!$A:$AS,MATCH($S$1,Database!$A$1:$AS$1,),)))))/(((VLOOKUP(EDATE(B255,-12),Database!$A:$AS,MATCH($S$1,Database!$A$1:$AS$1,),))))</f>
        <v/>
      </c>
      <c r="T255" s="13">
        <f>((((VLOOKUP(B255,Database!$A:$AS,MATCH($T$1,Database!$A$1:$AS$1,),))))-(((VLOOKUP(EDATE(B255,-12),Database!$A:$AS,MATCH($T$1,Database!$A$1:$AS$1,),)))))/(((VLOOKUP(EDATE(B255,-12),Database!$A:$AS,MATCH($T$1,Database!$A$1:$AS$1,),))))</f>
        <v/>
      </c>
      <c r="U255" s="13">
        <f>((((VLOOKUP(B255,Database!$A:$AS,MATCH($U$1,Database!$A$1:$AS$1,),))))-(((VLOOKUP(EDATE(B255,-12),Database!$A:$AS,MATCH($U$1,Database!$A$1:$AS$1,),)))))/(((VLOOKUP(EDATE(B255,-12),Database!$A:$AS,MATCH($U$1,Database!$A$1:$AS$1,),))))</f>
        <v/>
      </c>
      <c r="V255" s="13">
        <f>((((VLOOKUP(B255,Database!$A:$AS,MATCH($V$1,Database!$A$1:$AS$1,),))))-(((VLOOKUP(EDATE(B255,-12),Database!$A:$AS,MATCH($V$1,Database!$A$1:$AS$1,),)))))/(((VLOOKUP(EDATE(B255,-12),Database!$A:$AS,MATCH($V$1,Database!$A$1:$AS$1,),))))</f>
        <v/>
      </c>
    </row>
    <row r="256" customFormat="1" s="94">
      <c r="A256" s="44" t="n"/>
      <c r="B256" s="85" t="n">
        <v>39934</v>
      </c>
      <c r="C256" s="13">
        <f>((((VLOOKUP(B256,Database!$A:$AS,MATCH($C$1,Database!$A$1:$AS$1,),))))-(((VLOOKUP(EDATE(B256,-12),Database!$A:$AS,MATCH($C$1,Database!$A$1:$AS$1,),)))))/(((VLOOKUP(EDATE(B256,-12),Database!$A:$AS,MATCH($C$1,Database!$A$1:$AS$1,),))))</f>
        <v/>
      </c>
      <c r="D256" s="13">
        <f>((((VLOOKUP(B256,Database!$A:$AS,MATCH($D$1,Database!$A$1:$AS$1,),))))-(((VLOOKUP(EDATE(B256,-12),Database!$A:$AS,MATCH($D$1,Database!$A$1:$AS$1,),)))))/(((VLOOKUP(EDATE(B256,-12),Database!$A:$AS,MATCH($D$1,Database!$A$1:$AS$1,),))))</f>
        <v/>
      </c>
      <c r="E256" s="13">
        <f>((((VLOOKUP(B256,Database!$A:$AS,MATCH($E$1,Database!$A$1:$AS$1,),))))-(((VLOOKUP(EDATE(B256,-12),Database!$A:$AS,MATCH($E$1,Database!$A$1:$AS$1,),)))))/(((VLOOKUP(EDATE(B256,-12),Database!$A:$AS,MATCH($E$1,Database!$A$1:$AS$1,),))))</f>
        <v/>
      </c>
      <c r="F256" s="13">
        <f>((((VLOOKUP(B256,Database!$A:$AS,MATCH($F$1,Database!$A$1:$AS$1,),))))-(((VLOOKUP(EDATE(B256,-12),Database!$A:$AS,MATCH($F$1,Database!$A$1:$AS$1,),)))))/(((VLOOKUP(EDATE(B256,-12),Database!$A:$AS,MATCH($F$1,Database!$A$1:$AS$1,),))))</f>
        <v/>
      </c>
      <c r="G256" s="13">
        <f>((((VLOOKUP(B256,Database!$A:$AS,MATCH($G$1,Database!$A$1:$AS$1,),))))-(((VLOOKUP(EDATE(B256,-12),Database!$A:$AS,MATCH($G$1,Database!$A$1:$AS$1,),)))))/(((VLOOKUP(EDATE(B256,-12),Database!$A:$AS,MATCH($G$1,Database!$A$1:$AS$1,),))))</f>
        <v/>
      </c>
      <c r="H256" s="13">
        <f>((((VLOOKUP(B256,Database!$A:$AS,MATCH($H$1,Database!$A$1:$AS$1,),))))-(((VLOOKUP(EDATE(B256,-12),Database!$A:$AS,MATCH($H$1,Database!$A$1:$AS$1,),)))))/(((VLOOKUP(EDATE(B256,-12),Database!$A:$AS,MATCH($H$1,Database!$A$1:$AS$1,),))))</f>
        <v/>
      </c>
      <c r="I256" s="13">
        <f>((((VLOOKUP(B256,Database!$A:$AS,MATCH($I$1,Database!$A$1:$AS$1,),))))-(((VLOOKUP(EDATE(B256,-12),Database!$A:$AS,MATCH($I$1,Database!$A$1:$AS$1,),)))))/(((VLOOKUP(EDATE(B256,-12),Database!$A:$AS,MATCH($I$1,Database!$A$1:$AS$1,),))))</f>
        <v/>
      </c>
      <c r="J256" s="13">
        <f>((((VLOOKUP(B256,Database!$A:$AS,MATCH($J$1,Database!$A$1:$AS$1,),))))-(((VLOOKUP(EDATE(B256,-12),Database!$A:$AS,MATCH($J$1,Database!$A$1:$AS$1,),)))))/(((VLOOKUP(EDATE(B256,-12),Database!$A:$AS,MATCH($J$1,Database!$A$1:$AS$1,),))))</f>
        <v/>
      </c>
      <c r="K256" s="13">
        <f>((((VLOOKUP(B256,Database!$A:$AS,MATCH($K$1,Database!$A$1:$AS$1,),))))-(((VLOOKUP(EDATE(B256,-12),Database!$A:$AS,MATCH($K$1,Database!$A$1:$AS$1,),)))))/(((VLOOKUP(EDATE(B256,-12),Database!$A:$AS,MATCH($K$1,Database!$A$1:$AS$1,),))))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((((VLOOKUP(B256,Database!$A:$AS,MATCH($O$1,Database!$A$1:$AS$1,),))))-(((VLOOKUP(EDATE(B256,-12),Database!$A:$AS,MATCH($O$1,Database!$A$1:$AS$1,),)))))/(((VLOOKUP(EDATE(B256,-12),Database!$A:$AS,MATCH($O$1,Database!$A$1:$AS$1,),))))</f>
        <v/>
      </c>
      <c r="P256" s="13">
        <f>((((VLOOKUP(B256,Database!$A:$AS,MATCH($P$1,Database!$A$1:$AS$1,),))))-(((VLOOKUP(EDATE(B256,-12),Database!$A:$AS,MATCH($P$1,Database!$A$1:$AS$1,),)))))/(((VLOOKUP(EDATE(B256,-12),Database!$A:$AS,MATCH($P$1,Database!$A$1:$AS$1,),))))</f>
        <v/>
      </c>
      <c r="Q256" s="13">
        <f>((((VLOOKUP(B256,Database!$A:$AS,MATCH($Q$1,Database!$A$1:$AS$1,),))))-(((VLOOKUP(EDATE(B256,-12),Database!$A:$AS,MATCH($Q$1,Database!$A$1:$AS$1,),)))))/(((VLOOKUP(EDATE(B256,-12),Database!$A:$AS,MATCH($Q$1,Database!$A$1:$AS$1,),))))</f>
        <v/>
      </c>
      <c r="R256" s="13">
        <f>((((VLOOKUP(B256,Database!$A:$AS,MATCH($R$1,Database!$A$1:$AS$1,),))))-(((VLOOKUP(EDATE(B256,-12),Database!$A:$AS,MATCH($R$1,Database!$A$1:$AS$1,),)))))/(((VLOOKUP(EDATE(B256,-12),Database!$A:$AS,MATCH($R$1,Database!$A$1:$AS$1,),))))</f>
        <v/>
      </c>
      <c r="S256" s="13">
        <f>((((VLOOKUP(B256,Database!$A:$AS,MATCH($S$1,Database!$A$1:$AS$1,),))))-(((VLOOKUP(EDATE(B256,-12),Database!$A:$AS,MATCH($S$1,Database!$A$1:$AS$1,),)))))/(((VLOOKUP(EDATE(B256,-12),Database!$A:$AS,MATCH($S$1,Database!$A$1:$AS$1,),))))</f>
        <v/>
      </c>
      <c r="T256" s="13">
        <f>((((VLOOKUP(B256,Database!$A:$AS,MATCH($T$1,Database!$A$1:$AS$1,),))))-(((VLOOKUP(EDATE(B256,-12),Database!$A:$AS,MATCH($T$1,Database!$A$1:$AS$1,),)))))/(((VLOOKUP(EDATE(B256,-12),Database!$A:$AS,MATCH($T$1,Database!$A$1:$AS$1,),))))</f>
        <v/>
      </c>
      <c r="U256" s="13">
        <f>((((VLOOKUP(B256,Database!$A:$AS,MATCH($U$1,Database!$A$1:$AS$1,),))))-(((VLOOKUP(EDATE(B256,-12),Database!$A:$AS,MATCH($U$1,Database!$A$1:$AS$1,),)))))/(((VLOOKUP(EDATE(B256,-12),Database!$A:$AS,MATCH($U$1,Database!$A$1:$AS$1,),))))</f>
        <v/>
      </c>
      <c r="V256" s="13">
        <f>((((VLOOKUP(B256,Database!$A:$AS,MATCH($V$1,Database!$A$1:$AS$1,),))))-(((VLOOKUP(EDATE(B256,-12),Database!$A:$AS,MATCH($V$1,Database!$A$1:$AS$1,),)))))/(((VLOOKUP(EDATE(B256,-12),Database!$A:$AS,MATCH($V$1,Database!$A$1:$AS$1,),))))</f>
        <v/>
      </c>
    </row>
    <row r="257" customFormat="1" s="94">
      <c r="A257" s="44" t="n"/>
      <c r="B257" s="85" t="n">
        <v>39965</v>
      </c>
      <c r="C257" s="13">
        <f>((((VLOOKUP(B257,Database!$A:$AS,MATCH($C$1,Database!$A$1:$AS$1,),))))-(((VLOOKUP(EDATE(B257,-12),Database!$A:$AS,MATCH($C$1,Database!$A$1:$AS$1,),)))))/(((VLOOKUP(EDATE(B257,-12),Database!$A:$AS,MATCH($C$1,Database!$A$1:$AS$1,),))))</f>
        <v/>
      </c>
      <c r="D257" s="13">
        <f>((((VLOOKUP(B257,Database!$A:$AS,MATCH($D$1,Database!$A$1:$AS$1,),))))-(((VLOOKUP(EDATE(B257,-12),Database!$A:$AS,MATCH($D$1,Database!$A$1:$AS$1,),)))))/(((VLOOKUP(EDATE(B257,-12),Database!$A:$AS,MATCH($D$1,Database!$A$1:$AS$1,),))))</f>
        <v/>
      </c>
      <c r="E257" s="13">
        <f>((((VLOOKUP(B257,Database!$A:$AS,MATCH($E$1,Database!$A$1:$AS$1,),))))-(((VLOOKUP(EDATE(B257,-12),Database!$A:$AS,MATCH($E$1,Database!$A$1:$AS$1,),)))))/(((VLOOKUP(EDATE(B257,-12),Database!$A:$AS,MATCH($E$1,Database!$A$1:$AS$1,),))))</f>
        <v/>
      </c>
      <c r="F257" s="13">
        <f>((((VLOOKUP(B257,Database!$A:$AS,MATCH($F$1,Database!$A$1:$AS$1,),))))-(((VLOOKUP(EDATE(B257,-12),Database!$A:$AS,MATCH($F$1,Database!$A$1:$AS$1,),)))))/(((VLOOKUP(EDATE(B257,-12),Database!$A:$AS,MATCH($F$1,Database!$A$1:$AS$1,),))))</f>
        <v/>
      </c>
      <c r="G257" s="13">
        <f>((((VLOOKUP(B257,Database!$A:$AS,MATCH($G$1,Database!$A$1:$AS$1,),))))-(((VLOOKUP(EDATE(B257,-12),Database!$A:$AS,MATCH($G$1,Database!$A$1:$AS$1,),)))))/(((VLOOKUP(EDATE(B257,-12),Database!$A:$AS,MATCH($G$1,Database!$A$1:$AS$1,),))))</f>
        <v/>
      </c>
      <c r="H257" s="13">
        <f>((((VLOOKUP(B257,Database!$A:$AS,MATCH($H$1,Database!$A$1:$AS$1,),))))-(((VLOOKUP(EDATE(B257,-12),Database!$A:$AS,MATCH($H$1,Database!$A$1:$AS$1,),)))))/(((VLOOKUP(EDATE(B257,-12),Database!$A:$AS,MATCH($H$1,Database!$A$1:$AS$1,),))))</f>
        <v/>
      </c>
      <c r="I257" s="13">
        <f>((((VLOOKUP(B257,Database!$A:$AS,MATCH($I$1,Database!$A$1:$AS$1,),))))-(((VLOOKUP(EDATE(B257,-12),Database!$A:$AS,MATCH($I$1,Database!$A$1:$AS$1,),)))))/(((VLOOKUP(EDATE(B257,-12),Database!$A:$AS,MATCH($I$1,Database!$A$1:$AS$1,),))))</f>
        <v/>
      </c>
      <c r="J257" s="13">
        <f>((((VLOOKUP(B257,Database!$A:$AS,MATCH($J$1,Database!$A$1:$AS$1,),))))-(((VLOOKUP(EDATE(B257,-12),Database!$A:$AS,MATCH($J$1,Database!$A$1:$AS$1,),)))))/(((VLOOKUP(EDATE(B257,-12),Database!$A:$AS,MATCH($J$1,Database!$A$1:$AS$1,),))))</f>
        <v/>
      </c>
      <c r="K257" s="13">
        <f>((((VLOOKUP(B257,Database!$A:$AS,MATCH($K$1,Database!$A$1:$AS$1,),))))-(((VLOOKUP(EDATE(B257,-12),Database!$A:$AS,MATCH($K$1,Database!$A$1:$AS$1,),)))))/(((VLOOKUP(EDATE(B257,-12),Database!$A:$AS,MATCH($K$1,Database!$A$1:$AS$1,),))))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((((VLOOKUP(B257,Database!$A:$AS,MATCH($O$1,Database!$A$1:$AS$1,),))))-(((VLOOKUP(EDATE(B257,-12),Database!$A:$AS,MATCH($O$1,Database!$A$1:$AS$1,),)))))/(((VLOOKUP(EDATE(B257,-12),Database!$A:$AS,MATCH($O$1,Database!$A$1:$AS$1,),))))</f>
        <v/>
      </c>
      <c r="P257" s="13">
        <f>((((VLOOKUP(B257,Database!$A:$AS,MATCH($P$1,Database!$A$1:$AS$1,),))))-(((VLOOKUP(EDATE(B257,-12),Database!$A:$AS,MATCH($P$1,Database!$A$1:$AS$1,),)))))/(((VLOOKUP(EDATE(B257,-12),Database!$A:$AS,MATCH($P$1,Database!$A$1:$AS$1,),))))</f>
        <v/>
      </c>
      <c r="Q257" s="13">
        <f>((((VLOOKUP(B257,Database!$A:$AS,MATCH($Q$1,Database!$A$1:$AS$1,),))))-(((VLOOKUP(EDATE(B257,-12),Database!$A:$AS,MATCH($Q$1,Database!$A$1:$AS$1,),)))))/(((VLOOKUP(EDATE(B257,-12),Database!$A:$AS,MATCH($Q$1,Database!$A$1:$AS$1,),))))</f>
        <v/>
      </c>
      <c r="R257" s="13">
        <f>((((VLOOKUP(B257,Database!$A:$AS,MATCH($R$1,Database!$A$1:$AS$1,),))))-(((VLOOKUP(EDATE(B257,-12),Database!$A:$AS,MATCH($R$1,Database!$A$1:$AS$1,),)))))/(((VLOOKUP(EDATE(B257,-12),Database!$A:$AS,MATCH($R$1,Database!$A$1:$AS$1,),))))</f>
        <v/>
      </c>
      <c r="S257" s="13">
        <f>((((VLOOKUP(B257,Database!$A:$AS,MATCH($S$1,Database!$A$1:$AS$1,),))))-(((VLOOKUP(EDATE(B257,-12),Database!$A:$AS,MATCH($S$1,Database!$A$1:$AS$1,),)))))/(((VLOOKUP(EDATE(B257,-12),Database!$A:$AS,MATCH($S$1,Database!$A$1:$AS$1,),))))</f>
        <v/>
      </c>
      <c r="T257" s="13">
        <f>((((VLOOKUP(B257,Database!$A:$AS,MATCH($T$1,Database!$A$1:$AS$1,),))))-(((VLOOKUP(EDATE(B257,-12),Database!$A:$AS,MATCH($T$1,Database!$A$1:$AS$1,),)))))/(((VLOOKUP(EDATE(B257,-12),Database!$A:$AS,MATCH($T$1,Database!$A$1:$AS$1,),))))</f>
        <v/>
      </c>
      <c r="U257" s="13">
        <f>((((VLOOKUP(B257,Database!$A:$AS,MATCH($U$1,Database!$A$1:$AS$1,),))))-(((VLOOKUP(EDATE(B257,-12),Database!$A:$AS,MATCH($U$1,Database!$A$1:$AS$1,),)))))/(((VLOOKUP(EDATE(B257,-12),Database!$A:$AS,MATCH($U$1,Database!$A$1:$AS$1,),))))</f>
        <v/>
      </c>
      <c r="V257" s="13">
        <f>((((VLOOKUP(B257,Database!$A:$AS,MATCH($V$1,Database!$A$1:$AS$1,),))))-(((VLOOKUP(EDATE(B257,-12),Database!$A:$AS,MATCH($V$1,Database!$A$1:$AS$1,),)))))/(((VLOOKUP(EDATE(B257,-12),Database!$A:$AS,MATCH($V$1,Database!$A$1:$AS$1,),))))</f>
        <v/>
      </c>
    </row>
    <row r="258" customFormat="1" s="94">
      <c r="A258" s="44" t="n"/>
      <c r="B258" s="85" t="n">
        <v>39995</v>
      </c>
      <c r="C258" s="13">
        <f>((((VLOOKUP(B258,Database!$A:$AS,MATCH($C$1,Database!$A$1:$AS$1,),))))-(((VLOOKUP(EDATE(B258,-12),Database!$A:$AS,MATCH($C$1,Database!$A$1:$AS$1,),)))))/(((VLOOKUP(EDATE(B258,-12),Database!$A:$AS,MATCH($C$1,Database!$A$1:$AS$1,),))))</f>
        <v/>
      </c>
      <c r="D258" s="13">
        <f>((((VLOOKUP(B258,Database!$A:$AS,MATCH($D$1,Database!$A$1:$AS$1,),))))-(((VLOOKUP(EDATE(B258,-12),Database!$A:$AS,MATCH($D$1,Database!$A$1:$AS$1,),)))))/(((VLOOKUP(EDATE(B258,-12),Database!$A:$AS,MATCH($D$1,Database!$A$1:$AS$1,),))))</f>
        <v/>
      </c>
      <c r="E258" s="13">
        <f>((((VLOOKUP(B258,Database!$A:$AS,MATCH($E$1,Database!$A$1:$AS$1,),))))-(((VLOOKUP(EDATE(B258,-12),Database!$A:$AS,MATCH($E$1,Database!$A$1:$AS$1,),)))))/(((VLOOKUP(EDATE(B258,-12),Database!$A:$AS,MATCH($E$1,Database!$A$1:$AS$1,),))))</f>
        <v/>
      </c>
      <c r="F258" s="13">
        <f>((((VLOOKUP(B258,Database!$A:$AS,MATCH($F$1,Database!$A$1:$AS$1,),))))-(((VLOOKUP(EDATE(B258,-12),Database!$A:$AS,MATCH($F$1,Database!$A$1:$AS$1,),)))))/(((VLOOKUP(EDATE(B258,-12),Database!$A:$AS,MATCH($F$1,Database!$A$1:$AS$1,),))))</f>
        <v/>
      </c>
      <c r="G258" s="13">
        <f>((((VLOOKUP(B258,Database!$A:$AS,MATCH($G$1,Database!$A$1:$AS$1,),))))-(((VLOOKUP(EDATE(B258,-12),Database!$A:$AS,MATCH($G$1,Database!$A$1:$AS$1,),)))))/(((VLOOKUP(EDATE(B258,-12),Database!$A:$AS,MATCH($G$1,Database!$A$1:$AS$1,),))))</f>
        <v/>
      </c>
      <c r="H258" s="13">
        <f>((((VLOOKUP(B258,Database!$A:$AS,MATCH($H$1,Database!$A$1:$AS$1,),))))-(((VLOOKUP(EDATE(B258,-12),Database!$A:$AS,MATCH($H$1,Database!$A$1:$AS$1,),)))))/(((VLOOKUP(EDATE(B258,-12),Database!$A:$AS,MATCH($H$1,Database!$A$1:$AS$1,),))))</f>
        <v/>
      </c>
      <c r="I258" s="13">
        <f>((((VLOOKUP(B258,Database!$A:$AS,MATCH($I$1,Database!$A$1:$AS$1,),))))-(((VLOOKUP(EDATE(B258,-12),Database!$A:$AS,MATCH($I$1,Database!$A$1:$AS$1,),)))))/(((VLOOKUP(EDATE(B258,-12),Database!$A:$AS,MATCH($I$1,Database!$A$1:$AS$1,),))))</f>
        <v/>
      </c>
      <c r="J258" s="13">
        <f>((((VLOOKUP(B258,Database!$A:$AS,MATCH($J$1,Database!$A$1:$AS$1,),))))-(((VLOOKUP(EDATE(B258,-12),Database!$A:$AS,MATCH($J$1,Database!$A$1:$AS$1,),)))))/(((VLOOKUP(EDATE(B258,-12),Database!$A:$AS,MATCH($J$1,Database!$A$1:$AS$1,),))))</f>
        <v/>
      </c>
      <c r="K258" s="13">
        <f>((((VLOOKUP(B258,Database!$A:$AS,MATCH($K$1,Database!$A$1:$AS$1,),))))-(((VLOOKUP(EDATE(B258,-12),Database!$A:$AS,MATCH($K$1,Database!$A$1:$AS$1,),)))))/(((VLOOKUP(EDATE(B258,-12),Database!$A:$AS,MATCH($K$1,Database!$A$1:$AS$1,),))))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((((VLOOKUP(B258,Database!$A:$AS,MATCH($O$1,Database!$A$1:$AS$1,),))))-(((VLOOKUP(EDATE(B258,-12),Database!$A:$AS,MATCH($O$1,Database!$A$1:$AS$1,),)))))/(((VLOOKUP(EDATE(B258,-12),Database!$A:$AS,MATCH($O$1,Database!$A$1:$AS$1,),))))</f>
        <v/>
      </c>
      <c r="P258" s="13">
        <f>((((VLOOKUP(B258,Database!$A:$AS,MATCH($P$1,Database!$A$1:$AS$1,),))))-(((VLOOKUP(EDATE(B258,-12),Database!$A:$AS,MATCH($P$1,Database!$A$1:$AS$1,),)))))/(((VLOOKUP(EDATE(B258,-12),Database!$A:$AS,MATCH($P$1,Database!$A$1:$AS$1,),))))</f>
        <v/>
      </c>
      <c r="Q258" s="13">
        <f>((((VLOOKUP(B258,Database!$A:$AS,MATCH($Q$1,Database!$A$1:$AS$1,),))))-(((VLOOKUP(EDATE(B258,-12),Database!$A:$AS,MATCH($Q$1,Database!$A$1:$AS$1,),)))))/(((VLOOKUP(EDATE(B258,-12),Database!$A:$AS,MATCH($Q$1,Database!$A$1:$AS$1,),))))</f>
        <v/>
      </c>
      <c r="R258" s="13">
        <f>((((VLOOKUP(B258,Database!$A:$AS,MATCH($R$1,Database!$A$1:$AS$1,),))))-(((VLOOKUP(EDATE(B258,-12),Database!$A:$AS,MATCH($R$1,Database!$A$1:$AS$1,),)))))/(((VLOOKUP(EDATE(B258,-12),Database!$A:$AS,MATCH($R$1,Database!$A$1:$AS$1,),))))</f>
        <v/>
      </c>
      <c r="S258" s="13">
        <f>((((VLOOKUP(B258,Database!$A:$AS,MATCH($S$1,Database!$A$1:$AS$1,),))))-(((VLOOKUP(EDATE(B258,-12),Database!$A:$AS,MATCH($S$1,Database!$A$1:$AS$1,),)))))/(((VLOOKUP(EDATE(B258,-12),Database!$A:$AS,MATCH($S$1,Database!$A$1:$AS$1,),))))</f>
        <v/>
      </c>
      <c r="T258" s="13">
        <f>((((VLOOKUP(B258,Database!$A:$AS,MATCH($T$1,Database!$A$1:$AS$1,),))))-(((VLOOKUP(EDATE(B258,-12),Database!$A:$AS,MATCH($T$1,Database!$A$1:$AS$1,),)))))/(((VLOOKUP(EDATE(B258,-12),Database!$A:$AS,MATCH($T$1,Database!$A$1:$AS$1,),))))</f>
        <v/>
      </c>
      <c r="U258" s="13">
        <f>((((VLOOKUP(B258,Database!$A:$AS,MATCH($U$1,Database!$A$1:$AS$1,),))))-(((VLOOKUP(EDATE(B258,-12),Database!$A:$AS,MATCH($U$1,Database!$A$1:$AS$1,),)))))/(((VLOOKUP(EDATE(B258,-12),Database!$A:$AS,MATCH($U$1,Database!$A$1:$AS$1,),))))</f>
        <v/>
      </c>
      <c r="V258" s="13">
        <f>((((VLOOKUP(B258,Database!$A:$AS,MATCH($V$1,Database!$A$1:$AS$1,),))))-(((VLOOKUP(EDATE(B258,-12),Database!$A:$AS,MATCH($V$1,Database!$A$1:$AS$1,),)))))/(((VLOOKUP(EDATE(B258,-12),Database!$A:$AS,MATCH($V$1,Database!$A$1:$AS$1,),))))</f>
        <v/>
      </c>
    </row>
    <row r="259" customFormat="1" s="94">
      <c r="A259" s="44" t="n"/>
      <c r="B259" s="85" t="n">
        <v>40026</v>
      </c>
      <c r="C259" s="13">
        <f>((((VLOOKUP(B259,Database!$A:$AS,MATCH($C$1,Database!$A$1:$AS$1,),))))-(((VLOOKUP(EDATE(B259,-12),Database!$A:$AS,MATCH($C$1,Database!$A$1:$AS$1,),)))))/(((VLOOKUP(EDATE(B259,-12),Database!$A:$AS,MATCH($C$1,Database!$A$1:$AS$1,),))))</f>
        <v/>
      </c>
      <c r="D259" s="13">
        <f>((((VLOOKUP(B259,Database!$A:$AS,MATCH($D$1,Database!$A$1:$AS$1,),))))-(((VLOOKUP(EDATE(B259,-12),Database!$A:$AS,MATCH($D$1,Database!$A$1:$AS$1,),)))))/(((VLOOKUP(EDATE(B259,-12),Database!$A:$AS,MATCH($D$1,Database!$A$1:$AS$1,),))))</f>
        <v/>
      </c>
      <c r="E259" s="13">
        <f>((((VLOOKUP(B259,Database!$A:$AS,MATCH($E$1,Database!$A$1:$AS$1,),))))-(((VLOOKUP(EDATE(B259,-12),Database!$A:$AS,MATCH($E$1,Database!$A$1:$AS$1,),)))))/(((VLOOKUP(EDATE(B259,-12),Database!$A:$AS,MATCH($E$1,Database!$A$1:$AS$1,),))))</f>
        <v/>
      </c>
      <c r="F259" s="13">
        <f>((((VLOOKUP(B259,Database!$A:$AS,MATCH($F$1,Database!$A$1:$AS$1,),))))-(((VLOOKUP(EDATE(B259,-12),Database!$A:$AS,MATCH($F$1,Database!$A$1:$AS$1,),)))))/(((VLOOKUP(EDATE(B259,-12),Database!$A:$AS,MATCH($F$1,Database!$A$1:$AS$1,),))))</f>
        <v/>
      </c>
      <c r="G259" s="13">
        <f>((((VLOOKUP(B259,Database!$A:$AS,MATCH($G$1,Database!$A$1:$AS$1,),))))-(((VLOOKUP(EDATE(B259,-12),Database!$A:$AS,MATCH($G$1,Database!$A$1:$AS$1,),)))))/(((VLOOKUP(EDATE(B259,-12),Database!$A:$AS,MATCH($G$1,Database!$A$1:$AS$1,),))))</f>
        <v/>
      </c>
      <c r="H259" s="13">
        <f>((((VLOOKUP(B259,Database!$A:$AS,MATCH($H$1,Database!$A$1:$AS$1,),))))-(((VLOOKUP(EDATE(B259,-12),Database!$A:$AS,MATCH($H$1,Database!$A$1:$AS$1,),)))))/(((VLOOKUP(EDATE(B259,-12),Database!$A:$AS,MATCH($H$1,Database!$A$1:$AS$1,),))))</f>
        <v/>
      </c>
      <c r="I259" s="13">
        <f>((((VLOOKUP(B259,Database!$A:$AS,MATCH($I$1,Database!$A$1:$AS$1,),))))-(((VLOOKUP(EDATE(B259,-12),Database!$A:$AS,MATCH($I$1,Database!$A$1:$AS$1,),)))))/(((VLOOKUP(EDATE(B259,-12),Database!$A:$AS,MATCH($I$1,Database!$A$1:$AS$1,),))))</f>
        <v/>
      </c>
      <c r="J259" s="13">
        <f>((((VLOOKUP(B259,Database!$A:$AS,MATCH($J$1,Database!$A$1:$AS$1,),))))-(((VLOOKUP(EDATE(B259,-12),Database!$A:$AS,MATCH($J$1,Database!$A$1:$AS$1,),)))))/(((VLOOKUP(EDATE(B259,-12),Database!$A:$AS,MATCH($J$1,Database!$A$1:$AS$1,),))))</f>
        <v/>
      </c>
      <c r="K259" s="13">
        <f>((((VLOOKUP(B259,Database!$A:$AS,MATCH($K$1,Database!$A$1:$AS$1,),))))-(((VLOOKUP(EDATE(B259,-12),Database!$A:$AS,MATCH($K$1,Database!$A$1:$AS$1,),)))))/(((VLOOKUP(EDATE(B259,-12),Database!$A:$AS,MATCH($K$1,Database!$A$1:$AS$1,),))))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((((VLOOKUP(B259,Database!$A:$AS,MATCH($O$1,Database!$A$1:$AS$1,),))))-(((VLOOKUP(EDATE(B259,-12),Database!$A:$AS,MATCH($O$1,Database!$A$1:$AS$1,),)))))/(((VLOOKUP(EDATE(B259,-12),Database!$A:$AS,MATCH($O$1,Database!$A$1:$AS$1,),))))</f>
        <v/>
      </c>
      <c r="P259" s="13">
        <f>((((VLOOKUP(B259,Database!$A:$AS,MATCH($P$1,Database!$A$1:$AS$1,),))))-(((VLOOKUP(EDATE(B259,-12),Database!$A:$AS,MATCH($P$1,Database!$A$1:$AS$1,),)))))/(((VLOOKUP(EDATE(B259,-12),Database!$A:$AS,MATCH($P$1,Database!$A$1:$AS$1,),))))</f>
        <v/>
      </c>
      <c r="Q259" s="13">
        <f>((((VLOOKUP(B259,Database!$A:$AS,MATCH($Q$1,Database!$A$1:$AS$1,),))))-(((VLOOKUP(EDATE(B259,-12),Database!$A:$AS,MATCH($Q$1,Database!$A$1:$AS$1,),)))))/(((VLOOKUP(EDATE(B259,-12),Database!$A:$AS,MATCH($Q$1,Database!$A$1:$AS$1,),))))</f>
        <v/>
      </c>
      <c r="R259" s="13">
        <f>((((VLOOKUP(B259,Database!$A:$AS,MATCH($R$1,Database!$A$1:$AS$1,),))))-(((VLOOKUP(EDATE(B259,-12),Database!$A:$AS,MATCH($R$1,Database!$A$1:$AS$1,),)))))/(((VLOOKUP(EDATE(B259,-12),Database!$A:$AS,MATCH($R$1,Database!$A$1:$AS$1,),))))</f>
        <v/>
      </c>
      <c r="S259" s="13">
        <f>((((VLOOKUP(B259,Database!$A:$AS,MATCH($S$1,Database!$A$1:$AS$1,),))))-(((VLOOKUP(EDATE(B259,-12),Database!$A:$AS,MATCH($S$1,Database!$A$1:$AS$1,),)))))/(((VLOOKUP(EDATE(B259,-12),Database!$A:$AS,MATCH($S$1,Database!$A$1:$AS$1,),))))</f>
        <v/>
      </c>
      <c r="T259" s="13">
        <f>((((VLOOKUP(B259,Database!$A:$AS,MATCH($T$1,Database!$A$1:$AS$1,),))))-(((VLOOKUP(EDATE(B259,-12),Database!$A:$AS,MATCH($T$1,Database!$A$1:$AS$1,),)))))/(((VLOOKUP(EDATE(B259,-12),Database!$A:$AS,MATCH($T$1,Database!$A$1:$AS$1,),))))</f>
        <v/>
      </c>
      <c r="U259" s="13">
        <f>((((VLOOKUP(B259,Database!$A:$AS,MATCH($U$1,Database!$A$1:$AS$1,),))))-(((VLOOKUP(EDATE(B259,-12),Database!$A:$AS,MATCH($U$1,Database!$A$1:$AS$1,),)))))/(((VLOOKUP(EDATE(B259,-12),Database!$A:$AS,MATCH($U$1,Database!$A$1:$AS$1,),))))</f>
        <v/>
      </c>
      <c r="V259" s="13">
        <f>((((VLOOKUP(B259,Database!$A:$AS,MATCH($V$1,Database!$A$1:$AS$1,),))))-(((VLOOKUP(EDATE(B259,-12),Database!$A:$AS,MATCH($V$1,Database!$A$1:$AS$1,),)))))/(((VLOOKUP(EDATE(B259,-12),Database!$A:$AS,MATCH($V$1,Database!$A$1:$AS$1,),))))</f>
        <v/>
      </c>
    </row>
    <row r="260" customFormat="1" s="94">
      <c r="A260" s="44" t="n"/>
      <c r="B260" s="85" t="n">
        <v>40057</v>
      </c>
      <c r="C260" s="13">
        <f>((((VLOOKUP(B260,Database!$A:$AS,MATCH($C$1,Database!$A$1:$AS$1,),))))-(((VLOOKUP(EDATE(B260,-12),Database!$A:$AS,MATCH($C$1,Database!$A$1:$AS$1,),)))))/(((VLOOKUP(EDATE(B260,-12),Database!$A:$AS,MATCH($C$1,Database!$A$1:$AS$1,),))))</f>
        <v/>
      </c>
      <c r="D260" s="13">
        <f>((((VLOOKUP(B260,Database!$A:$AS,MATCH($D$1,Database!$A$1:$AS$1,),))))-(((VLOOKUP(EDATE(B260,-12),Database!$A:$AS,MATCH($D$1,Database!$A$1:$AS$1,),)))))/(((VLOOKUP(EDATE(B260,-12),Database!$A:$AS,MATCH($D$1,Database!$A$1:$AS$1,),))))</f>
        <v/>
      </c>
      <c r="E260" s="13">
        <f>((((VLOOKUP(B260,Database!$A:$AS,MATCH($E$1,Database!$A$1:$AS$1,),))))-(((VLOOKUP(EDATE(B260,-12),Database!$A:$AS,MATCH($E$1,Database!$A$1:$AS$1,),)))))/(((VLOOKUP(EDATE(B260,-12),Database!$A:$AS,MATCH($E$1,Database!$A$1:$AS$1,),))))</f>
        <v/>
      </c>
      <c r="F260" s="13">
        <f>((((VLOOKUP(B260,Database!$A:$AS,MATCH($F$1,Database!$A$1:$AS$1,),))))-(((VLOOKUP(EDATE(B260,-12),Database!$A:$AS,MATCH($F$1,Database!$A$1:$AS$1,),)))))/(((VLOOKUP(EDATE(B260,-12),Database!$A:$AS,MATCH($F$1,Database!$A$1:$AS$1,),))))</f>
        <v/>
      </c>
      <c r="G260" s="13">
        <f>((((VLOOKUP(B260,Database!$A:$AS,MATCH($G$1,Database!$A$1:$AS$1,),))))-(((VLOOKUP(EDATE(B260,-12),Database!$A:$AS,MATCH($G$1,Database!$A$1:$AS$1,),)))))/(((VLOOKUP(EDATE(B260,-12),Database!$A:$AS,MATCH($G$1,Database!$A$1:$AS$1,),))))</f>
        <v/>
      </c>
      <c r="H260" s="13">
        <f>((((VLOOKUP(B260,Database!$A:$AS,MATCH($H$1,Database!$A$1:$AS$1,),))))-(((VLOOKUP(EDATE(B260,-12),Database!$A:$AS,MATCH($H$1,Database!$A$1:$AS$1,),)))))/(((VLOOKUP(EDATE(B260,-12),Database!$A:$AS,MATCH($H$1,Database!$A$1:$AS$1,),))))</f>
        <v/>
      </c>
      <c r="I260" s="13">
        <f>((((VLOOKUP(B260,Database!$A:$AS,MATCH($I$1,Database!$A$1:$AS$1,),))))-(((VLOOKUP(EDATE(B260,-12),Database!$A:$AS,MATCH($I$1,Database!$A$1:$AS$1,),)))))/(((VLOOKUP(EDATE(B260,-12),Database!$A:$AS,MATCH($I$1,Database!$A$1:$AS$1,),))))</f>
        <v/>
      </c>
      <c r="J260" s="13">
        <f>((((VLOOKUP(B260,Database!$A:$AS,MATCH($J$1,Database!$A$1:$AS$1,),))))-(((VLOOKUP(EDATE(B260,-12),Database!$A:$AS,MATCH($J$1,Database!$A$1:$AS$1,),)))))/(((VLOOKUP(EDATE(B260,-12),Database!$A:$AS,MATCH($J$1,Database!$A$1:$AS$1,),))))</f>
        <v/>
      </c>
      <c r="K260" s="13">
        <f>((((VLOOKUP(B260,Database!$A:$AS,MATCH($K$1,Database!$A$1:$AS$1,),))))-(((VLOOKUP(EDATE(B260,-12),Database!$A:$AS,MATCH($K$1,Database!$A$1:$AS$1,),)))))/(((VLOOKUP(EDATE(B260,-12),Database!$A:$AS,MATCH($K$1,Database!$A$1:$AS$1,),))))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((((VLOOKUP(B260,Database!$A:$AS,MATCH($O$1,Database!$A$1:$AS$1,),))))-(((VLOOKUP(EDATE(B260,-12),Database!$A:$AS,MATCH($O$1,Database!$A$1:$AS$1,),)))))/(((VLOOKUP(EDATE(B260,-12),Database!$A:$AS,MATCH($O$1,Database!$A$1:$AS$1,),))))</f>
        <v/>
      </c>
      <c r="P260" s="13">
        <f>((((VLOOKUP(B260,Database!$A:$AS,MATCH($P$1,Database!$A$1:$AS$1,),))))-(((VLOOKUP(EDATE(B260,-12),Database!$A:$AS,MATCH($P$1,Database!$A$1:$AS$1,),)))))/(((VLOOKUP(EDATE(B260,-12),Database!$A:$AS,MATCH($P$1,Database!$A$1:$AS$1,),))))</f>
        <v/>
      </c>
      <c r="Q260" s="13">
        <f>((((VLOOKUP(B260,Database!$A:$AS,MATCH($Q$1,Database!$A$1:$AS$1,),))))-(((VLOOKUP(EDATE(B260,-12),Database!$A:$AS,MATCH($Q$1,Database!$A$1:$AS$1,),)))))/(((VLOOKUP(EDATE(B260,-12),Database!$A:$AS,MATCH($Q$1,Database!$A$1:$AS$1,),))))</f>
        <v/>
      </c>
      <c r="R260" s="13">
        <f>((((VLOOKUP(B260,Database!$A:$AS,MATCH($R$1,Database!$A$1:$AS$1,),))))-(((VLOOKUP(EDATE(B260,-12),Database!$A:$AS,MATCH($R$1,Database!$A$1:$AS$1,),)))))/(((VLOOKUP(EDATE(B260,-12),Database!$A:$AS,MATCH($R$1,Database!$A$1:$AS$1,),))))</f>
        <v/>
      </c>
      <c r="S260" s="13">
        <f>((((VLOOKUP(B260,Database!$A:$AS,MATCH($S$1,Database!$A$1:$AS$1,),))))-(((VLOOKUP(EDATE(B260,-12),Database!$A:$AS,MATCH($S$1,Database!$A$1:$AS$1,),)))))/(((VLOOKUP(EDATE(B260,-12),Database!$A:$AS,MATCH($S$1,Database!$A$1:$AS$1,),))))</f>
        <v/>
      </c>
      <c r="T260" s="13">
        <f>((((VLOOKUP(B260,Database!$A:$AS,MATCH($T$1,Database!$A$1:$AS$1,),))))-(((VLOOKUP(EDATE(B260,-12),Database!$A:$AS,MATCH($T$1,Database!$A$1:$AS$1,),)))))/(((VLOOKUP(EDATE(B260,-12),Database!$A:$AS,MATCH($T$1,Database!$A$1:$AS$1,),))))</f>
        <v/>
      </c>
      <c r="U260" s="13">
        <f>((((VLOOKUP(B260,Database!$A:$AS,MATCH($U$1,Database!$A$1:$AS$1,),))))-(((VLOOKUP(EDATE(B260,-12),Database!$A:$AS,MATCH($U$1,Database!$A$1:$AS$1,),)))))/(((VLOOKUP(EDATE(B260,-12),Database!$A:$AS,MATCH($U$1,Database!$A$1:$AS$1,),))))</f>
        <v/>
      </c>
      <c r="V260" s="13">
        <f>((((VLOOKUP(B260,Database!$A:$AS,MATCH($V$1,Database!$A$1:$AS$1,),))))-(((VLOOKUP(EDATE(B260,-12),Database!$A:$AS,MATCH($V$1,Database!$A$1:$AS$1,),)))))/(((VLOOKUP(EDATE(B260,-12),Database!$A:$AS,MATCH($V$1,Database!$A$1:$AS$1,),))))</f>
        <v/>
      </c>
    </row>
    <row r="261" customFormat="1" s="94">
      <c r="A261" s="44" t="n"/>
      <c r="B261" s="85" t="n">
        <v>40087</v>
      </c>
      <c r="C261" s="13">
        <f>((((VLOOKUP(B261,Database!$A:$AS,MATCH($C$1,Database!$A$1:$AS$1,),))))-(((VLOOKUP(EDATE(B261,-12),Database!$A:$AS,MATCH($C$1,Database!$A$1:$AS$1,),)))))/(((VLOOKUP(EDATE(B261,-12),Database!$A:$AS,MATCH($C$1,Database!$A$1:$AS$1,),))))</f>
        <v/>
      </c>
      <c r="D261" s="13">
        <f>((((VLOOKUP(B261,Database!$A:$AS,MATCH($D$1,Database!$A$1:$AS$1,),))))-(((VLOOKUP(EDATE(B261,-12),Database!$A:$AS,MATCH($D$1,Database!$A$1:$AS$1,),)))))/(((VLOOKUP(EDATE(B261,-12),Database!$A:$AS,MATCH($D$1,Database!$A$1:$AS$1,),))))</f>
        <v/>
      </c>
      <c r="E261" s="13">
        <f>((((VLOOKUP(B261,Database!$A:$AS,MATCH($E$1,Database!$A$1:$AS$1,),))))-(((VLOOKUP(EDATE(B261,-12),Database!$A:$AS,MATCH($E$1,Database!$A$1:$AS$1,),)))))/(((VLOOKUP(EDATE(B261,-12),Database!$A:$AS,MATCH($E$1,Database!$A$1:$AS$1,),))))</f>
        <v/>
      </c>
      <c r="F261" s="13">
        <f>((((VLOOKUP(B261,Database!$A:$AS,MATCH($F$1,Database!$A$1:$AS$1,),))))-(((VLOOKUP(EDATE(B261,-12),Database!$A:$AS,MATCH($F$1,Database!$A$1:$AS$1,),)))))/(((VLOOKUP(EDATE(B261,-12),Database!$A:$AS,MATCH($F$1,Database!$A$1:$AS$1,),))))</f>
        <v/>
      </c>
      <c r="G261" s="13">
        <f>((((VLOOKUP(B261,Database!$A:$AS,MATCH($G$1,Database!$A$1:$AS$1,),))))-(((VLOOKUP(EDATE(B261,-12),Database!$A:$AS,MATCH($G$1,Database!$A$1:$AS$1,),)))))/(((VLOOKUP(EDATE(B261,-12),Database!$A:$AS,MATCH($G$1,Database!$A$1:$AS$1,),))))</f>
        <v/>
      </c>
      <c r="H261" s="13">
        <f>((((VLOOKUP(B261,Database!$A:$AS,MATCH($H$1,Database!$A$1:$AS$1,),))))-(((VLOOKUP(EDATE(B261,-12),Database!$A:$AS,MATCH($H$1,Database!$A$1:$AS$1,),)))))/(((VLOOKUP(EDATE(B261,-12),Database!$A:$AS,MATCH($H$1,Database!$A$1:$AS$1,),))))</f>
        <v/>
      </c>
      <c r="I261" s="13">
        <f>((((VLOOKUP(B261,Database!$A:$AS,MATCH($I$1,Database!$A$1:$AS$1,),))))-(((VLOOKUP(EDATE(B261,-12),Database!$A:$AS,MATCH($I$1,Database!$A$1:$AS$1,),)))))/(((VLOOKUP(EDATE(B261,-12),Database!$A:$AS,MATCH($I$1,Database!$A$1:$AS$1,),))))</f>
        <v/>
      </c>
      <c r="J261" s="13">
        <f>((((VLOOKUP(B261,Database!$A:$AS,MATCH($J$1,Database!$A$1:$AS$1,),))))-(((VLOOKUP(EDATE(B261,-12),Database!$A:$AS,MATCH($J$1,Database!$A$1:$AS$1,),)))))/(((VLOOKUP(EDATE(B261,-12),Database!$A:$AS,MATCH($J$1,Database!$A$1:$AS$1,),))))</f>
        <v/>
      </c>
      <c r="K261" s="13">
        <f>((((VLOOKUP(B261,Database!$A:$AS,MATCH($K$1,Database!$A$1:$AS$1,),))))-(((VLOOKUP(EDATE(B261,-12),Database!$A:$AS,MATCH($K$1,Database!$A$1:$AS$1,),)))))/(((VLOOKUP(EDATE(B261,-12),Database!$A:$AS,MATCH($K$1,Database!$A$1:$AS$1,),))))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((((VLOOKUP(B261,Database!$A:$AS,MATCH($O$1,Database!$A$1:$AS$1,),))))-(((VLOOKUP(EDATE(B261,-12),Database!$A:$AS,MATCH($O$1,Database!$A$1:$AS$1,),)))))/(((VLOOKUP(EDATE(B261,-12),Database!$A:$AS,MATCH($O$1,Database!$A$1:$AS$1,),))))</f>
        <v/>
      </c>
      <c r="P261" s="13">
        <f>((((VLOOKUP(B261,Database!$A:$AS,MATCH($P$1,Database!$A$1:$AS$1,),))))-(((VLOOKUP(EDATE(B261,-12),Database!$A:$AS,MATCH($P$1,Database!$A$1:$AS$1,),)))))/(((VLOOKUP(EDATE(B261,-12),Database!$A:$AS,MATCH($P$1,Database!$A$1:$AS$1,),))))</f>
        <v/>
      </c>
      <c r="Q261" s="13">
        <f>((((VLOOKUP(B261,Database!$A:$AS,MATCH($Q$1,Database!$A$1:$AS$1,),))))-(((VLOOKUP(EDATE(B261,-12),Database!$A:$AS,MATCH($Q$1,Database!$A$1:$AS$1,),)))))/(((VLOOKUP(EDATE(B261,-12),Database!$A:$AS,MATCH($Q$1,Database!$A$1:$AS$1,),))))</f>
        <v/>
      </c>
      <c r="R261" s="13">
        <f>((((VLOOKUP(B261,Database!$A:$AS,MATCH($R$1,Database!$A$1:$AS$1,),))))-(((VLOOKUP(EDATE(B261,-12),Database!$A:$AS,MATCH($R$1,Database!$A$1:$AS$1,),)))))/(((VLOOKUP(EDATE(B261,-12),Database!$A:$AS,MATCH($R$1,Database!$A$1:$AS$1,),))))</f>
        <v/>
      </c>
      <c r="S261" s="13">
        <f>((((VLOOKUP(B261,Database!$A:$AS,MATCH($S$1,Database!$A$1:$AS$1,),))))-(((VLOOKUP(EDATE(B261,-12),Database!$A:$AS,MATCH($S$1,Database!$A$1:$AS$1,),)))))/(((VLOOKUP(EDATE(B261,-12),Database!$A:$AS,MATCH($S$1,Database!$A$1:$AS$1,),))))</f>
        <v/>
      </c>
      <c r="T261" s="13">
        <f>((((VLOOKUP(B261,Database!$A:$AS,MATCH($T$1,Database!$A$1:$AS$1,),))))-(((VLOOKUP(EDATE(B261,-12),Database!$A:$AS,MATCH($T$1,Database!$A$1:$AS$1,),)))))/(((VLOOKUP(EDATE(B261,-12),Database!$A:$AS,MATCH($T$1,Database!$A$1:$AS$1,),))))</f>
        <v/>
      </c>
      <c r="U261" s="13">
        <f>((((VLOOKUP(B261,Database!$A:$AS,MATCH($U$1,Database!$A$1:$AS$1,),))))-(((VLOOKUP(EDATE(B261,-12),Database!$A:$AS,MATCH($U$1,Database!$A$1:$AS$1,),)))))/(((VLOOKUP(EDATE(B261,-12),Database!$A:$AS,MATCH($U$1,Database!$A$1:$AS$1,),))))</f>
        <v/>
      </c>
      <c r="V261" s="13">
        <f>((((VLOOKUP(B261,Database!$A:$AS,MATCH($V$1,Database!$A$1:$AS$1,),))))-(((VLOOKUP(EDATE(B261,-12),Database!$A:$AS,MATCH($V$1,Database!$A$1:$AS$1,),)))))/(((VLOOKUP(EDATE(B261,-12),Database!$A:$AS,MATCH($V$1,Database!$A$1:$AS$1,),))))</f>
        <v/>
      </c>
    </row>
    <row r="262" customFormat="1" s="94">
      <c r="A262" s="44" t="n"/>
      <c r="B262" s="85" t="n">
        <v>40118</v>
      </c>
      <c r="C262" s="13">
        <f>((((VLOOKUP(B262,Database!$A:$AS,MATCH($C$1,Database!$A$1:$AS$1,),))))-(((VLOOKUP(EDATE(B262,-12),Database!$A:$AS,MATCH($C$1,Database!$A$1:$AS$1,),)))))/(((VLOOKUP(EDATE(B262,-12),Database!$A:$AS,MATCH($C$1,Database!$A$1:$AS$1,),))))</f>
        <v/>
      </c>
      <c r="D262" s="13">
        <f>((((VLOOKUP(B262,Database!$A:$AS,MATCH($D$1,Database!$A$1:$AS$1,),))))-(((VLOOKUP(EDATE(B262,-12),Database!$A:$AS,MATCH($D$1,Database!$A$1:$AS$1,),)))))/(((VLOOKUP(EDATE(B262,-12),Database!$A:$AS,MATCH($D$1,Database!$A$1:$AS$1,),))))</f>
        <v/>
      </c>
      <c r="E262" s="13">
        <f>((((VLOOKUP(B262,Database!$A:$AS,MATCH($E$1,Database!$A$1:$AS$1,),))))-(((VLOOKUP(EDATE(B262,-12),Database!$A:$AS,MATCH($E$1,Database!$A$1:$AS$1,),)))))/(((VLOOKUP(EDATE(B262,-12),Database!$A:$AS,MATCH($E$1,Database!$A$1:$AS$1,),))))</f>
        <v/>
      </c>
      <c r="F262" s="13">
        <f>((((VLOOKUP(B262,Database!$A:$AS,MATCH($F$1,Database!$A$1:$AS$1,),))))-(((VLOOKUP(EDATE(B262,-12),Database!$A:$AS,MATCH($F$1,Database!$A$1:$AS$1,),)))))/(((VLOOKUP(EDATE(B262,-12),Database!$A:$AS,MATCH($F$1,Database!$A$1:$AS$1,),))))</f>
        <v/>
      </c>
      <c r="G262" s="13">
        <f>((((VLOOKUP(B262,Database!$A:$AS,MATCH($G$1,Database!$A$1:$AS$1,),))))-(((VLOOKUP(EDATE(B262,-12),Database!$A:$AS,MATCH($G$1,Database!$A$1:$AS$1,),)))))/(((VLOOKUP(EDATE(B262,-12),Database!$A:$AS,MATCH($G$1,Database!$A$1:$AS$1,),))))</f>
        <v/>
      </c>
      <c r="H262" s="13">
        <f>((((VLOOKUP(B262,Database!$A:$AS,MATCH($H$1,Database!$A$1:$AS$1,),))))-(((VLOOKUP(EDATE(B262,-12),Database!$A:$AS,MATCH($H$1,Database!$A$1:$AS$1,),)))))/(((VLOOKUP(EDATE(B262,-12),Database!$A:$AS,MATCH($H$1,Database!$A$1:$AS$1,),))))</f>
        <v/>
      </c>
      <c r="I262" s="13">
        <f>((((VLOOKUP(B262,Database!$A:$AS,MATCH($I$1,Database!$A$1:$AS$1,),))))-(((VLOOKUP(EDATE(B262,-12),Database!$A:$AS,MATCH($I$1,Database!$A$1:$AS$1,),)))))/(((VLOOKUP(EDATE(B262,-12),Database!$A:$AS,MATCH($I$1,Database!$A$1:$AS$1,),))))</f>
        <v/>
      </c>
      <c r="J262" s="13">
        <f>((((VLOOKUP(B262,Database!$A:$AS,MATCH($J$1,Database!$A$1:$AS$1,),))))-(((VLOOKUP(EDATE(B262,-12),Database!$A:$AS,MATCH($J$1,Database!$A$1:$AS$1,),)))))/(((VLOOKUP(EDATE(B262,-12),Database!$A:$AS,MATCH($J$1,Database!$A$1:$AS$1,),))))</f>
        <v/>
      </c>
      <c r="K262" s="13">
        <f>((((VLOOKUP(B262,Database!$A:$AS,MATCH($K$1,Database!$A$1:$AS$1,),))))-(((VLOOKUP(EDATE(B262,-12),Database!$A:$AS,MATCH($K$1,Database!$A$1:$AS$1,),)))))/(((VLOOKUP(EDATE(B262,-12),Database!$A:$AS,MATCH($K$1,Database!$A$1:$AS$1,),))))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((((VLOOKUP(B262,Database!$A:$AS,MATCH($O$1,Database!$A$1:$AS$1,),))))-(((VLOOKUP(EDATE(B262,-12),Database!$A:$AS,MATCH($O$1,Database!$A$1:$AS$1,),)))))/(((VLOOKUP(EDATE(B262,-12),Database!$A:$AS,MATCH($O$1,Database!$A$1:$AS$1,),))))</f>
        <v/>
      </c>
      <c r="P262" s="13">
        <f>((((VLOOKUP(B262,Database!$A:$AS,MATCH($P$1,Database!$A$1:$AS$1,),))))-(((VLOOKUP(EDATE(B262,-12),Database!$A:$AS,MATCH($P$1,Database!$A$1:$AS$1,),)))))/(((VLOOKUP(EDATE(B262,-12),Database!$A:$AS,MATCH($P$1,Database!$A$1:$AS$1,),))))</f>
        <v/>
      </c>
      <c r="Q262" s="13">
        <f>((((VLOOKUP(B262,Database!$A:$AS,MATCH($Q$1,Database!$A$1:$AS$1,),))))-(((VLOOKUP(EDATE(B262,-12),Database!$A:$AS,MATCH($Q$1,Database!$A$1:$AS$1,),)))))/(((VLOOKUP(EDATE(B262,-12),Database!$A:$AS,MATCH($Q$1,Database!$A$1:$AS$1,),))))</f>
        <v/>
      </c>
      <c r="R262" s="13">
        <f>((((VLOOKUP(B262,Database!$A:$AS,MATCH($R$1,Database!$A$1:$AS$1,),))))-(((VLOOKUP(EDATE(B262,-12),Database!$A:$AS,MATCH($R$1,Database!$A$1:$AS$1,),)))))/(((VLOOKUP(EDATE(B262,-12),Database!$A:$AS,MATCH($R$1,Database!$A$1:$AS$1,),))))</f>
        <v/>
      </c>
      <c r="S262" s="13">
        <f>((((VLOOKUP(B262,Database!$A:$AS,MATCH($S$1,Database!$A$1:$AS$1,),))))-(((VLOOKUP(EDATE(B262,-12),Database!$A:$AS,MATCH($S$1,Database!$A$1:$AS$1,),)))))/(((VLOOKUP(EDATE(B262,-12),Database!$A:$AS,MATCH($S$1,Database!$A$1:$AS$1,),))))</f>
        <v/>
      </c>
      <c r="T262" s="13">
        <f>((((VLOOKUP(B262,Database!$A:$AS,MATCH($T$1,Database!$A$1:$AS$1,),))))-(((VLOOKUP(EDATE(B262,-12),Database!$A:$AS,MATCH($T$1,Database!$A$1:$AS$1,),)))))/(((VLOOKUP(EDATE(B262,-12),Database!$A:$AS,MATCH($T$1,Database!$A$1:$AS$1,),))))</f>
        <v/>
      </c>
      <c r="U262" s="13">
        <f>((((VLOOKUP(B262,Database!$A:$AS,MATCH($U$1,Database!$A$1:$AS$1,),))))-(((VLOOKUP(EDATE(B262,-12),Database!$A:$AS,MATCH($U$1,Database!$A$1:$AS$1,),)))))/(((VLOOKUP(EDATE(B262,-12),Database!$A:$AS,MATCH($U$1,Database!$A$1:$AS$1,),))))</f>
        <v/>
      </c>
      <c r="V262" s="13">
        <f>((((VLOOKUP(B262,Database!$A:$AS,MATCH($V$1,Database!$A$1:$AS$1,),))))-(((VLOOKUP(EDATE(B262,-12),Database!$A:$AS,MATCH($V$1,Database!$A$1:$AS$1,),)))))/(((VLOOKUP(EDATE(B262,-12),Database!$A:$AS,MATCH($V$1,Database!$A$1:$AS$1,),))))</f>
        <v/>
      </c>
    </row>
    <row r="263" customFormat="1" s="94">
      <c r="A263" s="44" t="n"/>
      <c r="B263" s="85" t="n">
        <v>40148</v>
      </c>
      <c r="C263" s="13">
        <f>((((VLOOKUP(B263,Database!$A:$AS,MATCH($C$1,Database!$A$1:$AS$1,),))))-(((VLOOKUP(EDATE(B263,-12),Database!$A:$AS,MATCH($C$1,Database!$A$1:$AS$1,),)))))/(((VLOOKUP(EDATE(B263,-12),Database!$A:$AS,MATCH($C$1,Database!$A$1:$AS$1,),))))</f>
        <v/>
      </c>
      <c r="D263" s="13">
        <f>((((VLOOKUP(B263,Database!$A:$AS,MATCH($D$1,Database!$A$1:$AS$1,),))))-(((VLOOKUP(EDATE(B263,-12),Database!$A:$AS,MATCH($D$1,Database!$A$1:$AS$1,),)))))/(((VLOOKUP(EDATE(B263,-12),Database!$A:$AS,MATCH($D$1,Database!$A$1:$AS$1,),))))</f>
        <v/>
      </c>
      <c r="E263" s="13">
        <f>((((VLOOKUP(B263,Database!$A:$AS,MATCH($E$1,Database!$A$1:$AS$1,),))))-(((VLOOKUP(EDATE(B263,-12),Database!$A:$AS,MATCH($E$1,Database!$A$1:$AS$1,),)))))/(((VLOOKUP(EDATE(B263,-12),Database!$A:$AS,MATCH($E$1,Database!$A$1:$AS$1,),))))</f>
        <v/>
      </c>
      <c r="F263" s="13">
        <f>((((VLOOKUP(B263,Database!$A:$AS,MATCH($F$1,Database!$A$1:$AS$1,),))))-(((VLOOKUP(EDATE(B263,-12),Database!$A:$AS,MATCH($F$1,Database!$A$1:$AS$1,),)))))/(((VLOOKUP(EDATE(B263,-12),Database!$A:$AS,MATCH($F$1,Database!$A$1:$AS$1,),))))</f>
        <v/>
      </c>
      <c r="G263" s="13">
        <f>((((VLOOKUP(B263,Database!$A:$AS,MATCH($G$1,Database!$A$1:$AS$1,),))))-(((VLOOKUP(EDATE(B263,-12),Database!$A:$AS,MATCH($G$1,Database!$A$1:$AS$1,),)))))/(((VLOOKUP(EDATE(B263,-12),Database!$A:$AS,MATCH($G$1,Database!$A$1:$AS$1,),))))</f>
        <v/>
      </c>
      <c r="H263" s="13">
        <f>((((VLOOKUP(B263,Database!$A:$AS,MATCH($H$1,Database!$A$1:$AS$1,),))))-(((VLOOKUP(EDATE(B263,-12),Database!$A:$AS,MATCH($H$1,Database!$A$1:$AS$1,),)))))/(((VLOOKUP(EDATE(B263,-12),Database!$A:$AS,MATCH($H$1,Database!$A$1:$AS$1,),))))</f>
        <v/>
      </c>
      <c r="I263" s="13">
        <f>((((VLOOKUP(B263,Database!$A:$AS,MATCH($I$1,Database!$A$1:$AS$1,),))))-(((VLOOKUP(EDATE(B263,-12),Database!$A:$AS,MATCH($I$1,Database!$A$1:$AS$1,),)))))/(((VLOOKUP(EDATE(B263,-12),Database!$A:$AS,MATCH($I$1,Database!$A$1:$AS$1,),))))</f>
        <v/>
      </c>
      <c r="J263" s="13">
        <f>((((VLOOKUP(B263,Database!$A:$AS,MATCH($J$1,Database!$A$1:$AS$1,),))))-(((VLOOKUP(EDATE(B263,-12),Database!$A:$AS,MATCH($J$1,Database!$A$1:$AS$1,),)))))/(((VLOOKUP(EDATE(B263,-12),Database!$A:$AS,MATCH($J$1,Database!$A$1:$AS$1,),))))</f>
        <v/>
      </c>
      <c r="K263" s="13">
        <f>((((VLOOKUP(B263,Database!$A:$AS,MATCH($K$1,Database!$A$1:$AS$1,),))))-(((VLOOKUP(EDATE(B263,-12),Database!$A:$AS,MATCH($K$1,Database!$A$1:$AS$1,),)))))/(((VLOOKUP(EDATE(B263,-12),Database!$A:$AS,MATCH($K$1,Database!$A$1:$AS$1,),))))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((((VLOOKUP(B263,Database!$A:$AS,MATCH($O$1,Database!$A$1:$AS$1,),))))-(((VLOOKUP(EDATE(B263,-12),Database!$A:$AS,MATCH($O$1,Database!$A$1:$AS$1,),)))))/(((VLOOKUP(EDATE(B263,-12),Database!$A:$AS,MATCH($O$1,Database!$A$1:$AS$1,),))))</f>
        <v/>
      </c>
      <c r="P263" s="13">
        <f>((((VLOOKUP(B263,Database!$A:$AS,MATCH($P$1,Database!$A$1:$AS$1,),))))-(((VLOOKUP(EDATE(B263,-12),Database!$A:$AS,MATCH($P$1,Database!$A$1:$AS$1,),)))))/(((VLOOKUP(EDATE(B263,-12),Database!$A:$AS,MATCH($P$1,Database!$A$1:$AS$1,),))))</f>
        <v/>
      </c>
      <c r="Q263" s="13">
        <f>((((VLOOKUP(B263,Database!$A:$AS,MATCH($Q$1,Database!$A$1:$AS$1,),))))-(((VLOOKUP(EDATE(B263,-12),Database!$A:$AS,MATCH($Q$1,Database!$A$1:$AS$1,),)))))/(((VLOOKUP(EDATE(B263,-12),Database!$A:$AS,MATCH($Q$1,Database!$A$1:$AS$1,),))))</f>
        <v/>
      </c>
      <c r="R263" s="13">
        <f>((((VLOOKUP(B263,Database!$A:$AS,MATCH($R$1,Database!$A$1:$AS$1,),))))-(((VLOOKUP(EDATE(B263,-12),Database!$A:$AS,MATCH($R$1,Database!$A$1:$AS$1,),)))))/(((VLOOKUP(EDATE(B263,-12),Database!$A:$AS,MATCH($R$1,Database!$A$1:$AS$1,),))))</f>
        <v/>
      </c>
      <c r="S263" s="13">
        <f>((((VLOOKUP(B263,Database!$A:$AS,MATCH($S$1,Database!$A$1:$AS$1,),))))-(((VLOOKUP(EDATE(B263,-12),Database!$A:$AS,MATCH($S$1,Database!$A$1:$AS$1,),)))))/(((VLOOKUP(EDATE(B263,-12),Database!$A:$AS,MATCH($S$1,Database!$A$1:$AS$1,),))))</f>
        <v/>
      </c>
      <c r="T263" s="13">
        <f>((((VLOOKUP(B263,Database!$A:$AS,MATCH($T$1,Database!$A$1:$AS$1,),))))-(((VLOOKUP(EDATE(B263,-12),Database!$A:$AS,MATCH($T$1,Database!$A$1:$AS$1,),)))))/(((VLOOKUP(EDATE(B263,-12),Database!$A:$AS,MATCH($T$1,Database!$A$1:$AS$1,),))))</f>
        <v/>
      </c>
      <c r="U263" s="13">
        <f>((((VLOOKUP(B263,Database!$A:$AS,MATCH($U$1,Database!$A$1:$AS$1,),))))-(((VLOOKUP(EDATE(B263,-12),Database!$A:$AS,MATCH($U$1,Database!$A$1:$AS$1,),)))))/(((VLOOKUP(EDATE(B263,-12),Database!$A:$AS,MATCH($U$1,Database!$A$1:$AS$1,),))))</f>
        <v/>
      </c>
      <c r="V263" s="13">
        <f>((((VLOOKUP(B263,Database!$A:$AS,MATCH($V$1,Database!$A$1:$AS$1,),))))-(((VLOOKUP(EDATE(B263,-12),Database!$A:$AS,MATCH($V$1,Database!$A$1:$AS$1,),)))))/(((VLOOKUP(EDATE(B263,-12),Database!$A:$AS,MATCH($V$1,Database!$A$1:$AS$1,),))))</f>
        <v/>
      </c>
    </row>
    <row r="264" customFormat="1" s="94">
      <c r="A264" s="44" t="n"/>
      <c r="B264" s="85" t="n">
        <v>40179</v>
      </c>
      <c r="C264" s="13">
        <f>((((VLOOKUP(B264,Database!$A:$AS,MATCH($C$1,Database!$A$1:$AS$1,),))))-(((VLOOKUP(EDATE(B264,-12),Database!$A:$AS,MATCH($C$1,Database!$A$1:$AS$1,),)))))/(((VLOOKUP(EDATE(B264,-12),Database!$A:$AS,MATCH($C$1,Database!$A$1:$AS$1,),))))</f>
        <v/>
      </c>
      <c r="D264" s="13">
        <f>((((VLOOKUP(B264,Database!$A:$AS,MATCH($D$1,Database!$A$1:$AS$1,),))))-(((VLOOKUP(EDATE(B264,-12),Database!$A:$AS,MATCH($D$1,Database!$A$1:$AS$1,),)))))/(((VLOOKUP(EDATE(B264,-12),Database!$A:$AS,MATCH($D$1,Database!$A$1:$AS$1,),))))</f>
        <v/>
      </c>
      <c r="E264" s="13">
        <f>((((VLOOKUP(B264,Database!$A:$AS,MATCH($E$1,Database!$A$1:$AS$1,),))))-(((VLOOKUP(EDATE(B264,-12),Database!$A:$AS,MATCH($E$1,Database!$A$1:$AS$1,),)))))/(((VLOOKUP(EDATE(B264,-12),Database!$A:$AS,MATCH($E$1,Database!$A$1:$AS$1,),))))</f>
        <v/>
      </c>
      <c r="F264" s="13">
        <f>((((VLOOKUP(B264,Database!$A:$AS,MATCH($F$1,Database!$A$1:$AS$1,),))))-(((VLOOKUP(EDATE(B264,-12),Database!$A:$AS,MATCH($F$1,Database!$A$1:$AS$1,),)))))/(((VLOOKUP(EDATE(B264,-12),Database!$A:$AS,MATCH($F$1,Database!$A$1:$AS$1,),))))</f>
        <v/>
      </c>
      <c r="G264" s="13">
        <f>((((VLOOKUP(B264,Database!$A:$AS,MATCH($G$1,Database!$A$1:$AS$1,),))))-(((VLOOKUP(EDATE(B264,-12),Database!$A:$AS,MATCH($G$1,Database!$A$1:$AS$1,),)))))/(((VLOOKUP(EDATE(B264,-12),Database!$A:$AS,MATCH($G$1,Database!$A$1:$AS$1,),))))</f>
        <v/>
      </c>
      <c r="H264" s="13">
        <f>((((VLOOKUP(B264,Database!$A:$AS,MATCH($H$1,Database!$A$1:$AS$1,),))))-(((VLOOKUP(EDATE(B264,-12),Database!$A:$AS,MATCH($H$1,Database!$A$1:$AS$1,),)))))/(((VLOOKUP(EDATE(B264,-12),Database!$A:$AS,MATCH($H$1,Database!$A$1:$AS$1,),))))</f>
        <v/>
      </c>
      <c r="I264" s="13">
        <f>((((VLOOKUP(B264,Database!$A:$AS,MATCH($I$1,Database!$A$1:$AS$1,),))))-(((VLOOKUP(EDATE(B264,-12),Database!$A:$AS,MATCH($I$1,Database!$A$1:$AS$1,),)))))/(((VLOOKUP(EDATE(B264,-12),Database!$A:$AS,MATCH($I$1,Database!$A$1:$AS$1,),))))</f>
        <v/>
      </c>
      <c r="J264" s="13">
        <f>((((VLOOKUP(B264,Database!$A:$AS,MATCH($J$1,Database!$A$1:$AS$1,),))))-(((VLOOKUP(EDATE(B264,-12),Database!$A:$AS,MATCH($J$1,Database!$A$1:$AS$1,),)))))/(((VLOOKUP(EDATE(B264,-12),Database!$A:$AS,MATCH($J$1,Database!$A$1:$AS$1,),))))</f>
        <v/>
      </c>
      <c r="K264" s="13">
        <f>((((VLOOKUP(B264,Database!$A:$AS,MATCH($K$1,Database!$A$1:$AS$1,),))))-(((VLOOKUP(EDATE(B264,-12),Database!$A:$AS,MATCH($K$1,Database!$A$1:$AS$1,),)))))/(((VLOOKUP(EDATE(B264,-12),Database!$A:$AS,MATCH($K$1,Database!$A$1:$AS$1,),))))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((((VLOOKUP(B264,Database!$A:$AS,MATCH($O$1,Database!$A$1:$AS$1,),))))-(((VLOOKUP(EDATE(B264,-12),Database!$A:$AS,MATCH($O$1,Database!$A$1:$AS$1,),)))))/(((VLOOKUP(EDATE(B264,-12),Database!$A:$AS,MATCH($O$1,Database!$A$1:$AS$1,),))))</f>
        <v/>
      </c>
      <c r="P264" s="13">
        <f>((((VLOOKUP(B264,Database!$A:$AS,MATCH($P$1,Database!$A$1:$AS$1,),))))-(((VLOOKUP(EDATE(B264,-12),Database!$A:$AS,MATCH($P$1,Database!$A$1:$AS$1,),)))))/(((VLOOKUP(EDATE(B264,-12),Database!$A:$AS,MATCH($P$1,Database!$A$1:$AS$1,),))))</f>
        <v/>
      </c>
      <c r="Q264" s="13">
        <f>((((VLOOKUP(B264,Database!$A:$AS,MATCH($Q$1,Database!$A$1:$AS$1,),))))-(((VLOOKUP(EDATE(B264,-12),Database!$A:$AS,MATCH($Q$1,Database!$A$1:$AS$1,),)))))/(((VLOOKUP(EDATE(B264,-12),Database!$A:$AS,MATCH($Q$1,Database!$A$1:$AS$1,),))))</f>
        <v/>
      </c>
      <c r="R264" s="13">
        <f>((((VLOOKUP(B264,Database!$A:$AS,MATCH($R$1,Database!$A$1:$AS$1,),))))-(((VLOOKUP(EDATE(B264,-12),Database!$A:$AS,MATCH($R$1,Database!$A$1:$AS$1,),)))))/(((VLOOKUP(EDATE(B264,-12),Database!$A:$AS,MATCH($R$1,Database!$A$1:$AS$1,),))))</f>
        <v/>
      </c>
      <c r="S264" s="13">
        <f>((((VLOOKUP(B264,Database!$A:$AS,MATCH($S$1,Database!$A$1:$AS$1,),))))-(((VLOOKUP(EDATE(B264,-12),Database!$A:$AS,MATCH($S$1,Database!$A$1:$AS$1,),)))))/(((VLOOKUP(EDATE(B264,-12),Database!$A:$AS,MATCH($S$1,Database!$A$1:$AS$1,),))))</f>
        <v/>
      </c>
      <c r="T264" s="13">
        <f>((((VLOOKUP(B264,Database!$A:$AS,MATCH($T$1,Database!$A$1:$AS$1,),))))-(((VLOOKUP(EDATE(B264,-12),Database!$A:$AS,MATCH($T$1,Database!$A$1:$AS$1,),)))))/(((VLOOKUP(EDATE(B264,-12),Database!$A:$AS,MATCH($T$1,Database!$A$1:$AS$1,),))))</f>
        <v/>
      </c>
      <c r="U264" s="13">
        <f>((((VLOOKUP(B264,Database!$A:$AS,MATCH($U$1,Database!$A$1:$AS$1,),))))-(((VLOOKUP(EDATE(B264,-12),Database!$A:$AS,MATCH($U$1,Database!$A$1:$AS$1,),)))))/(((VLOOKUP(EDATE(B264,-12),Database!$A:$AS,MATCH($U$1,Database!$A$1:$AS$1,),))))</f>
        <v/>
      </c>
      <c r="V264" s="13">
        <f>((((VLOOKUP(B264,Database!$A:$AS,MATCH($V$1,Database!$A$1:$AS$1,),))))-(((VLOOKUP(EDATE(B264,-12),Database!$A:$AS,MATCH($V$1,Database!$A$1:$AS$1,),)))))/(((VLOOKUP(EDATE(B264,-12),Database!$A:$AS,MATCH($V$1,Database!$A$1:$AS$1,),))))</f>
        <v/>
      </c>
    </row>
    <row r="265" customFormat="1" s="94">
      <c r="A265" s="44" t="n"/>
      <c r="B265" s="85" t="n">
        <v>40210</v>
      </c>
      <c r="C265" s="13">
        <f>((((VLOOKUP(B265,Database!$A:$AS,MATCH($C$1,Database!$A$1:$AS$1,),))))-(((VLOOKUP(EDATE(B265,-12),Database!$A:$AS,MATCH($C$1,Database!$A$1:$AS$1,),)))))/(((VLOOKUP(EDATE(B265,-12),Database!$A:$AS,MATCH($C$1,Database!$A$1:$AS$1,),))))</f>
        <v/>
      </c>
      <c r="D265" s="13">
        <f>((((VLOOKUP(B265,Database!$A:$AS,MATCH($D$1,Database!$A$1:$AS$1,),))))-(((VLOOKUP(EDATE(B265,-12),Database!$A:$AS,MATCH($D$1,Database!$A$1:$AS$1,),)))))/(((VLOOKUP(EDATE(B265,-12),Database!$A:$AS,MATCH($D$1,Database!$A$1:$AS$1,),))))</f>
        <v/>
      </c>
      <c r="E265" s="13">
        <f>((((VLOOKUP(B265,Database!$A:$AS,MATCH($E$1,Database!$A$1:$AS$1,),))))-(((VLOOKUP(EDATE(B265,-12),Database!$A:$AS,MATCH($E$1,Database!$A$1:$AS$1,),)))))/(((VLOOKUP(EDATE(B265,-12),Database!$A:$AS,MATCH($E$1,Database!$A$1:$AS$1,),))))</f>
        <v/>
      </c>
      <c r="F265" s="13">
        <f>((((VLOOKUP(B265,Database!$A:$AS,MATCH($F$1,Database!$A$1:$AS$1,),))))-(((VLOOKUP(EDATE(B265,-12),Database!$A:$AS,MATCH($F$1,Database!$A$1:$AS$1,),)))))/(((VLOOKUP(EDATE(B265,-12),Database!$A:$AS,MATCH($F$1,Database!$A$1:$AS$1,),))))</f>
        <v/>
      </c>
      <c r="G265" s="13">
        <f>((((VLOOKUP(B265,Database!$A:$AS,MATCH($G$1,Database!$A$1:$AS$1,),))))-(((VLOOKUP(EDATE(B265,-12),Database!$A:$AS,MATCH($G$1,Database!$A$1:$AS$1,),)))))/(((VLOOKUP(EDATE(B265,-12),Database!$A:$AS,MATCH($G$1,Database!$A$1:$AS$1,),))))</f>
        <v/>
      </c>
      <c r="H265" s="13">
        <f>((((VLOOKUP(B265,Database!$A:$AS,MATCH($H$1,Database!$A$1:$AS$1,),))))-(((VLOOKUP(EDATE(B265,-12),Database!$A:$AS,MATCH($H$1,Database!$A$1:$AS$1,),)))))/(((VLOOKUP(EDATE(B265,-12),Database!$A:$AS,MATCH($H$1,Database!$A$1:$AS$1,),))))</f>
        <v/>
      </c>
      <c r="I265" s="13">
        <f>((((VLOOKUP(B265,Database!$A:$AS,MATCH($I$1,Database!$A$1:$AS$1,),))))-(((VLOOKUP(EDATE(B265,-12),Database!$A:$AS,MATCH($I$1,Database!$A$1:$AS$1,),)))))/(((VLOOKUP(EDATE(B265,-12),Database!$A:$AS,MATCH($I$1,Database!$A$1:$AS$1,),))))</f>
        <v/>
      </c>
      <c r="J265" s="13">
        <f>((((VLOOKUP(B265,Database!$A:$AS,MATCH($J$1,Database!$A$1:$AS$1,),))))-(((VLOOKUP(EDATE(B265,-12),Database!$A:$AS,MATCH($J$1,Database!$A$1:$AS$1,),)))))/(((VLOOKUP(EDATE(B265,-12),Database!$A:$AS,MATCH($J$1,Database!$A$1:$AS$1,),))))</f>
        <v/>
      </c>
      <c r="K265" s="13">
        <f>((((VLOOKUP(B265,Database!$A:$AS,MATCH($K$1,Database!$A$1:$AS$1,),))))-(((VLOOKUP(EDATE(B265,-12),Database!$A:$AS,MATCH($K$1,Database!$A$1:$AS$1,),)))))/(((VLOOKUP(EDATE(B265,-12),Database!$A:$AS,MATCH($K$1,Database!$A$1:$AS$1,),))))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((((VLOOKUP(B265,Database!$A:$AS,MATCH($O$1,Database!$A$1:$AS$1,),))))-(((VLOOKUP(EDATE(B265,-12),Database!$A:$AS,MATCH($O$1,Database!$A$1:$AS$1,),)))))/(((VLOOKUP(EDATE(B265,-12),Database!$A:$AS,MATCH($O$1,Database!$A$1:$AS$1,),))))</f>
        <v/>
      </c>
      <c r="P265" s="13">
        <f>((((VLOOKUP(B265,Database!$A:$AS,MATCH($P$1,Database!$A$1:$AS$1,),))))-(((VLOOKUP(EDATE(B265,-12),Database!$A:$AS,MATCH($P$1,Database!$A$1:$AS$1,),)))))/(((VLOOKUP(EDATE(B265,-12),Database!$A:$AS,MATCH($P$1,Database!$A$1:$AS$1,),))))</f>
        <v/>
      </c>
      <c r="Q265" s="13">
        <f>((((VLOOKUP(B265,Database!$A:$AS,MATCH($Q$1,Database!$A$1:$AS$1,),))))-(((VLOOKUP(EDATE(B265,-12),Database!$A:$AS,MATCH($Q$1,Database!$A$1:$AS$1,),)))))/(((VLOOKUP(EDATE(B265,-12),Database!$A:$AS,MATCH($Q$1,Database!$A$1:$AS$1,),))))</f>
        <v/>
      </c>
      <c r="R265" s="13">
        <f>((((VLOOKUP(B265,Database!$A:$AS,MATCH($R$1,Database!$A$1:$AS$1,),))))-(((VLOOKUP(EDATE(B265,-12),Database!$A:$AS,MATCH($R$1,Database!$A$1:$AS$1,),)))))/(((VLOOKUP(EDATE(B265,-12),Database!$A:$AS,MATCH($R$1,Database!$A$1:$AS$1,),))))</f>
        <v/>
      </c>
      <c r="S265" s="13">
        <f>((((VLOOKUP(B265,Database!$A:$AS,MATCH($S$1,Database!$A$1:$AS$1,),))))-(((VLOOKUP(EDATE(B265,-12),Database!$A:$AS,MATCH($S$1,Database!$A$1:$AS$1,),)))))/(((VLOOKUP(EDATE(B265,-12),Database!$A:$AS,MATCH($S$1,Database!$A$1:$AS$1,),))))</f>
        <v/>
      </c>
      <c r="T265" s="13">
        <f>((((VLOOKUP(B265,Database!$A:$AS,MATCH($T$1,Database!$A$1:$AS$1,),))))-(((VLOOKUP(EDATE(B265,-12),Database!$A:$AS,MATCH($T$1,Database!$A$1:$AS$1,),)))))/(((VLOOKUP(EDATE(B265,-12),Database!$A:$AS,MATCH($T$1,Database!$A$1:$AS$1,),))))</f>
        <v/>
      </c>
      <c r="U265" s="13">
        <f>((((VLOOKUP(B265,Database!$A:$AS,MATCH($U$1,Database!$A$1:$AS$1,),))))-(((VLOOKUP(EDATE(B265,-12),Database!$A:$AS,MATCH($U$1,Database!$A$1:$AS$1,),)))))/(((VLOOKUP(EDATE(B265,-12),Database!$A:$AS,MATCH($U$1,Database!$A$1:$AS$1,),))))</f>
        <v/>
      </c>
      <c r="V265" s="13">
        <f>((((VLOOKUP(B265,Database!$A:$AS,MATCH($V$1,Database!$A$1:$AS$1,),))))-(((VLOOKUP(EDATE(B265,-12),Database!$A:$AS,MATCH($V$1,Database!$A$1:$AS$1,),)))))/(((VLOOKUP(EDATE(B265,-12),Database!$A:$AS,MATCH($V$1,Database!$A$1:$AS$1,),))))</f>
        <v/>
      </c>
    </row>
    <row r="266" customFormat="1" s="94">
      <c r="A266" s="44" t="n"/>
      <c r="B266" s="85" t="n">
        <v>40238</v>
      </c>
      <c r="C266" s="13">
        <f>((((VLOOKUP(B266,Database!$A:$AS,MATCH($C$1,Database!$A$1:$AS$1,),))))-(((VLOOKUP(EDATE(B266,-12),Database!$A:$AS,MATCH($C$1,Database!$A$1:$AS$1,),)))))/(((VLOOKUP(EDATE(B266,-12),Database!$A:$AS,MATCH($C$1,Database!$A$1:$AS$1,),))))</f>
        <v/>
      </c>
      <c r="D266" s="13">
        <f>((((VLOOKUP(B266,Database!$A:$AS,MATCH($D$1,Database!$A$1:$AS$1,),))))-(((VLOOKUP(EDATE(B266,-12),Database!$A:$AS,MATCH($D$1,Database!$A$1:$AS$1,),)))))/(((VLOOKUP(EDATE(B266,-12),Database!$A:$AS,MATCH($D$1,Database!$A$1:$AS$1,),))))</f>
        <v/>
      </c>
      <c r="E266" s="13">
        <f>((((VLOOKUP(B266,Database!$A:$AS,MATCH($E$1,Database!$A$1:$AS$1,),))))-(((VLOOKUP(EDATE(B266,-12),Database!$A:$AS,MATCH($E$1,Database!$A$1:$AS$1,),)))))/(((VLOOKUP(EDATE(B266,-12),Database!$A:$AS,MATCH($E$1,Database!$A$1:$AS$1,),))))</f>
        <v/>
      </c>
      <c r="F266" s="13">
        <f>((((VLOOKUP(B266,Database!$A:$AS,MATCH($F$1,Database!$A$1:$AS$1,),))))-(((VLOOKUP(EDATE(B266,-12),Database!$A:$AS,MATCH($F$1,Database!$A$1:$AS$1,),)))))/(((VLOOKUP(EDATE(B266,-12),Database!$A:$AS,MATCH($F$1,Database!$A$1:$AS$1,),))))</f>
        <v/>
      </c>
      <c r="G266" s="13">
        <f>((((VLOOKUP(B266,Database!$A:$AS,MATCH($G$1,Database!$A$1:$AS$1,),))))-(((VLOOKUP(EDATE(B266,-12),Database!$A:$AS,MATCH($G$1,Database!$A$1:$AS$1,),)))))/(((VLOOKUP(EDATE(B266,-12),Database!$A:$AS,MATCH($G$1,Database!$A$1:$AS$1,),))))</f>
        <v/>
      </c>
      <c r="H266" s="13">
        <f>((((VLOOKUP(B266,Database!$A:$AS,MATCH($H$1,Database!$A$1:$AS$1,),))))-(((VLOOKUP(EDATE(B266,-12),Database!$A:$AS,MATCH($H$1,Database!$A$1:$AS$1,),)))))/(((VLOOKUP(EDATE(B266,-12),Database!$A:$AS,MATCH($H$1,Database!$A$1:$AS$1,),))))</f>
        <v/>
      </c>
      <c r="I266" s="13">
        <f>((((VLOOKUP(B266,Database!$A:$AS,MATCH($I$1,Database!$A$1:$AS$1,),))))-(((VLOOKUP(EDATE(B266,-12),Database!$A:$AS,MATCH($I$1,Database!$A$1:$AS$1,),)))))/(((VLOOKUP(EDATE(B266,-12),Database!$A:$AS,MATCH($I$1,Database!$A$1:$AS$1,),))))</f>
        <v/>
      </c>
      <c r="J266" s="13">
        <f>((((VLOOKUP(B266,Database!$A:$AS,MATCH($J$1,Database!$A$1:$AS$1,),))))-(((VLOOKUP(EDATE(B266,-12),Database!$A:$AS,MATCH($J$1,Database!$A$1:$AS$1,),)))))/(((VLOOKUP(EDATE(B266,-12),Database!$A:$AS,MATCH($J$1,Database!$A$1:$AS$1,),))))</f>
        <v/>
      </c>
      <c r="K266" s="13">
        <f>((((VLOOKUP(B266,Database!$A:$AS,MATCH($K$1,Database!$A$1:$AS$1,),))))-(((VLOOKUP(EDATE(B266,-12),Database!$A:$AS,MATCH($K$1,Database!$A$1:$AS$1,),)))))/(((VLOOKUP(EDATE(B266,-12),Database!$A:$AS,MATCH($K$1,Database!$A$1:$AS$1,),))))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((((VLOOKUP(B266,Database!$A:$AS,MATCH($O$1,Database!$A$1:$AS$1,),))))-(((VLOOKUP(EDATE(B266,-12),Database!$A:$AS,MATCH($O$1,Database!$A$1:$AS$1,),)))))/(((VLOOKUP(EDATE(B266,-12),Database!$A:$AS,MATCH($O$1,Database!$A$1:$AS$1,),))))</f>
        <v/>
      </c>
      <c r="P266" s="13">
        <f>((((VLOOKUP(B266,Database!$A:$AS,MATCH($P$1,Database!$A$1:$AS$1,),))))-(((VLOOKUP(EDATE(B266,-12),Database!$A:$AS,MATCH($P$1,Database!$A$1:$AS$1,),)))))/(((VLOOKUP(EDATE(B266,-12),Database!$A:$AS,MATCH($P$1,Database!$A$1:$AS$1,),))))</f>
        <v/>
      </c>
      <c r="Q266" s="13">
        <f>((((VLOOKUP(B266,Database!$A:$AS,MATCH($Q$1,Database!$A$1:$AS$1,),))))-(((VLOOKUP(EDATE(B266,-12),Database!$A:$AS,MATCH($Q$1,Database!$A$1:$AS$1,),)))))/(((VLOOKUP(EDATE(B266,-12),Database!$A:$AS,MATCH($Q$1,Database!$A$1:$AS$1,),))))</f>
        <v/>
      </c>
      <c r="R266" s="13">
        <f>((((VLOOKUP(B266,Database!$A:$AS,MATCH($R$1,Database!$A$1:$AS$1,),))))-(((VLOOKUP(EDATE(B266,-12),Database!$A:$AS,MATCH($R$1,Database!$A$1:$AS$1,),)))))/(((VLOOKUP(EDATE(B266,-12),Database!$A:$AS,MATCH($R$1,Database!$A$1:$AS$1,),))))</f>
        <v/>
      </c>
      <c r="S266" s="13">
        <f>((((VLOOKUP(B266,Database!$A:$AS,MATCH($S$1,Database!$A$1:$AS$1,),))))-(((VLOOKUP(EDATE(B266,-12),Database!$A:$AS,MATCH($S$1,Database!$A$1:$AS$1,),)))))/(((VLOOKUP(EDATE(B266,-12),Database!$A:$AS,MATCH($S$1,Database!$A$1:$AS$1,),))))</f>
        <v/>
      </c>
      <c r="T266" s="13">
        <f>((((VLOOKUP(B266,Database!$A:$AS,MATCH($T$1,Database!$A$1:$AS$1,),))))-(((VLOOKUP(EDATE(B266,-12),Database!$A:$AS,MATCH($T$1,Database!$A$1:$AS$1,),)))))/(((VLOOKUP(EDATE(B266,-12),Database!$A:$AS,MATCH($T$1,Database!$A$1:$AS$1,),))))</f>
        <v/>
      </c>
      <c r="U266" s="13">
        <f>((((VLOOKUP(B266,Database!$A:$AS,MATCH($U$1,Database!$A$1:$AS$1,),))))-(((VLOOKUP(EDATE(B266,-12),Database!$A:$AS,MATCH($U$1,Database!$A$1:$AS$1,),)))))/(((VLOOKUP(EDATE(B266,-12),Database!$A:$AS,MATCH($U$1,Database!$A$1:$AS$1,),))))</f>
        <v/>
      </c>
      <c r="V266" s="13">
        <f>((((VLOOKUP(B266,Database!$A:$AS,MATCH($V$1,Database!$A$1:$AS$1,),))))-(((VLOOKUP(EDATE(B266,-12),Database!$A:$AS,MATCH($V$1,Database!$A$1:$AS$1,),)))))/(((VLOOKUP(EDATE(B266,-12),Database!$A:$AS,MATCH($V$1,Database!$A$1:$AS$1,),))))</f>
        <v/>
      </c>
    </row>
    <row r="267" customFormat="1" s="94">
      <c r="A267" s="44" t="n"/>
      <c r="B267" s="85" t="n">
        <v>40269</v>
      </c>
      <c r="C267" s="13">
        <f>((((VLOOKUP(B267,Database!$A:$AS,MATCH($C$1,Database!$A$1:$AS$1,),))))-(((VLOOKUP(EDATE(B267,-12),Database!$A:$AS,MATCH($C$1,Database!$A$1:$AS$1,),)))))/(((VLOOKUP(EDATE(B267,-12),Database!$A:$AS,MATCH($C$1,Database!$A$1:$AS$1,),))))</f>
        <v/>
      </c>
      <c r="D267" s="13">
        <f>((((VLOOKUP(B267,Database!$A:$AS,MATCH($D$1,Database!$A$1:$AS$1,),))))-(((VLOOKUP(EDATE(B267,-12),Database!$A:$AS,MATCH($D$1,Database!$A$1:$AS$1,),)))))/(((VLOOKUP(EDATE(B267,-12),Database!$A:$AS,MATCH($D$1,Database!$A$1:$AS$1,),))))</f>
        <v/>
      </c>
      <c r="E267" s="13">
        <f>((((VLOOKUP(B267,Database!$A:$AS,MATCH($E$1,Database!$A$1:$AS$1,),))))-(((VLOOKUP(EDATE(B267,-12),Database!$A:$AS,MATCH($E$1,Database!$A$1:$AS$1,),)))))/(((VLOOKUP(EDATE(B267,-12),Database!$A:$AS,MATCH($E$1,Database!$A$1:$AS$1,),))))</f>
        <v/>
      </c>
      <c r="F267" s="13">
        <f>((((VLOOKUP(B267,Database!$A:$AS,MATCH($F$1,Database!$A$1:$AS$1,),))))-(((VLOOKUP(EDATE(B267,-12),Database!$A:$AS,MATCH($F$1,Database!$A$1:$AS$1,),)))))/(((VLOOKUP(EDATE(B267,-12),Database!$A:$AS,MATCH($F$1,Database!$A$1:$AS$1,),))))</f>
        <v/>
      </c>
      <c r="G267" s="13">
        <f>((((VLOOKUP(B267,Database!$A:$AS,MATCH($G$1,Database!$A$1:$AS$1,),))))-(((VLOOKUP(EDATE(B267,-12),Database!$A:$AS,MATCH($G$1,Database!$A$1:$AS$1,),)))))/(((VLOOKUP(EDATE(B267,-12),Database!$A:$AS,MATCH($G$1,Database!$A$1:$AS$1,),))))</f>
        <v/>
      </c>
      <c r="H267" s="13">
        <f>((((VLOOKUP(B267,Database!$A:$AS,MATCH($H$1,Database!$A$1:$AS$1,),))))-(((VLOOKUP(EDATE(B267,-12),Database!$A:$AS,MATCH($H$1,Database!$A$1:$AS$1,),)))))/(((VLOOKUP(EDATE(B267,-12),Database!$A:$AS,MATCH($H$1,Database!$A$1:$AS$1,),))))</f>
        <v/>
      </c>
      <c r="I267" s="13">
        <f>((((VLOOKUP(B267,Database!$A:$AS,MATCH($I$1,Database!$A$1:$AS$1,),))))-(((VLOOKUP(EDATE(B267,-12),Database!$A:$AS,MATCH($I$1,Database!$A$1:$AS$1,),)))))/(((VLOOKUP(EDATE(B267,-12),Database!$A:$AS,MATCH($I$1,Database!$A$1:$AS$1,),))))</f>
        <v/>
      </c>
      <c r="J267" s="13">
        <f>((((VLOOKUP(B267,Database!$A:$AS,MATCH($J$1,Database!$A$1:$AS$1,),))))-(((VLOOKUP(EDATE(B267,-12),Database!$A:$AS,MATCH($J$1,Database!$A$1:$AS$1,),)))))/(((VLOOKUP(EDATE(B267,-12),Database!$A:$AS,MATCH($J$1,Database!$A$1:$AS$1,),))))</f>
        <v/>
      </c>
      <c r="K267" s="13">
        <f>((((VLOOKUP(B267,Database!$A:$AS,MATCH($K$1,Database!$A$1:$AS$1,),))))-(((VLOOKUP(EDATE(B267,-12),Database!$A:$AS,MATCH($K$1,Database!$A$1:$AS$1,),)))))/(((VLOOKUP(EDATE(B267,-12),Database!$A:$AS,MATCH($K$1,Database!$A$1:$AS$1,),))))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((((VLOOKUP(B267,Database!$A:$AS,MATCH($O$1,Database!$A$1:$AS$1,),))))-(((VLOOKUP(EDATE(B267,-12),Database!$A:$AS,MATCH($O$1,Database!$A$1:$AS$1,),)))))/(((VLOOKUP(EDATE(B267,-12),Database!$A:$AS,MATCH($O$1,Database!$A$1:$AS$1,),))))</f>
        <v/>
      </c>
      <c r="P267" s="13">
        <f>((((VLOOKUP(B267,Database!$A:$AS,MATCH($P$1,Database!$A$1:$AS$1,),))))-(((VLOOKUP(EDATE(B267,-12),Database!$A:$AS,MATCH($P$1,Database!$A$1:$AS$1,),)))))/(((VLOOKUP(EDATE(B267,-12),Database!$A:$AS,MATCH($P$1,Database!$A$1:$AS$1,),))))</f>
        <v/>
      </c>
      <c r="Q267" s="13">
        <f>((((VLOOKUP(B267,Database!$A:$AS,MATCH($Q$1,Database!$A$1:$AS$1,),))))-(((VLOOKUP(EDATE(B267,-12),Database!$A:$AS,MATCH($Q$1,Database!$A$1:$AS$1,),)))))/(((VLOOKUP(EDATE(B267,-12),Database!$A:$AS,MATCH($Q$1,Database!$A$1:$AS$1,),))))</f>
        <v/>
      </c>
      <c r="R267" s="13">
        <f>((((VLOOKUP(B267,Database!$A:$AS,MATCH($R$1,Database!$A$1:$AS$1,),))))-(((VLOOKUP(EDATE(B267,-12),Database!$A:$AS,MATCH($R$1,Database!$A$1:$AS$1,),)))))/(((VLOOKUP(EDATE(B267,-12),Database!$A:$AS,MATCH($R$1,Database!$A$1:$AS$1,),))))</f>
        <v/>
      </c>
      <c r="S267" s="13">
        <f>((((VLOOKUP(B267,Database!$A:$AS,MATCH($S$1,Database!$A$1:$AS$1,),))))-(((VLOOKUP(EDATE(B267,-12),Database!$A:$AS,MATCH($S$1,Database!$A$1:$AS$1,),)))))/(((VLOOKUP(EDATE(B267,-12),Database!$A:$AS,MATCH($S$1,Database!$A$1:$AS$1,),))))</f>
        <v/>
      </c>
      <c r="T267" s="13">
        <f>((((VLOOKUP(B267,Database!$A:$AS,MATCH($T$1,Database!$A$1:$AS$1,),))))-(((VLOOKUP(EDATE(B267,-12),Database!$A:$AS,MATCH($T$1,Database!$A$1:$AS$1,),)))))/(((VLOOKUP(EDATE(B267,-12),Database!$A:$AS,MATCH($T$1,Database!$A$1:$AS$1,),))))</f>
        <v/>
      </c>
      <c r="U267" s="13">
        <f>((((VLOOKUP(B267,Database!$A:$AS,MATCH($U$1,Database!$A$1:$AS$1,),))))-(((VLOOKUP(EDATE(B267,-12),Database!$A:$AS,MATCH($U$1,Database!$A$1:$AS$1,),)))))/(((VLOOKUP(EDATE(B267,-12),Database!$A:$AS,MATCH($U$1,Database!$A$1:$AS$1,),))))</f>
        <v/>
      </c>
      <c r="V267" s="13">
        <f>((((VLOOKUP(B267,Database!$A:$AS,MATCH($V$1,Database!$A$1:$AS$1,),))))-(((VLOOKUP(EDATE(B267,-12),Database!$A:$AS,MATCH($V$1,Database!$A$1:$AS$1,),)))))/(((VLOOKUP(EDATE(B267,-12),Database!$A:$AS,MATCH($V$1,Database!$A$1:$AS$1,),))))</f>
        <v/>
      </c>
    </row>
    <row r="268" customFormat="1" s="94">
      <c r="A268" s="44" t="n"/>
      <c r="B268" s="85" t="n">
        <v>40299</v>
      </c>
      <c r="C268" s="13">
        <f>((((VLOOKUP(B268,Database!$A:$AS,MATCH($C$1,Database!$A$1:$AS$1,),))))-(((VLOOKUP(EDATE(B268,-12),Database!$A:$AS,MATCH($C$1,Database!$A$1:$AS$1,),)))))/(((VLOOKUP(EDATE(B268,-12),Database!$A:$AS,MATCH($C$1,Database!$A$1:$AS$1,),))))</f>
        <v/>
      </c>
      <c r="D268" s="13">
        <f>((((VLOOKUP(B268,Database!$A:$AS,MATCH($D$1,Database!$A$1:$AS$1,),))))-(((VLOOKUP(EDATE(B268,-12),Database!$A:$AS,MATCH($D$1,Database!$A$1:$AS$1,),)))))/(((VLOOKUP(EDATE(B268,-12),Database!$A:$AS,MATCH($D$1,Database!$A$1:$AS$1,),))))</f>
        <v/>
      </c>
      <c r="E268" s="13">
        <f>((((VLOOKUP(B268,Database!$A:$AS,MATCH($E$1,Database!$A$1:$AS$1,),))))-(((VLOOKUP(EDATE(B268,-12),Database!$A:$AS,MATCH($E$1,Database!$A$1:$AS$1,),)))))/(((VLOOKUP(EDATE(B268,-12),Database!$A:$AS,MATCH($E$1,Database!$A$1:$AS$1,),))))</f>
        <v/>
      </c>
      <c r="F268" s="13">
        <f>((((VLOOKUP(B268,Database!$A:$AS,MATCH($F$1,Database!$A$1:$AS$1,),))))-(((VLOOKUP(EDATE(B268,-12),Database!$A:$AS,MATCH($F$1,Database!$A$1:$AS$1,),)))))/(((VLOOKUP(EDATE(B268,-12),Database!$A:$AS,MATCH($F$1,Database!$A$1:$AS$1,),))))</f>
        <v/>
      </c>
      <c r="G268" s="13">
        <f>((((VLOOKUP(B268,Database!$A:$AS,MATCH($G$1,Database!$A$1:$AS$1,),))))-(((VLOOKUP(EDATE(B268,-12),Database!$A:$AS,MATCH($G$1,Database!$A$1:$AS$1,),)))))/(((VLOOKUP(EDATE(B268,-12),Database!$A:$AS,MATCH($G$1,Database!$A$1:$AS$1,),))))</f>
        <v/>
      </c>
      <c r="H268" s="13">
        <f>((((VLOOKUP(B268,Database!$A:$AS,MATCH($H$1,Database!$A$1:$AS$1,),))))-(((VLOOKUP(EDATE(B268,-12),Database!$A:$AS,MATCH($H$1,Database!$A$1:$AS$1,),)))))/(((VLOOKUP(EDATE(B268,-12),Database!$A:$AS,MATCH($H$1,Database!$A$1:$AS$1,),))))</f>
        <v/>
      </c>
      <c r="I268" s="13">
        <f>((((VLOOKUP(B268,Database!$A:$AS,MATCH($I$1,Database!$A$1:$AS$1,),))))-(((VLOOKUP(EDATE(B268,-12),Database!$A:$AS,MATCH($I$1,Database!$A$1:$AS$1,),)))))/(((VLOOKUP(EDATE(B268,-12),Database!$A:$AS,MATCH($I$1,Database!$A$1:$AS$1,),))))</f>
        <v/>
      </c>
      <c r="J268" s="13">
        <f>((((VLOOKUP(B268,Database!$A:$AS,MATCH($J$1,Database!$A$1:$AS$1,),))))-(((VLOOKUP(EDATE(B268,-12),Database!$A:$AS,MATCH($J$1,Database!$A$1:$AS$1,),)))))/(((VLOOKUP(EDATE(B268,-12),Database!$A:$AS,MATCH($J$1,Database!$A$1:$AS$1,),))))</f>
        <v/>
      </c>
      <c r="K268" s="13">
        <f>((((VLOOKUP(B268,Database!$A:$AS,MATCH($K$1,Database!$A$1:$AS$1,),))))-(((VLOOKUP(EDATE(B268,-12),Database!$A:$AS,MATCH($K$1,Database!$A$1:$AS$1,),)))))/(((VLOOKUP(EDATE(B268,-12),Database!$A:$AS,MATCH($K$1,Database!$A$1:$AS$1,),))))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((((VLOOKUP(B268,Database!$A:$AS,MATCH($O$1,Database!$A$1:$AS$1,),))))-(((VLOOKUP(EDATE(B268,-12),Database!$A:$AS,MATCH($O$1,Database!$A$1:$AS$1,),)))))/(((VLOOKUP(EDATE(B268,-12),Database!$A:$AS,MATCH($O$1,Database!$A$1:$AS$1,),))))</f>
        <v/>
      </c>
      <c r="P268" s="13">
        <f>((((VLOOKUP(B268,Database!$A:$AS,MATCH($P$1,Database!$A$1:$AS$1,),))))-(((VLOOKUP(EDATE(B268,-12),Database!$A:$AS,MATCH($P$1,Database!$A$1:$AS$1,),)))))/(((VLOOKUP(EDATE(B268,-12),Database!$A:$AS,MATCH($P$1,Database!$A$1:$AS$1,),))))</f>
        <v/>
      </c>
      <c r="Q268" s="13">
        <f>((((VLOOKUP(B268,Database!$A:$AS,MATCH($Q$1,Database!$A$1:$AS$1,),))))-(((VLOOKUP(EDATE(B268,-12),Database!$A:$AS,MATCH($Q$1,Database!$A$1:$AS$1,),)))))/(((VLOOKUP(EDATE(B268,-12),Database!$A:$AS,MATCH($Q$1,Database!$A$1:$AS$1,),))))</f>
        <v/>
      </c>
      <c r="R268" s="13">
        <f>((((VLOOKUP(B268,Database!$A:$AS,MATCH($R$1,Database!$A$1:$AS$1,),))))-(((VLOOKUP(EDATE(B268,-12),Database!$A:$AS,MATCH($R$1,Database!$A$1:$AS$1,),)))))/(((VLOOKUP(EDATE(B268,-12),Database!$A:$AS,MATCH($R$1,Database!$A$1:$AS$1,),))))</f>
        <v/>
      </c>
      <c r="S268" s="13">
        <f>((((VLOOKUP(B268,Database!$A:$AS,MATCH($S$1,Database!$A$1:$AS$1,),))))-(((VLOOKUP(EDATE(B268,-12),Database!$A:$AS,MATCH($S$1,Database!$A$1:$AS$1,),)))))/(((VLOOKUP(EDATE(B268,-12),Database!$A:$AS,MATCH($S$1,Database!$A$1:$AS$1,),))))</f>
        <v/>
      </c>
      <c r="T268" s="13">
        <f>((((VLOOKUP(B268,Database!$A:$AS,MATCH($T$1,Database!$A$1:$AS$1,),))))-(((VLOOKUP(EDATE(B268,-12),Database!$A:$AS,MATCH($T$1,Database!$A$1:$AS$1,),)))))/(((VLOOKUP(EDATE(B268,-12),Database!$A:$AS,MATCH($T$1,Database!$A$1:$AS$1,),))))</f>
        <v/>
      </c>
      <c r="U268" s="13">
        <f>((((VLOOKUP(B268,Database!$A:$AS,MATCH($U$1,Database!$A$1:$AS$1,),))))-(((VLOOKUP(EDATE(B268,-12),Database!$A:$AS,MATCH($U$1,Database!$A$1:$AS$1,),)))))/(((VLOOKUP(EDATE(B268,-12),Database!$A:$AS,MATCH($U$1,Database!$A$1:$AS$1,),))))</f>
        <v/>
      </c>
      <c r="V268" s="13">
        <f>((((VLOOKUP(B268,Database!$A:$AS,MATCH($V$1,Database!$A$1:$AS$1,),))))-(((VLOOKUP(EDATE(B268,-12),Database!$A:$AS,MATCH($V$1,Database!$A$1:$AS$1,),)))))/(((VLOOKUP(EDATE(B268,-12),Database!$A:$AS,MATCH($V$1,Database!$A$1:$AS$1,),))))</f>
        <v/>
      </c>
    </row>
    <row r="269" customFormat="1" s="94">
      <c r="A269" s="44" t="n"/>
      <c r="B269" s="85" t="n">
        <v>40330</v>
      </c>
      <c r="C269" s="13">
        <f>((((VLOOKUP(B269,Database!$A:$AS,MATCH($C$1,Database!$A$1:$AS$1,),))))-(((VLOOKUP(EDATE(B269,-12),Database!$A:$AS,MATCH($C$1,Database!$A$1:$AS$1,),)))))/(((VLOOKUP(EDATE(B269,-12),Database!$A:$AS,MATCH($C$1,Database!$A$1:$AS$1,),))))</f>
        <v/>
      </c>
      <c r="D269" s="13">
        <f>((((VLOOKUP(B269,Database!$A:$AS,MATCH($D$1,Database!$A$1:$AS$1,),))))-(((VLOOKUP(EDATE(B269,-12),Database!$A:$AS,MATCH($D$1,Database!$A$1:$AS$1,),)))))/(((VLOOKUP(EDATE(B269,-12),Database!$A:$AS,MATCH($D$1,Database!$A$1:$AS$1,),))))</f>
        <v/>
      </c>
      <c r="E269" s="13">
        <f>((((VLOOKUP(B269,Database!$A:$AS,MATCH($E$1,Database!$A$1:$AS$1,),))))-(((VLOOKUP(EDATE(B269,-12),Database!$A:$AS,MATCH($E$1,Database!$A$1:$AS$1,),)))))/(((VLOOKUP(EDATE(B269,-12),Database!$A:$AS,MATCH($E$1,Database!$A$1:$AS$1,),))))</f>
        <v/>
      </c>
      <c r="F269" s="13">
        <f>((((VLOOKUP(B269,Database!$A:$AS,MATCH($F$1,Database!$A$1:$AS$1,),))))-(((VLOOKUP(EDATE(B269,-12),Database!$A:$AS,MATCH($F$1,Database!$A$1:$AS$1,),)))))/(((VLOOKUP(EDATE(B269,-12),Database!$A:$AS,MATCH($F$1,Database!$A$1:$AS$1,),))))</f>
        <v/>
      </c>
      <c r="G269" s="13">
        <f>((((VLOOKUP(B269,Database!$A:$AS,MATCH($G$1,Database!$A$1:$AS$1,),))))-(((VLOOKUP(EDATE(B269,-12),Database!$A:$AS,MATCH($G$1,Database!$A$1:$AS$1,),)))))/(((VLOOKUP(EDATE(B269,-12),Database!$A:$AS,MATCH($G$1,Database!$A$1:$AS$1,),))))</f>
        <v/>
      </c>
      <c r="H269" s="13">
        <f>((((VLOOKUP(B269,Database!$A:$AS,MATCH($H$1,Database!$A$1:$AS$1,),))))-(((VLOOKUP(EDATE(B269,-12),Database!$A:$AS,MATCH($H$1,Database!$A$1:$AS$1,),)))))/(((VLOOKUP(EDATE(B269,-12),Database!$A:$AS,MATCH($H$1,Database!$A$1:$AS$1,),))))</f>
        <v/>
      </c>
      <c r="I269" s="13">
        <f>((((VLOOKUP(B269,Database!$A:$AS,MATCH($I$1,Database!$A$1:$AS$1,),))))-(((VLOOKUP(EDATE(B269,-12),Database!$A:$AS,MATCH($I$1,Database!$A$1:$AS$1,),)))))/(((VLOOKUP(EDATE(B269,-12),Database!$A:$AS,MATCH($I$1,Database!$A$1:$AS$1,),))))</f>
        <v/>
      </c>
      <c r="J269" s="13">
        <f>((((VLOOKUP(B269,Database!$A:$AS,MATCH($J$1,Database!$A$1:$AS$1,),))))-(((VLOOKUP(EDATE(B269,-12),Database!$A:$AS,MATCH($J$1,Database!$A$1:$AS$1,),)))))/(((VLOOKUP(EDATE(B269,-12),Database!$A:$AS,MATCH($J$1,Database!$A$1:$AS$1,),))))</f>
        <v/>
      </c>
      <c r="K269" s="13">
        <f>((((VLOOKUP(B269,Database!$A:$AS,MATCH($K$1,Database!$A$1:$AS$1,),))))-(((VLOOKUP(EDATE(B269,-12),Database!$A:$AS,MATCH($K$1,Database!$A$1:$AS$1,),)))))/(((VLOOKUP(EDATE(B269,-12),Database!$A:$AS,MATCH($K$1,Database!$A$1:$AS$1,),))))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((((VLOOKUP(B269,Database!$A:$AS,MATCH($O$1,Database!$A$1:$AS$1,),))))-(((VLOOKUP(EDATE(B269,-12),Database!$A:$AS,MATCH($O$1,Database!$A$1:$AS$1,),)))))/(((VLOOKUP(EDATE(B269,-12),Database!$A:$AS,MATCH($O$1,Database!$A$1:$AS$1,),))))</f>
        <v/>
      </c>
      <c r="P269" s="13">
        <f>((((VLOOKUP(B269,Database!$A:$AS,MATCH($P$1,Database!$A$1:$AS$1,),))))-(((VLOOKUP(EDATE(B269,-12),Database!$A:$AS,MATCH($P$1,Database!$A$1:$AS$1,),)))))/(((VLOOKUP(EDATE(B269,-12),Database!$A:$AS,MATCH($P$1,Database!$A$1:$AS$1,),))))</f>
        <v/>
      </c>
      <c r="Q269" s="13">
        <f>((((VLOOKUP(B269,Database!$A:$AS,MATCH($Q$1,Database!$A$1:$AS$1,),))))-(((VLOOKUP(EDATE(B269,-12),Database!$A:$AS,MATCH($Q$1,Database!$A$1:$AS$1,),)))))/(((VLOOKUP(EDATE(B269,-12),Database!$A:$AS,MATCH($Q$1,Database!$A$1:$AS$1,),))))</f>
        <v/>
      </c>
      <c r="R269" s="13">
        <f>((((VLOOKUP(B269,Database!$A:$AS,MATCH($R$1,Database!$A$1:$AS$1,),))))-(((VLOOKUP(EDATE(B269,-12),Database!$A:$AS,MATCH($R$1,Database!$A$1:$AS$1,),)))))/(((VLOOKUP(EDATE(B269,-12),Database!$A:$AS,MATCH($R$1,Database!$A$1:$AS$1,),))))</f>
        <v/>
      </c>
      <c r="S269" s="13">
        <f>((((VLOOKUP(B269,Database!$A:$AS,MATCH($S$1,Database!$A$1:$AS$1,),))))-(((VLOOKUP(EDATE(B269,-12),Database!$A:$AS,MATCH($S$1,Database!$A$1:$AS$1,),)))))/(((VLOOKUP(EDATE(B269,-12),Database!$A:$AS,MATCH($S$1,Database!$A$1:$AS$1,),))))</f>
        <v/>
      </c>
      <c r="T269" s="13">
        <f>((((VLOOKUP(B269,Database!$A:$AS,MATCH($T$1,Database!$A$1:$AS$1,),))))-(((VLOOKUP(EDATE(B269,-12),Database!$A:$AS,MATCH($T$1,Database!$A$1:$AS$1,),)))))/(((VLOOKUP(EDATE(B269,-12),Database!$A:$AS,MATCH($T$1,Database!$A$1:$AS$1,),))))</f>
        <v/>
      </c>
      <c r="U269" s="13">
        <f>((((VLOOKUP(B269,Database!$A:$AS,MATCH($U$1,Database!$A$1:$AS$1,),))))-(((VLOOKUP(EDATE(B269,-12),Database!$A:$AS,MATCH($U$1,Database!$A$1:$AS$1,),)))))/(((VLOOKUP(EDATE(B269,-12),Database!$A:$AS,MATCH($U$1,Database!$A$1:$AS$1,),))))</f>
        <v/>
      </c>
      <c r="V269" s="13">
        <f>((((VLOOKUP(B269,Database!$A:$AS,MATCH($V$1,Database!$A$1:$AS$1,),))))-(((VLOOKUP(EDATE(B269,-12),Database!$A:$AS,MATCH($V$1,Database!$A$1:$AS$1,),)))))/(((VLOOKUP(EDATE(B269,-12),Database!$A:$AS,MATCH($V$1,Database!$A$1:$AS$1,),))))</f>
        <v/>
      </c>
    </row>
    <row r="270" customFormat="1" s="94">
      <c r="A270" s="44" t="n"/>
      <c r="B270" s="85" t="n">
        <v>40360</v>
      </c>
      <c r="C270" s="13">
        <f>((((VLOOKUP(B270,Database!$A:$AS,MATCH($C$1,Database!$A$1:$AS$1,),))))-(((VLOOKUP(EDATE(B270,-12),Database!$A:$AS,MATCH($C$1,Database!$A$1:$AS$1,),)))))/(((VLOOKUP(EDATE(B270,-12),Database!$A:$AS,MATCH($C$1,Database!$A$1:$AS$1,),))))</f>
        <v/>
      </c>
      <c r="D270" s="13">
        <f>((((VLOOKUP(B270,Database!$A:$AS,MATCH($D$1,Database!$A$1:$AS$1,),))))-(((VLOOKUP(EDATE(B270,-12),Database!$A:$AS,MATCH($D$1,Database!$A$1:$AS$1,),)))))/(((VLOOKUP(EDATE(B270,-12),Database!$A:$AS,MATCH($D$1,Database!$A$1:$AS$1,),))))</f>
        <v/>
      </c>
      <c r="E270" s="13">
        <f>((((VLOOKUP(B270,Database!$A:$AS,MATCH($E$1,Database!$A$1:$AS$1,),))))-(((VLOOKUP(EDATE(B270,-12),Database!$A:$AS,MATCH($E$1,Database!$A$1:$AS$1,),)))))/(((VLOOKUP(EDATE(B270,-12),Database!$A:$AS,MATCH($E$1,Database!$A$1:$AS$1,),))))</f>
        <v/>
      </c>
      <c r="F270" s="13">
        <f>((((VLOOKUP(B270,Database!$A:$AS,MATCH($F$1,Database!$A$1:$AS$1,),))))-(((VLOOKUP(EDATE(B270,-12),Database!$A:$AS,MATCH($F$1,Database!$A$1:$AS$1,),)))))/(((VLOOKUP(EDATE(B270,-12),Database!$A:$AS,MATCH($F$1,Database!$A$1:$AS$1,),))))</f>
        <v/>
      </c>
      <c r="G270" s="13">
        <f>((((VLOOKUP(B270,Database!$A:$AS,MATCH($G$1,Database!$A$1:$AS$1,),))))-(((VLOOKUP(EDATE(B270,-12),Database!$A:$AS,MATCH($G$1,Database!$A$1:$AS$1,),)))))/(((VLOOKUP(EDATE(B270,-12),Database!$A:$AS,MATCH($G$1,Database!$A$1:$AS$1,),))))</f>
        <v/>
      </c>
      <c r="H270" s="13">
        <f>((((VLOOKUP(B270,Database!$A:$AS,MATCH($H$1,Database!$A$1:$AS$1,),))))-(((VLOOKUP(EDATE(B270,-12),Database!$A:$AS,MATCH($H$1,Database!$A$1:$AS$1,),)))))/(((VLOOKUP(EDATE(B270,-12),Database!$A:$AS,MATCH($H$1,Database!$A$1:$AS$1,),))))</f>
        <v/>
      </c>
      <c r="I270" s="13">
        <f>((((VLOOKUP(B270,Database!$A:$AS,MATCH($I$1,Database!$A$1:$AS$1,),))))-(((VLOOKUP(EDATE(B270,-12),Database!$A:$AS,MATCH($I$1,Database!$A$1:$AS$1,),)))))/(((VLOOKUP(EDATE(B270,-12),Database!$A:$AS,MATCH($I$1,Database!$A$1:$AS$1,),))))</f>
        <v/>
      </c>
      <c r="J270" s="13">
        <f>((((VLOOKUP(B270,Database!$A:$AS,MATCH($J$1,Database!$A$1:$AS$1,),))))-(((VLOOKUP(EDATE(B270,-12),Database!$A:$AS,MATCH($J$1,Database!$A$1:$AS$1,),)))))/(((VLOOKUP(EDATE(B270,-12),Database!$A:$AS,MATCH($J$1,Database!$A$1:$AS$1,),))))</f>
        <v/>
      </c>
      <c r="K270" s="13">
        <f>((((VLOOKUP(B270,Database!$A:$AS,MATCH($K$1,Database!$A$1:$AS$1,),))))-(((VLOOKUP(EDATE(B270,-12),Database!$A:$AS,MATCH($K$1,Database!$A$1:$AS$1,),)))))/(((VLOOKUP(EDATE(B270,-12),Database!$A:$AS,MATCH($K$1,Database!$A$1:$AS$1,),))))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((((VLOOKUP(B270,Database!$A:$AS,MATCH($O$1,Database!$A$1:$AS$1,),))))-(((VLOOKUP(EDATE(B270,-12),Database!$A:$AS,MATCH($O$1,Database!$A$1:$AS$1,),)))))/(((VLOOKUP(EDATE(B270,-12),Database!$A:$AS,MATCH($O$1,Database!$A$1:$AS$1,),))))</f>
        <v/>
      </c>
      <c r="P270" s="13">
        <f>((((VLOOKUP(B270,Database!$A:$AS,MATCH($P$1,Database!$A$1:$AS$1,),))))-(((VLOOKUP(EDATE(B270,-12),Database!$A:$AS,MATCH($P$1,Database!$A$1:$AS$1,),)))))/(((VLOOKUP(EDATE(B270,-12),Database!$A:$AS,MATCH($P$1,Database!$A$1:$AS$1,),))))</f>
        <v/>
      </c>
      <c r="Q270" s="13">
        <f>((((VLOOKUP(B270,Database!$A:$AS,MATCH($Q$1,Database!$A$1:$AS$1,),))))-(((VLOOKUP(EDATE(B270,-12),Database!$A:$AS,MATCH($Q$1,Database!$A$1:$AS$1,),)))))/(((VLOOKUP(EDATE(B270,-12),Database!$A:$AS,MATCH($Q$1,Database!$A$1:$AS$1,),))))</f>
        <v/>
      </c>
      <c r="R270" s="13">
        <f>((((VLOOKUP(B270,Database!$A:$AS,MATCH($R$1,Database!$A$1:$AS$1,),))))-(((VLOOKUP(EDATE(B270,-12),Database!$A:$AS,MATCH($R$1,Database!$A$1:$AS$1,),)))))/(((VLOOKUP(EDATE(B270,-12),Database!$A:$AS,MATCH($R$1,Database!$A$1:$AS$1,),))))</f>
        <v/>
      </c>
      <c r="S270" s="13">
        <f>((((VLOOKUP(B270,Database!$A:$AS,MATCH($S$1,Database!$A$1:$AS$1,),))))-(((VLOOKUP(EDATE(B270,-12),Database!$A:$AS,MATCH($S$1,Database!$A$1:$AS$1,),)))))/(((VLOOKUP(EDATE(B270,-12),Database!$A:$AS,MATCH($S$1,Database!$A$1:$AS$1,),))))</f>
        <v/>
      </c>
      <c r="T270" s="13">
        <f>((((VLOOKUP(B270,Database!$A:$AS,MATCH($T$1,Database!$A$1:$AS$1,),))))-(((VLOOKUP(EDATE(B270,-12),Database!$A:$AS,MATCH($T$1,Database!$A$1:$AS$1,),)))))/(((VLOOKUP(EDATE(B270,-12),Database!$A:$AS,MATCH($T$1,Database!$A$1:$AS$1,),))))</f>
        <v/>
      </c>
      <c r="U270" s="13">
        <f>((((VLOOKUP(B270,Database!$A:$AS,MATCH($U$1,Database!$A$1:$AS$1,),))))-(((VLOOKUP(EDATE(B270,-12),Database!$A:$AS,MATCH($U$1,Database!$A$1:$AS$1,),)))))/(((VLOOKUP(EDATE(B270,-12),Database!$A:$AS,MATCH($U$1,Database!$A$1:$AS$1,),))))</f>
        <v/>
      </c>
      <c r="V270" s="13">
        <f>((((VLOOKUP(B270,Database!$A:$AS,MATCH($V$1,Database!$A$1:$AS$1,),))))-(((VLOOKUP(EDATE(B270,-12),Database!$A:$AS,MATCH($V$1,Database!$A$1:$AS$1,),)))))/(((VLOOKUP(EDATE(B270,-12),Database!$A:$AS,MATCH($V$1,Database!$A$1:$AS$1,),))))</f>
        <v/>
      </c>
    </row>
    <row r="271" customFormat="1" s="94">
      <c r="A271" s="44" t="n"/>
      <c r="B271" s="85" t="n">
        <v>40391</v>
      </c>
      <c r="C271" s="13">
        <f>((((VLOOKUP(B271,Database!$A:$AS,MATCH($C$1,Database!$A$1:$AS$1,),))))-(((VLOOKUP(EDATE(B271,-12),Database!$A:$AS,MATCH($C$1,Database!$A$1:$AS$1,),)))))/(((VLOOKUP(EDATE(B271,-12),Database!$A:$AS,MATCH($C$1,Database!$A$1:$AS$1,),))))</f>
        <v/>
      </c>
      <c r="D271" s="13">
        <f>((((VLOOKUP(B271,Database!$A:$AS,MATCH($D$1,Database!$A$1:$AS$1,),))))-(((VLOOKUP(EDATE(B271,-12),Database!$A:$AS,MATCH($D$1,Database!$A$1:$AS$1,),)))))/(((VLOOKUP(EDATE(B271,-12),Database!$A:$AS,MATCH($D$1,Database!$A$1:$AS$1,),))))</f>
        <v/>
      </c>
      <c r="E271" s="13">
        <f>((((VLOOKUP(B271,Database!$A:$AS,MATCH($E$1,Database!$A$1:$AS$1,),))))-(((VLOOKUP(EDATE(B271,-12),Database!$A:$AS,MATCH($E$1,Database!$A$1:$AS$1,),)))))/(((VLOOKUP(EDATE(B271,-12),Database!$A:$AS,MATCH($E$1,Database!$A$1:$AS$1,),))))</f>
        <v/>
      </c>
      <c r="F271" s="13">
        <f>((((VLOOKUP(B271,Database!$A:$AS,MATCH($F$1,Database!$A$1:$AS$1,),))))-(((VLOOKUP(EDATE(B271,-12),Database!$A:$AS,MATCH($F$1,Database!$A$1:$AS$1,),)))))/(((VLOOKUP(EDATE(B271,-12),Database!$A:$AS,MATCH($F$1,Database!$A$1:$AS$1,),))))</f>
        <v/>
      </c>
      <c r="G271" s="13">
        <f>((((VLOOKUP(B271,Database!$A:$AS,MATCH($G$1,Database!$A$1:$AS$1,),))))-(((VLOOKUP(EDATE(B271,-12),Database!$A:$AS,MATCH($G$1,Database!$A$1:$AS$1,),)))))/(((VLOOKUP(EDATE(B271,-12),Database!$A:$AS,MATCH($G$1,Database!$A$1:$AS$1,),))))</f>
        <v/>
      </c>
      <c r="H271" s="13">
        <f>((((VLOOKUP(B271,Database!$A:$AS,MATCH($H$1,Database!$A$1:$AS$1,),))))-(((VLOOKUP(EDATE(B271,-12),Database!$A:$AS,MATCH($H$1,Database!$A$1:$AS$1,),)))))/(((VLOOKUP(EDATE(B271,-12),Database!$A:$AS,MATCH($H$1,Database!$A$1:$AS$1,),))))</f>
        <v/>
      </c>
      <c r="I271" s="13">
        <f>((((VLOOKUP(B271,Database!$A:$AS,MATCH($I$1,Database!$A$1:$AS$1,),))))-(((VLOOKUP(EDATE(B271,-12),Database!$A:$AS,MATCH($I$1,Database!$A$1:$AS$1,),)))))/(((VLOOKUP(EDATE(B271,-12),Database!$A:$AS,MATCH($I$1,Database!$A$1:$AS$1,),))))</f>
        <v/>
      </c>
      <c r="J271" s="13">
        <f>((((VLOOKUP(B271,Database!$A:$AS,MATCH($J$1,Database!$A$1:$AS$1,),))))-(((VLOOKUP(EDATE(B271,-12),Database!$A:$AS,MATCH($J$1,Database!$A$1:$AS$1,),)))))/(((VLOOKUP(EDATE(B271,-12),Database!$A:$AS,MATCH($J$1,Database!$A$1:$AS$1,),))))</f>
        <v/>
      </c>
      <c r="K271" s="13">
        <f>((((VLOOKUP(B271,Database!$A:$AS,MATCH($K$1,Database!$A$1:$AS$1,),))))-(((VLOOKUP(EDATE(B271,-12),Database!$A:$AS,MATCH($K$1,Database!$A$1:$AS$1,),)))))/(((VLOOKUP(EDATE(B271,-12),Database!$A:$AS,MATCH($K$1,Database!$A$1:$AS$1,),))))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((((VLOOKUP(B271,Database!$A:$AS,MATCH($O$1,Database!$A$1:$AS$1,),))))-(((VLOOKUP(EDATE(B271,-12),Database!$A:$AS,MATCH($O$1,Database!$A$1:$AS$1,),)))))/(((VLOOKUP(EDATE(B271,-12),Database!$A:$AS,MATCH($O$1,Database!$A$1:$AS$1,),))))</f>
        <v/>
      </c>
      <c r="P271" s="13">
        <f>((((VLOOKUP(B271,Database!$A:$AS,MATCH($P$1,Database!$A$1:$AS$1,),))))-(((VLOOKUP(EDATE(B271,-12),Database!$A:$AS,MATCH($P$1,Database!$A$1:$AS$1,),)))))/(((VLOOKUP(EDATE(B271,-12),Database!$A:$AS,MATCH($P$1,Database!$A$1:$AS$1,),))))</f>
        <v/>
      </c>
      <c r="Q271" s="13">
        <f>((((VLOOKUP(B271,Database!$A:$AS,MATCH($Q$1,Database!$A$1:$AS$1,),))))-(((VLOOKUP(EDATE(B271,-12),Database!$A:$AS,MATCH($Q$1,Database!$A$1:$AS$1,),)))))/(((VLOOKUP(EDATE(B271,-12),Database!$A:$AS,MATCH($Q$1,Database!$A$1:$AS$1,),))))</f>
        <v/>
      </c>
      <c r="R271" s="13">
        <f>((((VLOOKUP(B271,Database!$A:$AS,MATCH($R$1,Database!$A$1:$AS$1,),))))-(((VLOOKUP(EDATE(B271,-12),Database!$A:$AS,MATCH($R$1,Database!$A$1:$AS$1,),)))))/(((VLOOKUP(EDATE(B271,-12),Database!$A:$AS,MATCH($R$1,Database!$A$1:$AS$1,),))))</f>
        <v/>
      </c>
      <c r="S271" s="13">
        <f>((((VLOOKUP(B271,Database!$A:$AS,MATCH($S$1,Database!$A$1:$AS$1,),))))-(((VLOOKUP(EDATE(B271,-12),Database!$A:$AS,MATCH($S$1,Database!$A$1:$AS$1,),)))))/(((VLOOKUP(EDATE(B271,-12),Database!$A:$AS,MATCH($S$1,Database!$A$1:$AS$1,),))))</f>
        <v/>
      </c>
      <c r="T271" s="13">
        <f>((((VLOOKUP(B271,Database!$A:$AS,MATCH($T$1,Database!$A$1:$AS$1,),))))-(((VLOOKUP(EDATE(B271,-12),Database!$A:$AS,MATCH($T$1,Database!$A$1:$AS$1,),)))))/(((VLOOKUP(EDATE(B271,-12),Database!$A:$AS,MATCH($T$1,Database!$A$1:$AS$1,),))))</f>
        <v/>
      </c>
      <c r="U271" s="13">
        <f>((((VLOOKUP(B271,Database!$A:$AS,MATCH($U$1,Database!$A$1:$AS$1,),))))-(((VLOOKUP(EDATE(B271,-12),Database!$A:$AS,MATCH($U$1,Database!$A$1:$AS$1,),)))))/(((VLOOKUP(EDATE(B271,-12),Database!$A:$AS,MATCH($U$1,Database!$A$1:$AS$1,),))))</f>
        <v/>
      </c>
      <c r="V271" s="13">
        <f>((((VLOOKUP(B271,Database!$A:$AS,MATCH($V$1,Database!$A$1:$AS$1,),))))-(((VLOOKUP(EDATE(B271,-12),Database!$A:$AS,MATCH($V$1,Database!$A$1:$AS$1,),)))))/(((VLOOKUP(EDATE(B271,-12),Database!$A:$AS,MATCH($V$1,Database!$A$1:$AS$1,),))))</f>
        <v/>
      </c>
    </row>
    <row r="272" customFormat="1" s="94">
      <c r="A272" s="44" t="n"/>
      <c r="B272" s="85" t="n">
        <v>40422</v>
      </c>
      <c r="C272" s="13">
        <f>((((VLOOKUP(B272,Database!$A:$AS,MATCH($C$1,Database!$A$1:$AS$1,),))))-(((VLOOKUP(EDATE(B272,-12),Database!$A:$AS,MATCH($C$1,Database!$A$1:$AS$1,),)))))/(((VLOOKUP(EDATE(B272,-12),Database!$A:$AS,MATCH($C$1,Database!$A$1:$AS$1,),))))</f>
        <v/>
      </c>
      <c r="D272" s="13">
        <f>((((VLOOKUP(B272,Database!$A:$AS,MATCH($D$1,Database!$A$1:$AS$1,),))))-(((VLOOKUP(EDATE(B272,-12),Database!$A:$AS,MATCH($D$1,Database!$A$1:$AS$1,),)))))/(((VLOOKUP(EDATE(B272,-12),Database!$A:$AS,MATCH($D$1,Database!$A$1:$AS$1,),))))</f>
        <v/>
      </c>
      <c r="E272" s="13">
        <f>((((VLOOKUP(B272,Database!$A:$AS,MATCH($E$1,Database!$A$1:$AS$1,),))))-(((VLOOKUP(EDATE(B272,-12),Database!$A:$AS,MATCH($E$1,Database!$A$1:$AS$1,),)))))/(((VLOOKUP(EDATE(B272,-12),Database!$A:$AS,MATCH($E$1,Database!$A$1:$AS$1,),))))</f>
        <v/>
      </c>
      <c r="F272" s="13">
        <f>((((VLOOKUP(B272,Database!$A:$AS,MATCH($F$1,Database!$A$1:$AS$1,),))))-(((VLOOKUP(EDATE(B272,-12),Database!$A:$AS,MATCH($F$1,Database!$A$1:$AS$1,),)))))/(((VLOOKUP(EDATE(B272,-12),Database!$A:$AS,MATCH($F$1,Database!$A$1:$AS$1,),))))</f>
        <v/>
      </c>
      <c r="G272" s="13">
        <f>((((VLOOKUP(B272,Database!$A:$AS,MATCH($G$1,Database!$A$1:$AS$1,),))))-(((VLOOKUP(EDATE(B272,-12),Database!$A:$AS,MATCH($G$1,Database!$A$1:$AS$1,),)))))/(((VLOOKUP(EDATE(B272,-12),Database!$A:$AS,MATCH($G$1,Database!$A$1:$AS$1,),))))</f>
        <v/>
      </c>
      <c r="H272" s="13">
        <f>((((VLOOKUP(B272,Database!$A:$AS,MATCH($H$1,Database!$A$1:$AS$1,),))))-(((VLOOKUP(EDATE(B272,-12),Database!$A:$AS,MATCH($H$1,Database!$A$1:$AS$1,),)))))/(((VLOOKUP(EDATE(B272,-12),Database!$A:$AS,MATCH($H$1,Database!$A$1:$AS$1,),))))</f>
        <v/>
      </c>
      <c r="I272" s="13">
        <f>((((VLOOKUP(B272,Database!$A:$AS,MATCH($I$1,Database!$A$1:$AS$1,),))))-(((VLOOKUP(EDATE(B272,-12),Database!$A:$AS,MATCH($I$1,Database!$A$1:$AS$1,),)))))/(((VLOOKUP(EDATE(B272,-12),Database!$A:$AS,MATCH($I$1,Database!$A$1:$AS$1,),))))</f>
        <v/>
      </c>
      <c r="J272" s="13">
        <f>((((VLOOKUP(B272,Database!$A:$AS,MATCH($J$1,Database!$A$1:$AS$1,),))))-(((VLOOKUP(EDATE(B272,-12),Database!$A:$AS,MATCH($J$1,Database!$A$1:$AS$1,),)))))/(((VLOOKUP(EDATE(B272,-12),Database!$A:$AS,MATCH($J$1,Database!$A$1:$AS$1,),))))</f>
        <v/>
      </c>
      <c r="K272" s="13">
        <f>((((VLOOKUP(B272,Database!$A:$AS,MATCH($K$1,Database!$A$1:$AS$1,),))))-(((VLOOKUP(EDATE(B272,-12),Database!$A:$AS,MATCH($K$1,Database!$A$1:$AS$1,),)))))/(((VLOOKUP(EDATE(B272,-12),Database!$A:$AS,MATCH($K$1,Database!$A$1:$AS$1,),))))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((((VLOOKUP(B272,Database!$A:$AS,MATCH($O$1,Database!$A$1:$AS$1,),))))-(((VLOOKUP(EDATE(B272,-12),Database!$A:$AS,MATCH($O$1,Database!$A$1:$AS$1,),)))))/(((VLOOKUP(EDATE(B272,-12),Database!$A:$AS,MATCH($O$1,Database!$A$1:$AS$1,),))))</f>
        <v/>
      </c>
      <c r="P272" s="13">
        <f>((((VLOOKUP(B272,Database!$A:$AS,MATCH($P$1,Database!$A$1:$AS$1,),))))-(((VLOOKUP(EDATE(B272,-12),Database!$A:$AS,MATCH($P$1,Database!$A$1:$AS$1,),)))))/(((VLOOKUP(EDATE(B272,-12),Database!$A:$AS,MATCH($P$1,Database!$A$1:$AS$1,),))))</f>
        <v/>
      </c>
      <c r="Q272" s="13">
        <f>((((VLOOKUP(B272,Database!$A:$AS,MATCH($Q$1,Database!$A$1:$AS$1,),))))-(((VLOOKUP(EDATE(B272,-12),Database!$A:$AS,MATCH($Q$1,Database!$A$1:$AS$1,),)))))/(((VLOOKUP(EDATE(B272,-12),Database!$A:$AS,MATCH($Q$1,Database!$A$1:$AS$1,),))))</f>
        <v/>
      </c>
      <c r="R272" s="13">
        <f>((((VLOOKUP(B272,Database!$A:$AS,MATCH($R$1,Database!$A$1:$AS$1,),))))-(((VLOOKUP(EDATE(B272,-12),Database!$A:$AS,MATCH($R$1,Database!$A$1:$AS$1,),)))))/(((VLOOKUP(EDATE(B272,-12),Database!$A:$AS,MATCH($R$1,Database!$A$1:$AS$1,),))))</f>
        <v/>
      </c>
      <c r="S272" s="13">
        <f>((((VLOOKUP(B272,Database!$A:$AS,MATCH($S$1,Database!$A$1:$AS$1,),))))-(((VLOOKUP(EDATE(B272,-12),Database!$A:$AS,MATCH($S$1,Database!$A$1:$AS$1,),)))))/(((VLOOKUP(EDATE(B272,-12),Database!$A:$AS,MATCH($S$1,Database!$A$1:$AS$1,),))))</f>
        <v/>
      </c>
      <c r="T272" s="13">
        <f>((((VLOOKUP(B272,Database!$A:$AS,MATCH($T$1,Database!$A$1:$AS$1,),))))-(((VLOOKUP(EDATE(B272,-12),Database!$A:$AS,MATCH($T$1,Database!$A$1:$AS$1,),)))))/(((VLOOKUP(EDATE(B272,-12),Database!$A:$AS,MATCH($T$1,Database!$A$1:$AS$1,),))))</f>
        <v/>
      </c>
      <c r="U272" s="13">
        <f>((((VLOOKUP(B272,Database!$A:$AS,MATCH($U$1,Database!$A$1:$AS$1,),))))-(((VLOOKUP(EDATE(B272,-12),Database!$A:$AS,MATCH($U$1,Database!$A$1:$AS$1,),)))))/(((VLOOKUP(EDATE(B272,-12),Database!$A:$AS,MATCH($U$1,Database!$A$1:$AS$1,),))))</f>
        <v/>
      </c>
      <c r="V272" s="13">
        <f>((((VLOOKUP(B272,Database!$A:$AS,MATCH($V$1,Database!$A$1:$AS$1,),))))-(((VLOOKUP(EDATE(B272,-12),Database!$A:$AS,MATCH($V$1,Database!$A$1:$AS$1,),)))))/(((VLOOKUP(EDATE(B272,-12),Database!$A:$AS,MATCH($V$1,Database!$A$1:$AS$1,),))))</f>
        <v/>
      </c>
    </row>
    <row r="273" customFormat="1" s="94">
      <c r="A273" s="44" t="n"/>
      <c r="B273" s="85" t="n">
        <v>40452</v>
      </c>
      <c r="C273" s="13">
        <f>((((VLOOKUP(B273,Database!$A:$AS,MATCH($C$1,Database!$A$1:$AS$1,),))))-(((VLOOKUP(EDATE(B273,-12),Database!$A:$AS,MATCH($C$1,Database!$A$1:$AS$1,),)))))/(((VLOOKUP(EDATE(B273,-12),Database!$A:$AS,MATCH($C$1,Database!$A$1:$AS$1,),))))</f>
        <v/>
      </c>
      <c r="D273" s="13">
        <f>((((VLOOKUP(B273,Database!$A:$AS,MATCH($D$1,Database!$A$1:$AS$1,),))))-(((VLOOKUP(EDATE(B273,-12),Database!$A:$AS,MATCH($D$1,Database!$A$1:$AS$1,),)))))/(((VLOOKUP(EDATE(B273,-12),Database!$A:$AS,MATCH($D$1,Database!$A$1:$AS$1,),))))</f>
        <v/>
      </c>
      <c r="E273" s="13">
        <f>((((VLOOKUP(B273,Database!$A:$AS,MATCH($E$1,Database!$A$1:$AS$1,),))))-(((VLOOKUP(EDATE(B273,-12),Database!$A:$AS,MATCH($E$1,Database!$A$1:$AS$1,),)))))/(((VLOOKUP(EDATE(B273,-12),Database!$A:$AS,MATCH($E$1,Database!$A$1:$AS$1,),))))</f>
        <v/>
      </c>
      <c r="F273" s="13">
        <f>((((VLOOKUP(B273,Database!$A:$AS,MATCH($F$1,Database!$A$1:$AS$1,),))))-(((VLOOKUP(EDATE(B273,-12),Database!$A:$AS,MATCH($F$1,Database!$A$1:$AS$1,),)))))/(((VLOOKUP(EDATE(B273,-12),Database!$A:$AS,MATCH($F$1,Database!$A$1:$AS$1,),))))</f>
        <v/>
      </c>
      <c r="G273" s="13">
        <f>((((VLOOKUP(B273,Database!$A:$AS,MATCH($G$1,Database!$A$1:$AS$1,),))))-(((VLOOKUP(EDATE(B273,-12),Database!$A:$AS,MATCH($G$1,Database!$A$1:$AS$1,),)))))/(((VLOOKUP(EDATE(B273,-12),Database!$A:$AS,MATCH($G$1,Database!$A$1:$AS$1,),))))</f>
        <v/>
      </c>
      <c r="H273" s="13">
        <f>((((VLOOKUP(B273,Database!$A:$AS,MATCH($H$1,Database!$A$1:$AS$1,),))))-(((VLOOKUP(EDATE(B273,-12),Database!$A:$AS,MATCH($H$1,Database!$A$1:$AS$1,),)))))/(((VLOOKUP(EDATE(B273,-12),Database!$A:$AS,MATCH($H$1,Database!$A$1:$AS$1,),))))</f>
        <v/>
      </c>
      <c r="I273" s="13">
        <f>((((VLOOKUP(B273,Database!$A:$AS,MATCH($I$1,Database!$A$1:$AS$1,),))))-(((VLOOKUP(EDATE(B273,-12),Database!$A:$AS,MATCH($I$1,Database!$A$1:$AS$1,),)))))/(((VLOOKUP(EDATE(B273,-12),Database!$A:$AS,MATCH($I$1,Database!$A$1:$AS$1,),))))</f>
        <v/>
      </c>
      <c r="J273" s="13">
        <f>((((VLOOKUP(B273,Database!$A:$AS,MATCH($J$1,Database!$A$1:$AS$1,),))))-(((VLOOKUP(EDATE(B273,-12),Database!$A:$AS,MATCH($J$1,Database!$A$1:$AS$1,),)))))/(((VLOOKUP(EDATE(B273,-12),Database!$A:$AS,MATCH($J$1,Database!$A$1:$AS$1,),))))</f>
        <v/>
      </c>
      <c r="K273" s="13">
        <f>((((VLOOKUP(B273,Database!$A:$AS,MATCH($K$1,Database!$A$1:$AS$1,),))))-(((VLOOKUP(EDATE(B273,-12),Database!$A:$AS,MATCH($K$1,Database!$A$1:$AS$1,),)))))/(((VLOOKUP(EDATE(B273,-12),Database!$A:$AS,MATCH($K$1,Database!$A$1:$AS$1,),))))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((((VLOOKUP(B273,Database!$A:$AS,MATCH($O$1,Database!$A$1:$AS$1,),))))-(((VLOOKUP(EDATE(B273,-12),Database!$A:$AS,MATCH($O$1,Database!$A$1:$AS$1,),)))))/(((VLOOKUP(EDATE(B273,-12),Database!$A:$AS,MATCH($O$1,Database!$A$1:$AS$1,),))))</f>
        <v/>
      </c>
      <c r="P273" s="13">
        <f>((((VLOOKUP(B273,Database!$A:$AS,MATCH($P$1,Database!$A$1:$AS$1,),))))-(((VLOOKUP(EDATE(B273,-12),Database!$A:$AS,MATCH($P$1,Database!$A$1:$AS$1,),)))))/(((VLOOKUP(EDATE(B273,-12),Database!$A:$AS,MATCH($P$1,Database!$A$1:$AS$1,),))))</f>
        <v/>
      </c>
      <c r="Q273" s="13">
        <f>((((VLOOKUP(B273,Database!$A:$AS,MATCH($Q$1,Database!$A$1:$AS$1,),))))-(((VLOOKUP(EDATE(B273,-12),Database!$A:$AS,MATCH($Q$1,Database!$A$1:$AS$1,),)))))/(((VLOOKUP(EDATE(B273,-12),Database!$A:$AS,MATCH($Q$1,Database!$A$1:$AS$1,),))))</f>
        <v/>
      </c>
      <c r="R273" s="13">
        <f>((((VLOOKUP(B273,Database!$A:$AS,MATCH($R$1,Database!$A$1:$AS$1,),))))-(((VLOOKUP(EDATE(B273,-12),Database!$A:$AS,MATCH($R$1,Database!$A$1:$AS$1,),)))))/(((VLOOKUP(EDATE(B273,-12),Database!$A:$AS,MATCH($R$1,Database!$A$1:$AS$1,),))))</f>
        <v/>
      </c>
      <c r="S273" s="13">
        <f>((((VLOOKUP(B273,Database!$A:$AS,MATCH($S$1,Database!$A$1:$AS$1,),))))-(((VLOOKUP(EDATE(B273,-12),Database!$A:$AS,MATCH($S$1,Database!$A$1:$AS$1,),)))))/(((VLOOKUP(EDATE(B273,-12),Database!$A:$AS,MATCH($S$1,Database!$A$1:$AS$1,),))))</f>
        <v/>
      </c>
      <c r="T273" s="13">
        <f>((((VLOOKUP(B273,Database!$A:$AS,MATCH($T$1,Database!$A$1:$AS$1,),))))-(((VLOOKUP(EDATE(B273,-12),Database!$A:$AS,MATCH($T$1,Database!$A$1:$AS$1,),)))))/(((VLOOKUP(EDATE(B273,-12),Database!$A:$AS,MATCH($T$1,Database!$A$1:$AS$1,),))))</f>
        <v/>
      </c>
      <c r="U273" s="13">
        <f>((((VLOOKUP(B273,Database!$A:$AS,MATCH($U$1,Database!$A$1:$AS$1,),))))-(((VLOOKUP(EDATE(B273,-12),Database!$A:$AS,MATCH($U$1,Database!$A$1:$AS$1,),)))))/(((VLOOKUP(EDATE(B273,-12),Database!$A:$AS,MATCH($U$1,Database!$A$1:$AS$1,),))))</f>
        <v/>
      </c>
      <c r="V273" s="13">
        <f>((((VLOOKUP(B273,Database!$A:$AS,MATCH($V$1,Database!$A$1:$AS$1,),))))-(((VLOOKUP(EDATE(B273,-12),Database!$A:$AS,MATCH($V$1,Database!$A$1:$AS$1,),)))))/(((VLOOKUP(EDATE(B273,-12),Database!$A:$AS,MATCH($V$1,Database!$A$1:$AS$1,),))))</f>
        <v/>
      </c>
    </row>
    <row r="274" customFormat="1" s="94">
      <c r="A274" s="44" t="n"/>
      <c r="B274" s="85" t="n">
        <v>40483</v>
      </c>
      <c r="C274" s="13">
        <f>((((VLOOKUP(B274,Database!$A:$AS,MATCH($C$1,Database!$A$1:$AS$1,),))))-(((VLOOKUP(EDATE(B274,-12),Database!$A:$AS,MATCH($C$1,Database!$A$1:$AS$1,),)))))/(((VLOOKUP(EDATE(B274,-12),Database!$A:$AS,MATCH($C$1,Database!$A$1:$AS$1,),))))</f>
        <v/>
      </c>
      <c r="D274" s="13">
        <f>((((VLOOKUP(B274,Database!$A:$AS,MATCH($D$1,Database!$A$1:$AS$1,),))))-(((VLOOKUP(EDATE(B274,-12),Database!$A:$AS,MATCH($D$1,Database!$A$1:$AS$1,),)))))/(((VLOOKUP(EDATE(B274,-12),Database!$A:$AS,MATCH($D$1,Database!$A$1:$AS$1,),))))</f>
        <v/>
      </c>
      <c r="E274" s="13">
        <f>((((VLOOKUP(B274,Database!$A:$AS,MATCH($E$1,Database!$A$1:$AS$1,),))))-(((VLOOKUP(EDATE(B274,-12),Database!$A:$AS,MATCH($E$1,Database!$A$1:$AS$1,),)))))/(((VLOOKUP(EDATE(B274,-12),Database!$A:$AS,MATCH($E$1,Database!$A$1:$AS$1,),))))</f>
        <v/>
      </c>
      <c r="F274" s="13">
        <f>((((VLOOKUP(B274,Database!$A:$AS,MATCH($F$1,Database!$A$1:$AS$1,),))))-(((VLOOKUP(EDATE(B274,-12),Database!$A:$AS,MATCH($F$1,Database!$A$1:$AS$1,),)))))/(((VLOOKUP(EDATE(B274,-12),Database!$A:$AS,MATCH($F$1,Database!$A$1:$AS$1,),))))</f>
        <v/>
      </c>
      <c r="G274" s="13">
        <f>((((VLOOKUP(B274,Database!$A:$AS,MATCH($G$1,Database!$A$1:$AS$1,),))))-(((VLOOKUP(EDATE(B274,-12),Database!$A:$AS,MATCH($G$1,Database!$A$1:$AS$1,),)))))/(((VLOOKUP(EDATE(B274,-12),Database!$A:$AS,MATCH($G$1,Database!$A$1:$AS$1,),))))</f>
        <v/>
      </c>
      <c r="H274" s="13">
        <f>((((VLOOKUP(B274,Database!$A:$AS,MATCH($H$1,Database!$A$1:$AS$1,),))))-(((VLOOKUP(EDATE(B274,-12),Database!$A:$AS,MATCH($H$1,Database!$A$1:$AS$1,),)))))/(((VLOOKUP(EDATE(B274,-12),Database!$A:$AS,MATCH($H$1,Database!$A$1:$AS$1,),))))</f>
        <v/>
      </c>
      <c r="I274" s="13">
        <f>((((VLOOKUP(B274,Database!$A:$AS,MATCH($I$1,Database!$A$1:$AS$1,),))))-(((VLOOKUP(EDATE(B274,-12),Database!$A:$AS,MATCH($I$1,Database!$A$1:$AS$1,),)))))/(((VLOOKUP(EDATE(B274,-12),Database!$A:$AS,MATCH($I$1,Database!$A$1:$AS$1,),))))</f>
        <v/>
      </c>
      <c r="J274" s="13">
        <f>((((VLOOKUP(B274,Database!$A:$AS,MATCH($J$1,Database!$A$1:$AS$1,),))))-(((VLOOKUP(EDATE(B274,-12),Database!$A:$AS,MATCH($J$1,Database!$A$1:$AS$1,),)))))/(((VLOOKUP(EDATE(B274,-12),Database!$A:$AS,MATCH($J$1,Database!$A$1:$AS$1,),))))</f>
        <v/>
      </c>
      <c r="K274" s="13">
        <f>((((VLOOKUP(B274,Database!$A:$AS,MATCH($K$1,Database!$A$1:$AS$1,),))))-(((VLOOKUP(EDATE(B274,-12),Database!$A:$AS,MATCH($K$1,Database!$A$1:$AS$1,),)))))/(((VLOOKUP(EDATE(B274,-12),Database!$A:$AS,MATCH($K$1,Database!$A$1:$AS$1,),))))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((((VLOOKUP(B274,Database!$A:$AS,MATCH($O$1,Database!$A$1:$AS$1,),))))-(((VLOOKUP(EDATE(B274,-12),Database!$A:$AS,MATCH($O$1,Database!$A$1:$AS$1,),)))))/(((VLOOKUP(EDATE(B274,-12),Database!$A:$AS,MATCH($O$1,Database!$A$1:$AS$1,),))))</f>
        <v/>
      </c>
      <c r="P274" s="13">
        <f>((((VLOOKUP(B274,Database!$A:$AS,MATCH($P$1,Database!$A$1:$AS$1,),))))-(((VLOOKUP(EDATE(B274,-12),Database!$A:$AS,MATCH($P$1,Database!$A$1:$AS$1,),)))))/(((VLOOKUP(EDATE(B274,-12),Database!$A:$AS,MATCH($P$1,Database!$A$1:$AS$1,),))))</f>
        <v/>
      </c>
      <c r="Q274" s="13">
        <f>((((VLOOKUP(B274,Database!$A:$AS,MATCH($Q$1,Database!$A$1:$AS$1,),))))-(((VLOOKUP(EDATE(B274,-12),Database!$A:$AS,MATCH($Q$1,Database!$A$1:$AS$1,),)))))/(((VLOOKUP(EDATE(B274,-12),Database!$A:$AS,MATCH($Q$1,Database!$A$1:$AS$1,),))))</f>
        <v/>
      </c>
      <c r="R274" s="13">
        <f>((((VLOOKUP(B274,Database!$A:$AS,MATCH($R$1,Database!$A$1:$AS$1,),))))-(((VLOOKUP(EDATE(B274,-12),Database!$A:$AS,MATCH($R$1,Database!$A$1:$AS$1,),)))))/(((VLOOKUP(EDATE(B274,-12),Database!$A:$AS,MATCH($R$1,Database!$A$1:$AS$1,),))))</f>
        <v/>
      </c>
      <c r="S274" s="13">
        <f>((((VLOOKUP(B274,Database!$A:$AS,MATCH($S$1,Database!$A$1:$AS$1,),))))-(((VLOOKUP(EDATE(B274,-12),Database!$A:$AS,MATCH($S$1,Database!$A$1:$AS$1,),)))))/(((VLOOKUP(EDATE(B274,-12),Database!$A:$AS,MATCH($S$1,Database!$A$1:$AS$1,),))))</f>
        <v/>
      </c>
      <c r="T274" s="13">
        <f>((((VLOOKUP(B274,Database!$A:$AS,MATCH($T$1,Database!$A$1:$AS$1,),))))-(((VLOOKUP(EDATE(B274,-12),Database!$A:$AS,MATCH($T$1,Database!$A$1:$AS$1,),)))))/(((VLOOKUP(EDATE(B274,-12),Database!$A:$AS,MATCH($T$1,Database!$A$1:$AS$1,),))))</f>
        <v/>
      </c>
      <c r="U274" s="13">
        <f>((((VLOOKUP(B274,Database!$A:$AS,MATCH($U$1,Database!$A$1:$AS$1,),))))-(((VLOOKUP(EDATE(B274,-12),Database!$A:$AS,MATCH($U$1,Database!$A$1:$AS$1,),)))))/(((VLOOKUP(EDATE(B274,-12),Database!$A:$AS,MATCH($U$1,Database!$A$1:$AS$1,),))))</f>
        <v/>
      </c>
      <c r="V274" s="13">
        <f>((((VLOOKUP(B274,Database!$A:$AS,MATCH($V$1,Database!$A$1:$AS$1,),))))-(((VLOOKUP(EDATE(B274,-12),Database!$A:$AS,MATCH($V$1,Database!$A$1:$AS$1,),)))))/(((VLOOKUP(EDATE(B274,-12),Database!$A:$AS,MATCH($V$1,Database!$A$1:$AS$1,),))))</f>
        <v/>
      </c>
    </row>
    <row r="275" customFormat="1" s="94">
      <c r="A275" s="44" t="n"/>
      <c r="B275" s="85" t="n">
        <v>40513</v>
      </c>
      <c r="C275" s="13">
        <f>((((VLOOKUP(B275,Database!$A:$AS,MATCH($C$1,Database!$A$1:$AS$1,),))))-(((VLOOKUP(EDATE(B275,-12),Database!$A:$AS,MATCH($C$1,Database!$A$1:$AS$1,),)))))/(((VLOOKUP(EDATE(B275,-12),Database!$A:$AS,MATCH($C$1,Database!$A$1:$AS$1,),))))</f>
        <v/>
      </c>
      <c r="D275" s="13">
        <f>((((VLOOKUP(B275,Database!$A:$AS,MATCH($D$1,Database!$A$1:$AS$1,),))))-(((VLOOKUP(EDATE(B275,-12),Database!$A:$AS,MATCH($D$1,Database!$A$1:$AS$1,),)))))/(((VLOOKUP(EDATE(B275,-12),Database!$A:$AS,MATCH($D$1,Database!$A$1:$AS$1,),))))</f>
        <v/>
      </c>
      <c r="E275" s="13">
        <f>((((VLOOKUP(B275,Database!$A:$AS,MATCH($E$1,Database!$A$1:$AS$1,),))))-(((VLOOKUP(EDATE(B275,-12),Database!$A:$AS,MATCH($E$1,Database!$A$1:$AS$1,),)))))/(((VLOOKUP(EDATE(B275,-12),Database!$A:$AS,MATCH($E$1,Database!$A$1:$AS$1,),))))</f>
        <v/>
      </c>
      <c r="F275" s="13">
        <f>((((VLOOKUP(B275,Database!$A:$AS,MATCH($F$1,Database!$A$1:$AS$1,),))))-(((VLOOKUP(EDATE(B275,-12),Database!$A:$AS,MATCH($F$1,Database!$A$1:$AS$1,),)))))/(((VLOOKUP(EDATE(B275,-12),Database!$A:$AS,MATCH($F$1,Database!$A$1:$AS$1,),))))</f>
        <v/>
      </c>
      <c r="G275" s="13">
        <f>((((VLOOKUP(B275,Database!$A:$AS,MATCH($G$1,Database!$A$1:$AS$1,),))))-(((VLOOKUP(EDATE(B275,-12),Database!$A:$AS,MATCH($G$1,Database!$A$1:$AS$1,),)))))/(((VLOOKUP(EDATE(B275,-12),Database!$A:$AS,MATCH($G$1,Database!$A$1:$AS$1,),))))</f>
        <v/>
      </c>
      <c r="H275" s="13">
        <f>((((VLOOKUP(B275,Database!$A:$AS,MATCH($H$1,Database!$A$1:$AS$1,),))))-(((VLOOKUP(EDATE(B275,-12),Database!$A:$AS,MATCH($H$1,Database!$A$1:$AS$1,),)))))/(((VLOOKUP(EDATE(B275,-12),Database!$A:$AS,MATCH($H$1,Database!$A$1:$AS$1,),))))</f>
        <v/>
      </c>
      <c r="I275" s="13">
        <f>((((VLOOKUP(B275,Database!$A:$AS,MATCH($I$1,Database!$A$1:$AS$1,),))))-(((VLOOKUP(EDATE(B275,-12),Database!$A:$AS,MATCH($I$1,Database!$A$1:$AS$1,),)))))/(((VLOOKUP(EDATE(B275,-12),Database!$A:$AS,MATCH($I$1,Database!$A$1:$AS$1,),))))</f>
        <v/>
      </c>
      <c r="J275" s="13">
        <f>((((VLOOKUP(B275,Database!$A:$AS,MATCH($J$1,Database!$A$1:$AS$1,),))))-(((VLOOKUP(EDATE(B275,-12),Database!$A:$AS,MATCH($J$1,Database!$A$1:$AS$1,),)))))/(((VLOOKUP(EDATE(B275,-12),Database!$A:$AS,MATCH($J$1,Database!$A$1:$AS$1,),))))</f>
        <v/>
      </c>
      <c r="K275" s="13">
        <f>((((VLOOKUP(B275,Database!$A:$AS,MATCH($K$1,Database!$A$1:$AS$1,),))))-(((VLOOKUP(EDATE(B275,-12),Database!$A:$AS,MATCH($K$1,Database!$A$1:$AS$1,),)))))/(((VLOOKUP(EDATE(B275,-12),Database!$A:$AS,MATCH($K$1,Database!$A$1:$AS$1,),))))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((((VLOOKUP(B275,Database!$A:$AS,MATCH($O$1,Database!$A$1:$AS$1,),))))-(((VLOOKUP(EDATE(B275,-12),Database!$A:$AS,MATCH($O$1,Database!$A$1:$AS$1,),)))))/(((VLOOKUP(EDATE(B275,-12),Database!$A:$AS,MATCH($O$1,Database!$A$1:$AS$1,),))))</f>
        <v/>
      </c>
      <c r="P275" s="13">
        <f>((((VLOOKUP(B275,Database!$A:$AS,MATCH($P$1,Database!$A$1:$AS$1,),))))-(((VLOOKUP(EDATE(B275,-12),Database!$A:$AS,MATCH($P$1,Database!$A$1:$AS$1,),)))))/(((VLOOKUP(EDATE(B275,-12),Database!$A:$AS,MATCH($P$1,Database!$A$1:$AS$1,),))))</f>
        <v/>
      </c>
      <c r="Q275" s="13">
        <f>((((VLOOKUP(B275,Database!$A:$AS,MATCH($Q$1,Database!$A$1:$AS$1,),))))-(((VLOOKUP(EDATE(B275,-12),Database!$A:$AS,MATCH($Q$1,Database!$A$1:$AS$1,),)))))/(((VLOOKUP(EDATE(B275,-12),Database!$A:$AS,MATCH($Q$1,Database!$A$1:$AS$1,),))))</f>
        <v/>
      </c>
      <c r="R275" s="13">
        <f>((((VLOOKUP(B275,Database!$A:$AS,MATCH($R$1,Database!$A$1:$AS$1,),))))-(((VLOOKUP(EDATE(B275,-12),Database!$A:$AS,MATCH($R$1,Database!$A$1:$AS$1,),)))))/(((VLOOKUP(EDATE(B275,-12),Database!$A:$AS,MATCH($R$1,Database!$A$1:$AS$1,),))))</f>
        <v/>
      </c>
      <c r="S275" s="13">
        <f>((((VLOOKUP(B275,Database!$A:$AS,MATCH($S$1,Database!$A$1:$AS$1,),))))-(((VLOOKUP(EDATE(B275,-12),Database!$A:$AS,MATCH($S$1,Database!$A$1:$AS$1,),)))))/(((VLOOKUP(EDATE(B275,-12),Database!$A:$AS,MATCH($S$1,Database!$A$1:$AS$1,),))))</f>
        <v/>
      </c>
      <c r="T275" s="13">
        <f>((((VLOOKUP(B275,Database!$A:$AS,MATCH($T$1,Database!$A$1:$AS$1,),))))-(((VLOOKUP(EDATE(B275,-12),Database!$A:$AS,MATCH($T$1,Database!$A$1:$AS$1,),)))))/(((VLOOKUP(EDATE(B275,-12),Database!$A:$AS,MATCH($T$1,Database!$A$1:$AS$1,),))))</f>
        <v/>
      </c>
      <c r="U275" s="13">
        <f>((((VLOOKUP(B275,Database!$A:$AS,MATCH($U$1,Database!$A$1:$AS$1,),))))-(((VLOOKUP(EDATE(B275,-12),Database!$A:$AS,MATCH($U$1,Database!$A$1:$AS$1,),)))))/(((VLOOKUP(EDATE(B275,-12),Database!$A:$AS,MATCH($U$1,Database!$A$1:$AS$1,),))))</f>
        <v/>
      </c>
      <c r="V275" s="13">
        <f>((((VLOOKUP(B275,Database!$A:$AS,MATCH($V$1,Database!$A$1:$AS$1,),))))-(((VLOOKUP(EDATE(B275,-12),Database!$A:$AS,MATCH($V$1,Database!$A$1:$AS$1,),)))))/(((VLOOKUP(EDATE(B275,-12),Database!$A:$AS,MATCH($V$1,Database!$A$1:$AS$1,),))))</f>
        <v/>
      </c>
    </row>
    <row r="276" customFormat="1" s="94">
      <c r="A276" s="44" t="n"/>
      <c r="B276" s="85" t="n">
        <v>40544</v>
      </c>
      <c r="C276" s="13">
        <f>((((VLOOKUP(B276,Database!$A:$AS,MATCH($C$1,Database!$A$1:$AS$1,),))))-(((VLOOKUP(EDATE(B276,-12),Database!$A:$AS,MATCH($C$1,Database!$A$1:$AS$1,),)))))/(((VLOOKUP(EDATE(B276,-12),Database!$A:$AS,MATCH($C$1,Database!$A$1:$AS$1,),))))</f>
        <v/>
      </c>
      <c r="D276" s="13">
        <f>((((VLOOKUP(B276,Database!$A:$AS,MATCH($D$1,Database!$A$1:$AS$1,),))))-(((VLOOKUP(EDATE(B276,-12),Database!$A:$AS,MATCH($D$1,Database!$A$1:$AS$1,),)))))/(((VLOOKUP(EDATE(B276,-12),Database!$A:$AS,MATCH($D$1,Database!$A$1:$AS$1,),))))</f>
        <v/>
      </c>
      <c r="E276" s="13">
        <f>((((VLOOKUP(B276,Database!$A:$AS,MATCH($E$1,Database!$A$1:$AS$1,),))))-(((VLOOKUP(EDATE(B276,-12),Database!$A:$AS,MATCH($E$1,Database!$A$1:$AS$1,),)))))/(((VLOOKUP(EDATE(B276,-12),Database!$A:$AS,MATCH($E$1,Database!$A$1:$AS$1,),))))</f>
        <v/>
      </c>
      <c r="F276" s="13">
        <f>((((VLOOKUP(B276,Database!$A:$AS,MATCH($F$1,Database!$A$1:$AS$1,),))))-(((VLOOKUP(EDATE(B276,-12),Database!$A:$AS,MATCH($F$1,Database!$A$1:$AS$1,),)))))/(((VLOOKUP(EDATE(B276,-12),Database!$A:$AS,MATCH($F$1,Database!$A$1:$AS$1,),))))</f>
        <v/>
      </c>
      <c r="G276" s="13">
        <f>((((VLOOKUP(B276,Database!$A:$AS,MATCH($G$1,Database!$A$1:$AS$1,),))))-(((VLOOKUP(EDATE(B276,-12),Database!$A:$AS,MATCH($G$1,Database!$A$1:$AS$1,),)))))/(((VLOOKUP(EDATE(B276,-12),Database!$A:$AS,MATCH($G$1,Database!$A$1:$AS$1,),))))</f>
        <v/>
      </c>
      <c r="H276" s="13">
        <f>((((VLOOKUP(B276,Database!$A:$AS,MATCH($H$1,Database!$A$1:$AS$1,),))))-(((VLOOKUP(EDATE(B276,-12),Database!$A:$AS,MATCH($H$1,Database!$A$1:$AS$1,),)))))/(((VLOOKUP(EDATE(B276,-12),Database!$A:$AS,MATCH($H$1,Database!$A$1:$AS$1,),))))</f>
        <v/>
      </c>
      <c r="I276" s="13">
        <f>((((VLOOKUP(B276,Database!$A:$AS,MATCH($I$1,Database!$A$1:$AS$1,),))))-(((VLOOKUP(EDATE(B276,-12),Database!$A:$AS,MATCH($I$1,Database!$A$1:$AS$1,),)))))/(((VLOOKUP(EDATE(B276,-12),Database!$A:$AS,MATCH($I$1,Database!$A$1:$AS$1,),))))</f>
        <v/>
      </c>
      <c r="J276" s="13">
        <f>((((VLOOKUP(B276,Database!$A:$AS,MATCH($J$1,Database!$A$1:$AS$1,),))))-(((VLOOKUP(EDATE(B276,-12),Database!$A:$AS,MATCH($J$1,Database!$A$1:$AS$1,),)))))/(((VLOOKUP(EDATE(B276,-12),Database!$A:$AS,MATCH($J$1,Database!$A$1:$AS$1,),))))</f>
        <v/>
      </c>
      <c r="K276" s="13">
        <f>((((VLOOKUP(B276,Database!$A:$AS,MATCH($K$1,Database!$A$1:$AS$1,),))))-(((VLOOKUP(EDATE(B276,-12),Database!$A:$AS,MATCH($K$1,Database!$A$1:$AS$1,),)))))/(((VLOOKUP(EDATE(B276,-12),Database!$A:$AS,MATCH($K$1,Database!$A$1:$AS$1,),))))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((((VLOOKUP(B276,Database!$A:$AS,MATCH($O$1,Database!$A$1:$AS$1,),))))-(((VLOOKUP(EDATE(B276,-12),Database!$A:$AS,MATCH($O$1,Database!$A$1:$AS$1,),)))))/(((VLOOKUP(EDATE(B276,-12),Database!$A:$AS,MATCH($O$1,Database!$A$1:$AS$1,),))))</f>
        <v/>
      </c>
      <c r="P276" s="13">
        <f>((((VLOOKUP(B276,Database!$A:$AS,MATCH($P$1,Database!$A$1:$AS$1,),))))-(((VLOOKUP(EDATE(B276,-12),Database!$A:$AS,MATCH($P$1,Database!$A$1:$AS$1,),)))))/(((VLOOKUP(EDATE(B276,-12),Database!$A:$AS,MATCH($P$1,Database!$A$1:$AS$1,),))))</f>
        <v/>
      </c>
      <c r="Q276" s="13">
        <f>((((VLOOKUP(B276,Database!$A:$AS,MATCH($Q$1,Database!$A$1:$AS$1,),))))-(((VLOOKUP(EDATE(B276,-12),Database!$A:$AS,MATCH($Q$1,Database!$A$1:$AS$1,),)))))/(((VLOOKUP(EDATE(B276,-12),Database!$A:$AS,MATCH($Q$1,Database!$A$1:$AS$1,),))))</f>
        <v/>
      </c>
      <c r="R276" s="13">
        <f>((((VLOOKUP(B276,Database!$A:$AS,MATCH($R$1,Database!$A$1:$AS$1,),))))-(((VLOOKUP(EDATE(B276,-12),Database!$A:$AS,MATCH($R$1,Database!$A$1:$AS$1,),)))))/(((VLOOKUP(EDATE(B276,-12),Database!$A:$AS,MATCH($R$1,Database!$A$1:$AS$1,),))))</f>
        <v/>
      </c>
      <c r="S276" s="13">
        <f>((((VLOOKUP(B276,Database!$A:$AS,MATCH($S$1,Database!$A$1:$AS$1,),))))-(((VLOOKUP(EDATE(B276,-12),Database!$A:$AS,MATCH($S$1,Database!$A$1:$AS$1,),)))))/(((VLOOKUP(EDATE(B276,-12),Database!$A:$AS,MATCH($S$1,Database!$A$1:$AS$1,),))))</f>
        <v/>
      </c>
      <c r="T276" s="13">
        <f>((((VLOOKUP(B276,Database!$A:$AS,MATCH($T$1,Database!$A$1:$AS$1,),))))-(((VLOOKUP(EDATE(B276,-12),Database!$A:$AS,MATCH($T$1,Database!$A$1:$AS$1,),)))))/(((VLOOKUP(EDATE(B276,-12),Database!$A:$AS,MATCH($T$1,Database!$A$1:$AS$1,),))))</f>
        <v/>
      </c>
      <c r="U276" s="13">
        <f>((((VLOOKUP(B276,Database!$A:$AS,MATCH($U$1,Database!$A$1:$AS$1,),))))-(((VLOOKUP(EDATE(B276,-12),Database!$A:$AS,MATCH($U$1,Database!$A$1:$AS$1,),)))))/(((VLOOKUP(EDATE(B276,-12),Database!$A:$AS,MATCH($U$1,Database!$A$1:$AS$1,),))))</f>
        <v/>
      </c>
      <c r="V276" s="13">
        <f>((((VLOOKUP(B276,Database!$A:$AS,MATCH($V$1,Database!$A$1:$AS$1,),))))-(((VLOOKUP(EDATE(B276,-12),Database!$A:$AS,MATCH($V$1,Database!$A$1:$AS$1,),)))))/(((VLOOKUP(EDATE(B276,-12),Database!$A:$AS,MATCH($V$1,Database!$A$1:$AS$1,),))))</f>
        <v/>
      </c>
    </row>
    <row r="277" customFormat="1" s="94">
      <c r="A277" s="44" t="n"/>
      <c r="B277" s="85" t="n">
        <v>40575</v>
      </c>
      <c r="C277" s="13">
        <f>((((VLOOKUP(B277,Database!$A:$AS,MATCH($C$1,Database!$A$1:$AS$1,),))))-(((VLOOKUP(EDATE(B277,-12),Database!$A:$AS,MATCH($C$1,Database!$A$1:$AS$1,),)))))/(((VLOOKUP(EDATE(B277,-12),Database!$A:$AS,MATCH($C$1,Database!$A$1:$AS$1,),))))</f>
        <v/>
      </c>
      <c r="D277" s="13">
        <f>((((VLOOKUP(B277,Database!$A:$AS,MATCH($D$1,Database!$A$1:$AS$1,),))))-(((VLOOKUP(EDATE(B277,-12),Database!$A:$AS,MATCH($D$1,Database!$A$1:$AS$1,),)))))/(((VLOOKUP(EDATE(B277,-12),Database!$A:$AS,MATCH($D$1,Database!$A$1:$AS$1,),))))</f>
        <v/>
      </c>
      <c r="E277" s="13">
        <f>((((VLOOKUP(B277,Database!$A:$AS,MATCH($E$1,Database!$A$1:$AS$1,),))))-(((VLOOKUP(EDATE(B277,-12),Database!$A:$AS,MATCH($E$1,Database!$A$1:$AS$1,),)))))/(((VLOOKUP(EDATE(B277,-12),Database!$A:$AS,MATCH($E$1,Database!$A$1:$AS$1,),))))</f>
        <v/>
      </c>
      <c r="F277" s="13">
        <f>((((VLOOKUP(B277,Database!$A:$AS,MATCH($F$1,Database!$A$1:$AS$1,),))))-(((VLOOKUP(EDATE(B277,-12),Database!$A:$AS,MATCH($F$1,Database!$A$1:$AS$1,),)))))/(((VLOOKUP(EDATE(B277,-12),Database!$A:$AS,MATCH($F$1,Database!$A$1:$AS$1,),))))</f>
        <v/>
      </c>
      <c r="G277" s="13">
        <f>((((VLOOKUP(B277,Database!$A:$AS,MATCH($G$1,Database!$A$1:$AS$1,),))))-(((VLOOKUP(EDATE(B277,-12),Database!$A:$AS,MATCH($G$1,Database!$A$1:$AS$1,),)))))/(((VLOOKUP(EDATE(B277,-12),Database!$A:$AS,MATCH($G$1,Database!$A$1:$AS$1,),))))</f>
        <v/>
      </c>
      <c r="H277" s="13">
        <f>((((VLOOKUP(B277,Database!$A:$AS,MATCH($H$1,Database!$A$1:$AS$1,),))))-(((VLOOKUP(EDATE(B277,-12),Database!$A:$AS,MATCH($H$1,Database!$A$1:$AS$1,),)))))/(((VLOOKUP(EDATE(B277,-12),Database!$A:$AS,MATCH($H$1,Database!$A$1:$AS$1,),))))</f>
        <v/>
      </c>
      <c r="I277" s="13">
        <f>((((VLOOKUP(B277,Database!$A:$AS,MATCH($I$1,Database!$A$1:$AS$1,),))))-(((VLOOKUP(EDATE(B277,-12),Database!$A:$AS,MATCH($I$1,Database!$A$1:$AS$1,),)))))/(((VLOOKUP(EDATE(B277,-12),Database!$A:$AS,MATCH($I$1,Database!$A$1:$AS$1,),))))</f>
        <v/>
      </c>
      <c r="J277" s="13">
        <f>((((VLOOKUP(B277,Database!$A:$AS,MATCH($J$1,Database!$A$1:$AS$1,),))))-(((VLOOKUP(EDATE(B277,-12),Database!$A:$AS,MATCH($J$1,Database!$A$1:$AS$1,),)))))/(((VLOOKUP(EDATE(B277,-12),Database!$A:$AS,MATCH($J$1,Database!$A$1:$AS$1,),))))</f>
        <v/>
      </c>
      <c r="K277" s="13">
        <f>((((VLOOKUP(B277,Database!$A:$AS,MATCH($K$1,Database!$A$1:$AS$1,),))))-(((VLOOKUP(EDATE(B277,-12),Database!$A:$AS,MATCH($K$1,Database!$A$1:$AS$1,),)))))/(((VLOOKUP(EDATE(B277,-12),Database!$A:$AS,MATCH($K$1,Database!$A$1:$AS$1,),))))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((((VLOOKUP(B277,Database!$A:$AS,MATCH($O$1,Database!$A$1:$AS$1,),))))-(((VLOOKUP(EDATE(B277,-12),Database!$A:$AS,MATCH($O$1,Database!$A$1:$AS$1,),)))))/(((VLOOKUP(EDATE(B277,-12),Database!$A:$AS,MATCH($O$1,Database!$A$1:$AS$1,),))))</f>
        <v/>
      </c>
      <c r="P277" s="13">
        <f>((((VLOOKUP(B277,Database!$A:$AS,MATCH($P$1,Database!$A$1:$AS$1,),))))-(((VLOOKUP(EDATE(B277,-12),Database!$A:$AS,MATCH($P$1,Database!$A$1:$AS$1,),)))))/(((VLOOKUP(EDATE(B277,-12),Database!$A:$AS,MATCH($P$1,Database!$A$1:$AS$1,),))))</f>
        <v/>
      </c>
      <c r="Q277" s="13">
        <f>((((VLOOKUP(B277,Database!$A:$AS,MATCH($Q$1,Database!$A$1:$AS$1,),))))-(((VLOOKUP(EDATE(B277,-12),Database!$A:$AS,MATCH($Q$1,Database!$A$1:$AS$1,),)))))/(((VLOOKUP(EDATE(B277,-12),Database!$A:$AS,MATCH($Q$1,Database!$A$1:$AS$1,),))))</f>
        <v/>
      </c>
      <c r="R277" s="13">
        <f>((((VLOOKUP(B277,Database!$A:$AS,MATCH($R$1,Database!$A$1:$AS$1,),))))-(((VLOOKUP(EDATE(B277,-12),Database!$A:$AS,MATCH($R$1,Database!$A$1:$AS$1,),)))))/(((VLOOKUP(EDATE(B277,-12),Database!$A:$AS,MATCH($R$1,Database!$A$1:$AS$1,),))))</f>
        <v/>
      </c>
      <c r="S277" s="13">
        <f>((((VLOOKUP(B277,Database!$A:$AS,MATCH($S$1,Database!$A$1:$AS$1,),))))-(((VLOOKUP(EDATE(B277,-12),Database!$A:$AS,MATCH($S$1,Database!$A$1:$AS$1,),)))))/(((VLOOKUP(EDATE(B277,-12),Database!$A:$AS,MATCH($S$1,Database!$A$1:$AS$1,),))))</f>
        <v/>
      </c>
      <c r="T277" s="13">
        <f>((((VLOOKUP(B277,Database!$A:$AS,MATCH($T$1,Database!$A$1:$AS$1,),))))-(((VLOOKUP(EDATE(B277,-12),Database!$A:$AS,MATCH($T$1,Database!$A$1:$AS$1,),)))))/(((VLOOKUP(EDATE(B277,-12),Database!$A:$AS,MATCH($T$1,Database!$A$1:$AS$1,),))))</f>
        <v/>
      </c>
      <c r="U277" s="13">
        <f>((((VLOOKUP(B277,Database!$A:$AS,MATCH($U$1,Database!$A$1:$AS$1,),))))-(((VLOOKUP(EDATE(B277,-12),Database!$A:$AS,MATCH($U$1,Database!$A$1:$AS$1,),)))))/(((VLOOKUP(EDATE(B277,-12),Database!$A:$AS,MATCH($U$1,Database!$A$1:$AS$1,),))))</f>
        <v/>
      </c>
      <c r="V277" s="13">
        <f>((((VLOOKUP(B277,Database!$A:$AS,MATCH($V$1,Database!$A$1:$AS$1,),))))-(((VLOOKUP(EDATE(B277,-12),Database!$A:$AS,MATCH($V$1,Database!$A$1:$AS$1,),)))))/(((VLOOKUP(EDATE(B277,-12),Database!$A:$AS,MATCH($V$1,Database!$A$1:$AS$1,),))))</f>
        <v/>
      </c>
    </row>
    <row r="278" customFormat="1" s="94">
      <c r="A278" s="44" t="n"/>
      <c r="B278" s="85" t="n">
        <v>40603</v>
      </c>
      <c r="C278" s="13">
        <f>((((VLOOKUP(B278,Database!$A:$AS,MATCH($C$1,Database!$A$1:$AS$1,),))))-(((VLOOKUP(EDATE(B278,-12),Database!$A:$AS,MATCH($C$1,Database!$A$1:$AS$1,),)))))/(((VLOOKUP(EDATE(B278,-12),Database!$A:$AS,MATCH($C$1,Database!$A$1:$AS$1,),))))</f>
        <v/>
      </c>
      <c r="D278" s="13">
        <f>((((VLOOKUP(B278,Database!$A:$AS,MATCH($D$1,Database!$A$1:$AS$1,),))))-(((VLOOKUP(EDATE(B278,-12),Database!$A:$AS,MATCH($D$1,Database!$A$1:$AS$1,),)))))/(((VLOOKUP(EDATE(B278,-12),Database!$A:$AS,MATCH($D$1,Database!$A$1:$AS$1,),))))</f>
        <v/>
      </c>
      <c r="E278" s="13">
        <f>((((VLOOKUP(B278,Database!$A:$AS,MATCH($E$1,Database!$A$1:$AS$1,),))))-(((VLOOKUP(EDATE(B278,-12),Database!$A:$AS,MATCH($E$1,Database!$A$1:$AS$1,),)))))/(((VLOOKUP(EDATE(B278,-12),Database!$A:$AS,MATCH($E$1,Database!$A$1:$AS$1,),))))</f>
        <v/>
      </c>
      <c r="F278" s="13">
        <f>((((VLOOKUP(B278,Database!$A:$AS,MATCH($F$1,Database!$A$1:$AS$1,),))))-(((VLOOKUP(EDATE(B278,-12),Database!$A:$AS,MATCH($F$1,Database!$A$1:$AS$1,),)))))/(((VLOOKUP(EDATE(B278,-12),Database!$A:$AS,MATCH($F$1,Database!$A$1:$AS$1,),))))</f>
        <v/>
      </c>
      <c r="G278" s="13">
        <f>((((VLOOKUP(B278,Database!$A:$AS,MATCH($G$1,Database!$A$1:$AS$1,),))))-(((VLOOKUP(EDATE(B278,-12),Database!$A:$AS,MATCH($G$1,Database!$A$1:$AS$1,),)))))/(((VLOOKUP(EDATE(B278,-12),Database!$A:$AS,MATCH($G$1,Database!$A$1:$AS$1,),))))</f>
        <v/>
      </c>
      <c r="H278" s="13">
        <f>((((VLOOKUP(B278,Database!$A:$AS,MATCH($H$1,Database!$A$1:$AS$1,),))))-(((VLOOKUP(EDATE(B278,-12),Database!$A:$AS,MATCH($H$1,Database!$A$1:$AS$1,),)))))/(((VLOOKUP(EDATE(B278,-12),Database!$A:$AS,MATCH($H$1,Database!$A$1:$AS$1,),))))</f>
        <v/>
      </c>
      <c r="I278" s="13">
        <f>((((VLOOKUP(B278,Database!$A:$AS,MATCH($I$1,Database!$A$1:$AS$1,),))))-(((VLOOKUP(EDATE(B278,-12),Database!$A:$AS,MATCH($I$1,Database!$A$1:$AS$1,),)))))/(((VLOOKUP(EDATE(B278,-12),Database!$A:$AS,MATCH($I$1,Database!$A$1:$AS$1,),))))</f>
        <v/>
      </c>
      <c r="J278" s="13">
        <f>((((VLOOKUP(B278,Database!$A:$AS,MATCH($J$1,Database!$A$1:$AS$1,),))))-(((VLOOKUP(EDATE(B278,-12),Database!$A:$AS,MATCH($J$1,Database!$A$1:$AS$1,),)))))/(((VLOOKUP(EDATE(B278,-12),Database!$A:$AS,MATCH($J$1,Database!$A$1:$AS$1,),))))</f>
        <v/>
      </c>
      <c r="K278" s="13">
        <f>((((VLOOKUP(B278,Database!$A:$AS,MATCH($K$1,Database!$A$1:$AS$1,),))))-(((VLOOKUP(EDATE(B278,-12),Database!$A:$AS,MATCH($K$1,Database!$A$1:$AS$1,),)))))/(((VLOOKUP(EDATE(B278,-12),Database!$A:$AS,MATCH($K$1,Database!$A$1:$AS$1,),))))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((((VLOOKUP(B278,Database!$A:$AS,MATCH($O$1,Database!$A$1:$AS$1,),))))-(((VLOOKUP(EDATE(B278,-12),Database!$A:$AS,MATCH($O$1,Database!$A$1:$AS$1,),)))))/(((VLOOKUP(EDATE(B278,-12),Database!$A:$AS,MATCH($O$1,Database!$A$1:$AS$1,),))))</f>
        <v/>
      </c>
      <c r="P278" s="13">
        <f>((((VLOOKUP(B278,Database!$A:$AS,MATCH($P$1,Database!$A$1:$AS$1,),))))-(((VLOOKUP(EDATE(B278,-12),Database!$A:$AS,MATCH($P$1,Database!$A$1:$AS$1,),)))))/(((VLOOKUP(EDATE(B278,-12),Database!$A:$AS,MATCH($P$1,Database!$A$1:$AS$1,),))))</f>
        <v/>
      </c>
      <c r="Q278" s="13">
        <f>((((VLOOKUP(B278,Database!$A:$AS,MATCH($Q$1,Database!$A$1:$AS$1,),))))-(((VLOOKUP(EDATE(B278,-12),Database!$A:$AS,MATCH($Q$1,Database!$A$1:$AS$1,),)))))/(((VLOOKUP(EDATE(B278,-12),Database!$A:$AS,MATCH($Q$1,Database!$A$1:$AS$1,),))))</f>
        <v/>
      </c>
      <c r="R278" s="13">
        <f>((((VLOOKUP(B278,Database!$A:$AS,MATCH($R$1,Database!$A$1:$AS$1,),))))-(((VLOOKUP(EDATE(B278,-12),Database!$A:$AS,MATCH($R$1,Database!$A$1:$AS$1,),)))))/(((VLOOKUP(EDATE(B278,-12),Database!$A:$AS,MATCH($R$1,Database!$A$1:$AS$1,),))))</f>
        <v/>
      </c>
      <c r="S278" s="13">
        <f>((((VLOOKUP(B278,Database!$A:$AS,MATCH($S$1,Database!$A$1:$AS$1,),))))-(((VLOOKUP(EDATE(B278,-12),Database!$A:$AS,MATCH($S$1,Database!$A$1:$AS$1,),)))))/(((VLOOKUP(EDATE(B278,-12),Database!$A:$AS,MATCH($S$1,Database!$A$1:$AS$1,),))))</f>
        <v/>
      </c>
      <c r="T278" s="13">
        <f>((((VLOOKUP(B278,Database!$A:$AS,MATCH($T$1,Database!$A$1:$AS$1,),))))-(((VLOOKUP(EDATE(B278,-12),Database!$A:$AS,MATCH($T$1,Database!$A$1:$AS$1,),)))))/(((VLOOKUP(EDATE(B278,-12),Database!$A:$AS,MATCH($T$1,Database!$A$1:$AS$1,),))))</f>
        <v/>
      </c>
      <c r="U278" s="13">
        <f>((((VLOOKUP(B278,Database!$A:$AS,MATCH($U$1,Database!$A$1:$AS$1,),))))-(((VLOOKUP(EDATE(B278,-12),Database!$A:$AS,MATCH($U$1,Database!$A$1:$AS$1,),)))))/(((VLOOKUP(EDATE(B278,-12),Database!$A:$AS,MATCH($U$1,Database!$A$1:$AS$1,),))))</f>
        <v/>
      </c>
      <c r="V278" s="13">
        <f>((((VLOOKUP(B278,Database!$A:$AS,MATCH($V$1,Database!$A$1:$AS$1,),))))-(((VLOOKUP(EDATE(B278,-12),Database!$A:$AS,MATCH($V$1,Database!$A$1:$AS$1,),)))))/(((VLOOKUP(EDATE(B278,-12),Database!$A:$AS,MATCH($V$1,Database!$A$1:$AS$1,),))))</f>
        <v/>
      </c>
    </row>
    <row r="279" customFormat="1" s="94">
      <c r="A279" s="44" t="n"/>
      <c r="B279" s="85" t="n">
        <v>40634</v>
      </c>
      <c r="C279" s="13">
        <f>((((VLOOKUP(B279,Database!$A:$AS,MATCH($C$1,Database!$A$1:$AS$1,),))))-(((VLOOKUP(EDATE(B279,-12),Database!$A:$AS,MATCH($C$1,Database!$A$1:$AS$1,),)))))/(((VLOOKUP(EDATE(B279,-12),Database!$A:$AS,MATCH($C$1,Database!$A$1:$AS$1,),))))</f>
        <v/>
      </c>
      <c r="D279" s="13">
        <f>((((VLOOKUP(B279,Database!$A:$AS,MATCH($D$1,Database!$A$1:$AS$1,),))))-(((VLOOKUP(EDATE(B279,-12),Database!$A:$AS,MATCH($D$1,Database!$A$1:$AS$1,),)))))/(((VLOOKUP(EDATE(B279,-12),Database!$A:$AS,MATCH($D$1,Database!$A$1:$AS$1,),))))</f>
        <v/>
      </c>
      <c r="E279" s="13">
        <f>((((VLOOKUP(B279,Database!$A:$AS,MATCH($E$1,Database!$A$1:$AS$1,),))))-(((VLOOKUP(EDATE(B279,-12),Database!$A:$AS,MATCH($E$1,Database!$A$1:$AS$1,),)))))/(((VLOOKUP(EDATE(B279,-12),Database!$A:$AS,MATCH($E$1,Database!$A$1:$AS$1,),))))</f>
        <v/>
      </c>
      <c r="F279" s="13">
        <f>((((VLOOKUP(B279,Database!$A:$AS,MATCH($F$1,Database!$A$1:$AS$1,),))))-(((VLOOKUP(EDATE(B279,-12),Database!$A:$AS,MATCH($F$1,Database!$A$1:$AS$1,),)))))/(((VLOOKUP(EDATE(B279,-12),Database!$A:$AS,MATCH($F$1,Database!$A$1:$AS$1,),))))</f>
        <v/>
      </c>
      <c r="G279" s="13">
        <f>((((VLOOKUP(B279,Database!$A:$AS,MATCH($G$1,Database!$A$1:$AS$1,),))))-(((VLOOKUP(EDATE(B279,-12),Database!$A:$AS,MATCH($G$1,Database!$A$1:$AS$1,),)))))/(((VLOOKUP(EDATE(B279,-12),Database!$A:$AS,MATCH($G$1,Database!$A$1:$AS$1,),))))</f>
        <v/>
      </c>
      <c r="H279" s="13">
        <f>((((VLOOKUP(B279,Database!$A:$AS,MATCH($H$1,Database!$A$1:$AS$1,),))))-(((VLOOKUP(EDATE(B279,-12),Database!$A:$AS,MATCH($H$1,Database!$A$1:$AS$1,),)))))/(((VLOOKUP(EDATE(B279,-12),Database!$A:$AS,MATCH($H$1,Database!$A$1:$AS$1,),))))</f>
        <v/>
      </c>
      <c r="I279" s="13">
        <f>((((VLOOKUP(B279,Database!$A:$AS,MATCH($I$1,Database!$A$1:$AS$1,),))))-(((VLOOKUP(EDATE(B279,-12),Database!$A:$AS,MATCH($I$1,Database!$A$1:$AS$1,),)))))/(((VLOOKUP(EDATE(B279,-12),Database!$A:$AS,MATCH($I$1,Database!$A$1:$AS$1,),))))</f>
        <v/>
      </c>
      <c r="J279" s="13">
        <f>((((VLOOKUP(B279,Database!$A:$AS,MATCH($J$1,Database!$A$1:$AS$1,),))))-(((VLOOKUP(EDATE(B279,-12),Database!$A:$AS,MATCH($J$1,Database!$A$1:$AS$1,),)))))/(((VLOOKUP(EDATE(B279,-12),Database!$A:$AS,MATCH($J$1,Database!$A$1:$AS$1,),))))</f>
        <v/>
      </c>
      <c r="K279" s="13">
        <f>((((VLOOKUP(B279,Database!$A:$AS,MATCH($K$1,Database!$A$1:$AS$1,),))))-(((VLOOKUP(EDATE(B279,-12),Database!$A:$AS,MATCH($K$1,Database!$A$1:$AS$1,),)))))/(((VLOOKUP(EDATE(B279,-12),Database!$A:$AS,MATCH($K$1,Database!$A$1:$AS$1,),))))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((((VLOOKUP(B279,Database!$A:$AS,MATCH($O$1,Database!$A$1:$AS$1,),))))-(((VLOOKUP(EDATE(B279,-12),Database!$A:$AS,MATCH($O$1,Database!$A$1:$AS$1,),)))))/(((VLOOKUP(EDATE(B279,-12),Database!$A:$AS,MATCH($O$1,Database!$A$1:$AS$1,),))))</f>
        <v/>
      </c>
      <c r="P279" s="13">
        <f>((((VLOOKUP(B279,Database!$A:$AS,MATCH($P$1,Database!$A$1:$AS$1,),))))-(((VLOOKUP(EDATE(B279,-12),Database!$A:$AS,MATCH($P$1,Database!$A$1:$AS$1,),)))))/(((VLOOKUP(EDATE(B279,-12),Database!$A:$AS,MATCH($P$1,Database!$A$1:$AS$1,),))))</f>
        <v/>
      </c>
      <c r="Q279" s="13">
        <f>((((VLOOKUP(B279,Database!$A:$AS,MATCH($Q$1,Database!$A$1:$AS$1,),))))-(((VLOOKUP(EDATE(B279,-12),Database!$A:$AS,MATCH($Q$1,Database!$A$1:$AS$1,),)))))/(((VLOOKUP(EDATE(B279,-12),Database!$A:$AS,MATCH($Q$1,Database!$A$1:$AS$1,),))))</f>
        <v/>
      </c>
      <c r="R279" s="13">
        <f>((((VLOOKUP(B279,Database!$A:$AS,MATCH($R$1,Database!$A$1:$AS$1,),))))-(((VLOOKUP(EDATE(B279,-12),Database!$A:$AS,MATCH($R$1,Database!$A$1:$AS$1,),)))))/(((VLOOKUP(EDATE(B279,-12),Database!$A:$AS,MATCH($R$1,Database!$A$1:$AS$1,),))))</f>
        <v/>
      </c>
      <c r="S279" s="13">
        <f>((((VLOOKUP(B279,Database!$A:$AS,MATCH($S$1,Database!$A$1:$AS$1,),))))-(((VLOOKUP(EDATE(B279,-12),Database!$A:$AS,MATCH($S$1,Database!$A$1:$AS$1,),)))))/(((VLOOKUP(EDATE(B279,-12),Database!$A:$AS,MATCH($S$1,Database!$A$1:$AS$1,),))))</f>
        <v/>
      </c>
      <c r="T279" s="13">
        <f>((((VLOOKUP(B279,Database!$A:$AS,MATCH($T$1,Database!$A$1:$AS$1,),))))-(((VLOOKUP(EDATE(B279,-12),Database!$A:$AS,MATCH($T$1,Database!$A$1:$AS$1,),)))))/(((VLOOKUP(EDATE(B279,-12),Database!$A:$AS,MATCH($T$1,Database!$A$1:$AS$1,),))))</f>
        <v/>
      </c>
      <c r="U279" s="13">
        <f>((((VLOOKUP(B279,Database!$A:$AS,MATCH($U$1,Database!$A$1:$AS$1,),))))-(((VLOOKUP(EDATE(B279,-12),Database!$A:$AS,MATCH($U$1,Database!$A$1:$AS$1,),)))))/(((VLOOKUP(EDATE(B279,-12),Database!$A:$AS,MATCH($U$1,Database!$A$1:$AS$1,),))))</f>
        <v/>
      </c>
      <c r="V279" s="13">
        <f>((((VLOOKUP(B279,Database!$A:$AS,MATCH($V$1,Database!$A$1:$AS$1,),))))-(((VLOOKUP(EDATE(B279,-12),Database!$A:$AS,MATCH($V$1,Database!$A$1:$AS$1,),)))))/(((VLOOKUP(EDATE(B279,-12),Database!$A:$AS,MATCH($V$1,Database!$A$1:$AS$1,),))))</f>
        <v/>
      </c>
    </row>
    <row r="280" customFormat="1" s="94">
      <c r="A280" s="44" t="n"/>
      <c r="B280" s="85" t="n">
        <v>40664</v>
      </c>
      <c r="C280" s="13">
        <f>((((VLOOKUP(B280,Database!$A:$AS,MATCH($C$1,Database!$A$1:$AS$1,),))))-(((VLOOKUP(EDATE(B280,-12),Database!$A:$AS,MATCH($C$1,Database!$A$1:$AS$1,),)))))/(((VLOOKUP(EDATE(B280,-12),Database!$A:$AS,MATCH($C$1,Database!$A$1:$AS$1,),))))</f>
        <v/>
      </c>
      <c r="D280" s="13">
        <f>((((VLOOKUP(B280,Database!$A:$AS,MATCH($D$1,Database!$A$1:$AS$1,),))))-(((VLOOKUP(EDATE(B280,-12),Database!$A:$AS,MATCH($D$1,Database!$A$1:$AS$1,),)))))/(((VLOOKUP(EDATE(B280,-12),Database!$A:$AS,MATCH($D$1,Database!$A$1:$AS$1,),))))</f>
        <v/>
      </c>
      <c r="E280" s="13">
        <f>((((VLOOKUP(B280,Database!$A:$AS,MATCH($E$1,Database!$A$1:$AS$1,),))))-(((VLOOKUP(EDATE(B280,-12),Database!$A:$AS,MATCH($E$1,Database!$A$1:$AS$1,),)))))/(((VLOOKUP(EDATE(B280,-12),Database!$A:$AS,MATCH($E$1,Database!$A$1:$AS$1,),))))</f>
        <v/>
      </c>
      <c r="F280" s="13">
        <f>((((VLOOKUP(B280,Database!$A:$AS,MATCH($F$1,Database!$A$1:$AS$1,),))))-(((VLOOKUP(EDATE(B280,-12),Database!$A:$AS,MATCH($F$1,Database!$A$1:$AS$1,),)))))/(((VLOOKUP(EDATE(B280,-12),Database!$A:$AS,MATCH($F$1,Database!$A$1:$AS$1,),))))</f>
        <v/>
      </c>
      <c r="G280" s="13">
        <f>((((VLOOKUP(B280,Database!$A:$AS,MATCH($G$1,Database!$A$1:$AS$1,),))))-(((VLOOKUP(EDATE(B280,-12),Database!$A:$AS,MATCH($G$1,Database!$A$1:$AS$1,),)))))/(((VLOOKUP(EDATE(B280,-12),Database!$A:$AS,MATCH($G$1,Database!$A$1:$AS$1,),))))</f>
        <v/>
      </c>
      <c r="H280" s="13">
        <f>((((VLOOKUP(B280,Database!$A:$AS,MATCH($H$1,Database!$A$1:$AS$1,),))))-(((VLOOKUP(EDATE(B280,-12),Database!$A:$AS,MATCH($H$1,Database!$A$1:$AS$1,),)))))/(((VLOOKUP(EDATE(B280,-12),Database!$A:$AS,MATCH($H$1,Database!$A$1:$AS$1,),))))</f>
        <v/>
      </c>
      <c r="I280" s="13">
        <f>((((VLOOKUP(B280,Database!$A:$AS,MATCH($I$1,Database!$A$1:$AS$1,),))))-(((VLOOKUP(EDATE(B280,-12),Database!$A:$AS,MATCH($I$1,Database!$A$1:$AS$1,),)))))/(((VLOOKUP(EDATE(B280,-12),Database!$A:$AS,MATCH($I$1,Database!$A$1:$AS$1,),))))</f>
        <v/>
      </c>
      <c r="J280" s="13">
        <f>((((VLOOKUP(B280,Database!$A:$AS,MATCH($J$1,Database!$A$1:$AS$1,),))))-(((VLOOKUP(EDATE(B280,-12),Database!$A:$AS,MATCH($J$1,Database!$A$1:$AS$1,),)))))/(((VLOOKUP(EDATE(B280,-12),Database!$A:$AS,MATCH($J$1,Database!$A$1:$AS$1,),))))</f>
        <v/>
      </c>
      <c r="K280" s="13">
        <f>((((VLOOKUP(B280,Database!$A:$AS,MATCH($K$1,Database!$A$1:$AS$1,),))))-(((VLOOKUP(EDATE(B280,-12),Database!$A:$AS,MATCH($K$1,Database!$A$1:$AS$1,),)))))/(((VLOOKUP(EDATE(B280,-12),Database!$A:$AS,MATCH($K$1,Database!$A$1:$AS$1,),))))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((((VLOOKUP(B280,Database!$A:$AS,MATCH($O$1,Database!$A$1:$AS$1,),))))-(((VLOOKUP(EDATE(B280,-12),Database!$A:$AS,MATCH($O$1,Database!$A$1:$AS$1,),)))))/(((VLOOKUP(EDATE(B280,-12),Database!$A:$AS,MATCH($O$1,Database!$A$1:$AS$1,),))))</f>
        <v/>
      </c>
      <c r="P280" s="13">
        <f>((((VLOOKUP(B280,Database!$A:$AS,MATCH($P$1,Database!$A$1:$AS$1,),))))-(((VLOOKUP(EDATE(B280,-12),Database!$A:$AS,MATCH($P$1,Database!$A$1:$AS$1,),)))))/(((VLOOKUP(EDATE(B280,-12),Database!$A:$AS,MATCH($P$1,Database!$A$1:$AS$1,),))))</f>
        <v/>
      </c>
      <c r="Q280" s="13">
        <f>((((VLOOKUP(B280,Database!$A:$AS,MATCH($Q$1,Database!$A$1:$AS$1,),))))-(((VLOOKUP(EDATE(B280,-12),Database!$A:$AS,MATCH($Q$1,Database!$A$1:$AS$1,),)))))/(((VLOOKUP(EDATE(B280,-12),Database!$A:$AS,MATCH($Q$1,Database!$A$1:$AS$1,),))))</f>
        <v/>
      </c>
      <c r="R280" s="13">
        <f>((((VLOOKUP(B280,Database!$A:$AS,MATCH($R$1,Database!$A$1:$AS$1,),))))-(((VLOOKUP(EDATE(B280,-12),Database!$A:$AS,MATCH($R$1,Database!$A$1:$AS$1,),)))))/(((VLOOKUP(EDATE(B280,-12),Database!$A:$AS,MATCH($R$1,Database!$A$1:$AS$1,),))))</f>
        <v/>
      </c>
      <c r="S280" s="13">
        <f>((((VLOOKUP(B280,Database!$A:$AS,MATCH($S$1,Database!$A$1:$AS$1,),))))-(((VLOOKUP(EDATE(B280,-12),Database!$A:$AS,MATCH($S$1,Database!$A$1:$AS$1,),)))))/(((VLOOKUP(EDATE(B280,-12),Database!$A:$AS,MATCH($S$1,Database!$A$1:$AS$1,),))))</f>
        <v/>
      </c>
      <c r="T280" s="13">
        <f>((((VLOOKUP(B280,Database!$A:$AS,MATCH($T$1,Database!$A$1:$AS$1,),))))-(((VLOOKUP(EDATE(B280,-12),Database!$A:$AS,MATCH($T$1,Database!$A$1:$AS$1,),)))))/(((VLOOKUP(EDATE(B280,-12),Database!$A:$AS,MATCH($T$1,Database!$A$1:$AS$1,),))))</f>
        <v/>
      </c>
      <c r="U280" s="13">
        <f>((((VLOOKUP(B280,Database!$A:$AS,MATCH($U$1,Database!$A$1:$AS$1,),))))-(((VLOOKUP(EDATE(B280,-12),Database!$A:$AS,MATCH($U$1,Database!$A$1:$AS$1,),)))))/(((VLOOKUP(EDATE(B280,-12),Database!$A:$AS,MATCH($U$1,Database!$A$1:$AS$1,),))))</f>
        <v/>
      </c>
      <c r="V280" s="13">
        <f>((((VLOOKUP(B280,Database!$A:$AS,MATCH($V$1,Database!$A$1:$AS$1,),))))-(((VLOOKUP(EDATE(B280,-12),Database!$A:$AS,MATCH($V$1,Database!$A$1:$AS$1,),)))))/(((VLOOKUP(EDATE(B280,-12),Database!$A:$AS,MATCH($V$1,Database!$A$1:$AS$1,),))))</f>
        <v/>
      </c>
    </row>
    <row r="281" customFormat="1" s="94">
      <c r="A281" s="44" t="n"/>
      <c r="B281" s="85" t="n">
        <v>40695</v>
      </c>
      <c r="C281" s="13">
        <f>((((VLOOKUP(B281,Database!$A:$AS,MATCH($C$1,Database!$A$1:$AS$1,),))))-(((VLOOKUP(EDATE(B281,-12),Database!$A:$AS,MATCH($C$1,Database!$A$1:$AS$1,),)))))/(((VLOOKUP(EDATE(B281,-12),Database!$A:$AS,MATCH($C$1,Database!$A$1:$AS$1,),))))</f>
        <v/>
      </c>
      <c r="D281" s="13">
        <f>((((VLOOKUP(B281,Database!$A:$AS,MATCH($D$1,Database!$A$1:$AS$1,),))))-(((VLOOKUP(EDATE(B281,-12),Database!$A:$AS,MATCH($D$1,Database!$A$1:$AS$1,),)))))/(((VLOOKUP(EDATE(B281,-12),Database!$A:$AS,MATCH($D$1,Database!$A$1:$AS$1,),))))</f>
        <v/>
      </c>
      <c r="E281" s="13">
        <f>((((VLOOKUP(B281,Database!$A:$AS,MATCH($E$1,Database!$A$1:$AS$1,),))))-(((VLOOKUP(EDATE(B281,-12),Database!$A:$AS,MATCH($E$1,Database!$A$1:$AS$1,),)))))/(((VLOOKUP(EDATE(B281,-12),Database!$A:$AS,MATCH($E$1,Database!$A$1:$AS$1,),))))</f>
        <v/>
      </c>
      <c r="F281" s="13">
        <f>((((VLOOKUP(B281,Database!$A:$AS,MATCH($F$1,Database!$A$1:$AS$1,),))))-(((VLOOKUP(EDATE(B281,-12),Database!$A:$AS,MATCH($F$1,Database!$A$1:$AS$1,),)))))/(((VLOOKUP(EDATE(B281,-12),Database!$A:$AS,MATCH($F$1,Database!$A$1:$AS$1,),))))</f>
        <v/>
      </c>
      <c r="G281" s="13">
        <f>((((VLOOKUP(B281,Database!$A:$AS,MATCH($G$1,Database!$A$1:$AS$1,),))))-(((VLOOKUP(EDATE(B281,-12),Database!$A:$AS,MATCH($G$1,Database!$A$1:$AS$1,),)))))/(((VLOOKUP(EDATE(B281,-12),Database!$A:$AS,MATCH($G$1,Database!$A$1:$AS$1,),))))</f>
        <v/>
      </c>
      <c r="H281" s="13">
        <f>((((VLOOKUP(B281,Database!$A:$AS,MATCH($H$1,Database!$A$1:$AS$1,),))))-(((VLOOKUP(EDATE(B281,-12),Database!$A:$AS,MATCH($H$1,Database!$A$1:$AS$1,),)))))/(((VLOOKUP(EDATE(B281,-12),Database!$A:$AS,MATCH($H$1,Database!$A$1:$AS$1,),))))</f>
        <v/>
      </c>
      <c r="I281" s="13">
        <f>((((VLOOKUP(B281,Database!$A:$AS,MATCH($I$1,Database!$A$1:$AS$1,),))))-(((VLOOKUP(EDATE(B281,-12),Database!$A:$AS,MATCH($I$1,Database!$A$1:$AS$1,),)))))/(((VLOOKUP(EDATE(B281,-12),Database!$A:$AS,MATCH($I$1,Database!$A$1:$AS$1,),))))</f>
        <v/>
      </c>
      <c r="J281" s="13">
        <f>((((VLOOKUP(B281,Database!$A:$AS,MATCH($J$1,Database!$A$1:$AS$1,),))))-(((VLOOKUP(EDATE(B281,-12),Database!$A:$AS,MATCH($J$1,Database!$A$1:$AS$1,),)))))/(((VLOOKUP(EDATE(B281,-12),Database!$A:$AS,MATCH($J$1,Database!$A$1:$AS$1,),))))</f>
        <v/>
      </c>
      <c r="K281" s="13">
        <f>((((VLOOKUP(B281,Database!$A:$AS,MATCH($K$1,Database!$A$1:$AS$1,),))))-(((VLOOKUP(EDATE(B281,-12),Database!$A:$AS,MATCH($K$1,Database!$A$1:$AS$1,),)))))/(((VLOOKUP(EDATE(B281,-12),Database!$A:$AS,MATCH($K$1,Database!$A$1:$AS$1,),))))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((((VLOOKUP(B281,Database!$A:$AS,MATCH($O$1,Database!$A$1:$AS$1,),))))-(((VLOOKUP(EDATE(B281,-12),Database!$A:$AS,MATCH($O$1,Database!$A$1:$AS$1,),)))))/(((VLOOKUP(EDATE(B281,-12),Database!$A:$AS,MATCH($O$1,Database!$A$1:$AS$1,),))))</f>
        <v/>
      </c>
      <c r="P281" s="13">
        <f>((((VLOOKUP(B281,Database!$A:$AS,MATCH($P$1,Database!$A$1:$AS$1,),))))-(((VLOOKUP(EDATE(B281,-12),Database!$A:$AS,MATCH($P$1,Database!$A$1:$AS$1,),)))))/(((VLOOKUP(EDATE(B281,-12),Database!$A:$AS,MATCH($P$1,Database!$A$1:$AS$1,),))))</f>
        <v/>
      </c>
      <c r="Q281" s="13">
        <f>((((VLOOKUP(B281,Database!$A:$AS,MATCH($Q$1,Database!$A$1:$AS$1,),))))-(((VLOOKUP(EDATE(B281,-12),Database!$A:$AS,MATCH($Q$1,Database!$A$1:$AS$1,),)))))/(((VLOOKUP(EDATE(B281,-12),Database!$A:$AS,MATCH($Q$1,Database!$A$1:$AS$1,),))))</f>
        <v/>
      </c>
      <c r="R281" s="13">
        <f>((((VLOOKUP(B281,Database!$A:$AS,MATCH($R$1,Database!$A$1:$AS$1,),))))-(((VLOOKUP(EDATE(B281,-12),Database!$A:$AS,MATCH($R$1,Database!$A$1:$AS$1,),)))))/(((VLOOKUP(EDATE(B281,-12),Database!$A:$AS,MATCH($R$1,Database!$A$1:$AS$1,),))))</f>
        <v/>
      </c>
      <c r="S281" s="13">
        <f>((((VLOOKUP(B281,Database!$A:$AS,MATCH($S$1,Database!$A$1:$AS$1,),))))-(((VLOOKUP(EDATE(B281,-12),Database!$A:$AS,MATCH($S$1,Database!$A$1:$AS$1,),)))))/(((VLOOKUP(EDATE(B281,-12),Database!$A:$AS,MATCH($S$1,Database!$A$1:$AS$1,),))))</f>
        <v/>
      </c>
      <c r="T281" s="13">
        <f>((((VLOOKUP(B281,Database!$A:$AS,MATCH($T$1,Database!$A$1:$AS$1,),))))-(((VLOOKUP(EDATE(B281,-12),Database!$A:$AS,MATCH($T$1,Database!$A$1:$AS$1,),)))))/(((VLOOKUP(EDATE(B281,-12),Database!$A:$AS,MATCH($T$1,Database!$A$1:$AS$1,),))))</f>
        <v/>
      </c>
      <c r="U281" s="13">
        <f>((((VLOOKUP(B281,Database!$A:$AS,MATCH($U$1,Database!$A$1:$AS$1,),))))-(((VLOOKUP(EDATE(B281,-12),Database!$A:$AS,MATCH($U$1,Database!$A$1:$AS$1,),)))))/(((VLOOKUP(EDATE(B281,-12),Database!$A:$AS,MATCH($U$1,Database!$A$1:$AS$1,),))))</f>
        <v/>
      </c>
      <c r="V281" s="13">
        <f>((((VLOOKUP(B281,Database!$A:$AS,MATCH($V$1,Database!$A$1:$AS$1,),))))-(((VLOOKUP(EDATE(B281,-12),Database!$A:$AS,MATCH($V$1,Database!$A$1:$AS$1,),)))))/(((VLOOKUP(EDATE(B281,-12),Database!$A:$AS,MATCH($V$1,Database!$A$1:$AS$1,),))))</f>
        <v/>
      </c>
    </row>
    <row r="282" customFormat="1" s="94">
      <c r="A282" s="44" t="n"/>
      <c r="B282" s="85" t="n">
        <v>40725</v>
      </c>
      <c r="C282" s="13">
        <f>((((VLOOKUP(B282,Database!$A:$AS,MATCH($C$1,Database!$A$1:$AS$1,),))))-(((VLOOKUP(EDATE(B282,-12),Database!$A:$AS,MATCH($C$1,Database!$A$1:$AS$1,),)))))/(((VLOOKUP(EDATE(B282,-12),Database!$A:$AS,MATCH($C$1,Database!$A$1:$AS$1,),))))</f>
        <v/>
      </c>
      <c r="D282" s="13">
        <f>((((VLOOKUP(B282,Database!$A:$AS,MATCH($D$1,Database!$A$1:$AS$1,),))))-(((VLOOKUP(EDATE(B282,-12),Database!$A:$AS,MATCH($D$1,Database!$A$1:$AS$1,),)))))/(((VLOOKUP(EDATE(B282,-12),Database!$A:$AS,MATCH($D$1,Database!$A$1:$AS$1,),))))</f>
        <v/>
      </c>
      <c r="E282" s="13">
        <f>((((VLOOKUP(B282,Database!$A:$AS,MATCH($E$1,Database!$A$1:$AS$1,),))))-(((VLOOKUP(EDATE(B282,-12),Database!$A:$AS,MATCH($E$1,Database!$A$1:$AS$1,),)))))/(((VLOOKUP(EDATE(B282,-12),Database!$A:$AS,MATCH($E$1,Database!$A$1:$AS$1,),))))</f>
        <v/>
      </c>
      <c r="F282" s="13">
        <f>((((VLOOKUP(B282,Database!$A:$AS,MATCH($F$1,Database!$A$1:$AS$1,),))))-(((VLOOKUP(EDATE(B282,-12),Database!$A:$AS,MATCH($F$1,Database!$A$1:$AS$1,),)))))/(((VLOOKUP(EDATE(B282,-12),Database!$A:$AS,MATCH($F$1,Database!$A$1:$AS$1,),))))</f>
        <v/>
      </c>
      <c r="G282" s="13">
        <f>((((VLOOKUP(B282,Database!$A:$AS,MATCH($G$1,Database!$A$1:$AS$1,),))))-(((VLOOKUP(EDATE(B282,-12),Database!$A:$AS,MATCH($G$1,Database!$A$1:$AS$1,),)))))/(((VLOOKUP(EDATE(B282,-12),Database!$A:$AS,MATCH($G$1,Database!$A$1:$AS$1,),))))</f>
        <v/>
      </c>
      <c r="H282" s="13">
        <f>((((VLOOKUP(B282,Database!$A:$AS,MATCH($H$1,Database!$A$1:$AS$1,),))))-(((VLOOKUP(EDATE(B282,-12),Database!$A:$AS,MATCH($H$1,Database!$A$1:$AS$1,),)))))/(((VLOOKUP(EDATE(B282,-12),Database!$A:$AS,MATCH($H$1,Database!$A$1:$AS$1,),))))</f>
        <v/>
      </c>
      <c r="I282" s="13">
        <f>((((VLOOKUP(B282,Database!$A:$AS,MATCH($I$1,Database!$A$1:$AS$1,),))))-(((VLOOKUP(EDATE(B282,-12),Database!$A:$AS,MATCH($I$1,Database!$A$1:$AS$1,),)))))/(((VLOOKUP(EDATE(B282,-12),Database!$A:$AS,MATCH($I$1,Database!$A$1:$AS$1,),))))</f>
        <v/>
      </c>
      <c r="J282" s="13">
        <f>((((VLOOKUP(B282,Database!$A:$AS,MATCH($J$1,Database!$A$1:$AS$1,),))))-(((VLOOKUP(EDATE(B282,-12),Database!$A:$AS,MATCH($J$1,Database!$A$1:$AS$1,),)))))/(((VLOOKUP(EDATE(B282,-12),Database!$A:$AS,MATCH($J$1,Database!$A$1:$AS$1,),))))</f>
        <v/>
      </c>
      <c r="K282" s="13">
        <f>((((VLOOKUP(B282,Database!$A:$AS,MATCH($K$1,Database!$A$1:$AS$1,),))))-(((VLOOKUP(EDATE(B282,-12),Database!$A:$AS,MATCH($K$1,Database!$A$1:$AS$1,),)))))/(((VLOOKUP(EDATE(B282,-12),Database!$A:$AS,MATCH($K$1,Database!$A$1:$AS$1,),))))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((((VLOOKUP(B282,Database!$A:$AS,MATCH($O$1,Database!$A$1:$AS$1,),))))-(((VLOOKUP(EDATE(B282,-12),Database!$A:$AS,MATCH($O$1,Database!$A$1:$AS$1,),)))))/(((VLOOKUP(EDATE(B282,-12),Database!$A:$AS,MATCH($O$1,Database!$A$1:$AS$1,),))))</f>
        <v/>
      </c>
      <c r="P282" s="13">
        <f>((((VLOOKUP(B282,Database!$A:$AS,MATCH($P$1,Database!$A$1:$AS$1,),))))-(((VLOOKUP(EDATE(B282,-12),Database!$A:$AS,MATCH($P$1,Database!$A$1:$AS$1,),)))))/(((VLOOKUP(EDATE(B282,-12),Database!$A:$AS,MATCH($P$1,Database!$A$1:$AS$1,),))))</f>
        <v/>
      </c>
      <c r="Q282" s="13">
        <f>((((VLOOKUP(B282,Database!$A:$AS,MATCH($Q$1,Database!$A$1:$AS$1,),))))-(((VLOOKUP(EDATE(B282,-12),Database!$A:$AS,MATCH($Q$1,Database!$A$1:$AS$1,),)))))/(((VLOOKUP(EDATE(B282,-12),Database!$A:$AS,MATCH($Q$1,Database!$A$1:$AS$1,),))))</f>
        <v/>
      </c>
      <c r="R282" s="13">
        <f>((((VLOOKUP(B282,Database!$A:$AS,MATCH($R$1,Database!$A$1:$AS$1,),))))-(((VLOOKUP(EDATE(B282,-12),Database!$A:$AS,MATCH($R$1,Database!$A$1:$AS$1,),)))))/(((VLOOKUP(EDATE(B282,-12),Database!$A:$AS,MATCH($R$1,Database!$A$1:$AS$1,),))))</f>
        <v/>
      </c>
      <c r="S282" s="13">
        <f>((((VLOOKUP(B282,Database!$A:$AS,MATCH($S$1,Database!$A$1:$AS$1,),))))-(((VLOOKUP(EDATE(B282,-12),Database!$A:$AS,MATCH($S$1,Database!$A$1:$AS$1,),)))))/(((VLOOKUP(EDATE(B282,-12),Database!$A:$AS,MATCH($S$1,Database!$A$1:$AS$1,),))))</f>
        <v/>
      </c>
      <c r="T282" s="13">
        <f>((((VLOOKUP(B282,Database!$A:$AS,MATCH($T$1,Database!$A$1:$AS$1,),))))-(((VLOOKUP(EDATE(B282,-12),Database!$A:$AS,MATCH($T$1,Database!$A$1:$AS$1,),)))))/(((VLOOKUP(EDATE(B282,-12),Database!$A:$AS,MATCH($T$1,Database!$A$1:$AS$1,),))))</f>
        <v/>
      </c>
      <c r="U282" s="13">
        <f>((((VLOOKUP(B282,Database!$A:$AS,MATCH($U$1,Database!$A$1:$AS$1,),))))-(((VLOOKUP(EDATE(B282,-12),Database!$A:$AS,MATCH($U$1,Database!$A$1:$AS$1,),)))))/(((VLOOKUP(EDATE(B282,-12),Database!$A:$AS,MATCH($U$1,Database!$A$1:$AS$1,),))))</f>
        <v/>
      </c>
      <c r="V282" s="13">
        <f>((((VLOOKUP(B282,Database!$A:$AS,MATCH($V$1,Database!$A$1:$AS$1,),))))-(((VLOOKUP(EDATE(B282,-12),Database!$A:$AS,MATCH($V$1,Database!$A$1:$AS$1,),)))))/(((VLOOKUP(EDATE(B282,-12),Database!$A:$AS,MATCH($V$1,Database!$A$1:$AS$1,),))))</f>
        <v/>
      </c>
    </row>
    <row r="283" customFormat="1" s="94">
      <c r="A283" s="44" t="n"/>
      <c r="B283" s="85" t="n">
        <v>40756</v>
      </c>
      <c r="C283" s="13">
        <f>((((VLOOKUP(B283,Database!$A:$AS,MATCH($C$1,Database!$A$1:$AS$1,),))))-(((VLOOKUP(EDATE(B283,-12),Database!$A:$AS,MATCH($C$1,Database!$A$1:$AS$1,),)))))/(((VLOOKUP(EDATE(B283,-12),Database!$A:$AS,MATCH($C$1,Database!$A$1:$AS$1,),))))</f>
        <v/>
      </c>
      <c r="D283" s="13">
        <f>((((VLOOKUP(B283,Database!$A:$AS,MATCH($D$1,Database!$A$1:$AS$1,),))))-(((VLOOKUP(EDATE(B283,-12),Database!$A:$AS,MATCH($D$1,Database!$A$1:$AS$1,),)))))/(((VLOOKUP(EDATE(B283,-12),Database!$A:$AS,MATCH($D$1,Database!$A$1:$AS$1,),))))</f>
        <v/>
      </c>
      <c r="E283" s="13">
        <f>((((VLOOKUP(B283,Database!$A:$AS,MATCH($E$1,Database!$A$1:$AS$1,),))))-(((VLOOKUP(EDATE(B283,-12),Database!$A:$AS,MATCH($E$1,Database!$A$1:$AS$1,),)))))/(((VLOOKUP(EDATE(B283,-12),Database!$A:$AS,MATCH($E$1,Database!$A$1:$AS$1,),))))</f>
        <v/>
      </c>
      <c r="F283" s="13">
        <f>((((VLOOKUP(B283,Database!$A:$AS,MATCH($F$1,Database!$A$1:$AS$1,),))))-(((VLOOKUP(EDATE(B283,-12),Database!$A:$AS,MATCH($F$1,Database!$A$1:$AS$1,),)))))/(((VLOOKUP(EDATE(B283,-12),Database!$A:$AS,MATCH($F$1,Database!$A$1:$AS$1,),))))</f>
        <v/>
      </c>
      <c r="G283" s="13">
        <f>((((VLOOKUP(B283,Database!$A:$AS,MATCH($G$1,Database!$A$1:$AS$1,),))))-(((VLOOKUP(EDATE(B283,-12),Database!$A:$AS,MATCH($G$1,Database!$A$1:$AS$1,),)))))/(((VLOOKUP(EDATE(B283,-12),Database!$A:$AS,MATCH($G$1,Database!$A$1:$AS$1,),))))</f>
        <v/>
      </c>
      <c r="H283" s="13">
        <f>((((VLOOKUP(B283,Database!$A:$AS,MATCH($H$1,Database!$A$1:$AS$1,),))))-(((VLOOKUP(EDATE(B283,-12),Database!$A:$AS,MATCH($H$1,Database!$A$1:$AS$1,),)))))/(((VLOOKUP(EDATE(B283,-12),Database!$A:$AS,MATCH($H$1,Database!$A$1:$AS$1,),))))</f>
        <v/>
      </c>
      <c r="I283" s="13">
        <f>((((VLOOKUP(B283,Database!$A:$AS,MATCH($I$1,Database!$A$1:$AS$1,),))))-(((VLOOKUP(EDATE(B283,-12),Database!$A:$AS,MATCH($I$1,Database!$A$1:$AS$1,),)))))/(((VLOOKUP(EDATE(B283,-12),Database!$A:$AS,MATCH($I$1,Database!$A$1:$AS$1,),))))</f>
        <v/>
      </c>
      <c r="J283" s="13">
        <f>((((VLOOKUP(B283,Database!$A:$AS,MATCH($J$1,Database!$A$1:$AS$1,),))))-(((VLOOKUP(EDATE(B283,-12),Database!$A:$AS,MATCH($J$1,Database!$A$1:$AS$1,),)))))/(((VLOOKUP(EDATE(B283,-12),Database!$A:$AS,MATCH($J$1,Database!$A$1:$AS$1,),))))</f>
        <v/>
      </c>
      <c r="K283" s="13">
        <f>((((VLOOKUP(B283,Database!$A:$AS,MATCH($K$1,Database!$A$1:$AS$1,),))))-(((VLOOKUP(EDATE(B283,-12),Database!$A:$AS,MATCH($K$1,Database!$A$1:$AS$1,),)))))/(((VLOOKUP(EDATE(B283,-12),Database!$A:$AS,MATCH($K$1,Database!$A$1:$AS$1,),))))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((((VLOOKUP(B283,Database!$A:$AS,MATCH($O$1,Database!$A$1:$AS$1,),))))-(((VLOOKUP(EDATE(B283,-12),Database!$A:$AS,MATCH($O$1,Database!$A$1:$AS$1,),)))))/(((VLOOKUP(EDATE(B283,-12),Database!$A:$AS,MATCH($O$1,Database!$A$1:$AS$1,),))))</f>
        <v/>
      </c>
      <c r="P283" s="13">
        <f>((((VLOOKUP(B283,Database!$A:$AS,MATCH($P$1,Database!$A$1:$AS$1,),))))-(((VLOOKUP(EDATE(B283,-12),Database!$A:$AS,MATCH($P$1,Database!$A$1:$AS$1,),)))))/(((VLOOKUP(EDATE(B283,-12),Database!$A:$AS,MATCH($P$1,Database!$A$1:$AS$1,),))))</f>
        <v/>
      </c>
      <c r="Q283" s="13">
        <f>((((VLOOKUP(B283,Database!$A:$AS,MATCH($Q$1,Database!$A$1:$AS$1,),))))-(((VLOOKUP(EDATE(B283,-12),Database!$A:$AS,MATCH($Q$1,Database!$A$1:$AS$1,),)))))/(((VLOOKUP(EDATE(B283,-12),Database!$A:$AS,MATCH($Q$1,Database!$A$1:$AS$1,),))))</f>
        <v/>
      </c>
      <c r="R283" s="13">
        <f>((((VLOOKUP(B283,Database!$A:$AS,MATCH($R$1,Database!$A$1:$AS$1,),))))-(((VLOOKUP(EDATE(B283,-12),Database!$A:$AS,MATCH($R$1,Database!$A$1:$AS$1,),)))))/(((VLOOKUP(EDATE(B283,-12),Database!$A:$AS,MATCH($R$1,Database!$A$1:$AS$1,),))))</f>
        <v/>
      </c>
      <c r="S283" s="13">
        <f>((((VLOOKUP(B283,Database!$A:$AS,MATCH($S$1,Database!$A$1:$AS$1,),))))-(((VLOOKUP(EDATE(B283,-12),Database!$A:$AS,MATCH($S$1,Database!$A$1:$AS$1,),)))))/(((VLOOKUP(EDATE(B283,-12),Database!$A:$AS,MATCH($S$1,Database!$A$1:$AS$1,),))))</f>
        <v/>
      </c>
      <c r="T283" s="13">
        <f>((((VLOOKUP(B283,Database!$A:$AS,MATCH($T$1,Database!$A$1:$AS$1,),))))-(((VLOOKUP(EDATE(B283,-12),Database!$A:$AS,MATCH($T$1,Database!$A$1:$AS$1,),)))))/(((VLOOKUP(EDATE(B283,-12),Database!$A:$AS,MATCH($T$1,Database!$A$1:$AS$1,),))))</f>
        <v/>
      </c>
      <c r="U283" s="13">
        <f>((((VLOOKUP(B283,Database!$A:$AS,MATCH($U$1,Database!$A$1:$AS$1,),))))-(((VLOOKUP(EDATE(B283,-12),Database!$A:$AS,MATCH($U$1,Database!$A$1:$AS$1,),)))))/(((VLOOKUP(EDATE(B283,-12),Database!$A:$AS,MATCH($U$1,Database!$A$1:$AS$1,),))))</f>
        <v/>
      </c>
      <c r="V283" s="13">
        <f>((((VLOOKUP(B283,Database!$A:$AS,MATCH($V$1,Database!$A$1:$AS$1,),))))-(((VLOOKUP(EDATE(B283,-12),Database!$A:$AS,MATCH($V$1,Database!$A$1:$AS$1,),)))))/(((VLOOKUP(EDATE(B283,-12),Database!$A:$AS,MATCH($V$1,Database!$A$1:$AS$1,),))))</f>
        <v/>
      </c>
    </row>
    <row r="284" customFormat="1" s="94">
      <c r="A284" s="44" t="n"/>
      <c r="B284" s="85" t="n">
        <v>40787</v>
      </c>
      <c r="C284" s="13">
        <f>((((VLOOKUP(B284,Database!$A:$AS,MATCH($C$1,Database!$A$1:$AS$1,),))))-(((VLOOKUP(EDATE(B284,-12),Database!$A:$AS,MATCH($C$1,Database!$A$1:$AS$1,),)))))/(((VLOOKUP(EDATE(B284,-12),Database!$A:$AS,MATCH($C$1,Database!$A$1:$AS$1,),))))</f>
        <v/>
      </c>
      <c r="D284" s="13">
        <f>((((VLOOKUP(B284,Database!$A:$AS,MATCH($D$1,Database!$A$1:$AS$1,),))))-(((VLOOKUP(EDATE(B284,-12),Database!$A:$AS,MATCH($D$1,Database!$A$1:$AS$1,),)))))/(((VLOOKUP(EDATE(B284,-12),Database!$A:$AS,MATCH($D$1,Database!$A$1:$AS$1,),))))</f>
        <v/>
      </c>
      <c r="E284" s="13">
        <f>((((VLOOKUP(B284,Database!$A:$AS,MATCH($E$1,Database!$A$1:$AS$1,),))))-(((VLOOKUP(EDATE(B284,-12),Database!$A:$AS,MATCH($E$1,Database!$A$1:$AS$1,),)))))/(((VLOOKUP(EDATE(B284,-12),Database!$A:$AS,MATCH($E$1,Database!$A$1:$AS$1,),))))</f>
        <v/>
      </c>
      <c r="F284" s="13">
        <f>((((VLOOKUP(B284,Database!$A:$AS,MATCH($F$1,Database!$A$1:$AS$1,),))))-(((VLOOKUP(EDATE(B284,-12),Database!$A:$AS,MATCH($F$1,Database!$A$1:$AS$1,),)))))/(((VLOOKUP(EDATE(B284,-12),Database!$A:$AS,MATCH($F$1,Database!$A$1:$AS$1,),))))</f>
        <v/>
      </c>
      <c r="G284" s="13">
        <f>((((VLOOKUP(B284,Database!$A:$AS,MATCH($G$1,Database!$A$1:$AS$1,),))))-(((VLOOKUP(EDATE(B284,-12),Database!$A:$AS,MATCH($G$1,Database!$A$1:$AS$1,),)))))/(((VLOOKUP(EDATE(B284,-12),Database!$A:$AS,MATCH($G$1,Database!$A$1:$AS$1,),))))</f>
        <v/>
      </c>
      <c r="H284" s="13">
        <f>((((VLOOKUP(B284,Database!$A:$AS,MATCH($H$1,Database!$A$1:$AS$1,),))))-(((VLOOKUP(EDATE(B284,-12),Database!$A:$AS,MATCH($H$1,Database!$A$1:$AS$1,),)))))/(((VLOOKUP(EDATE(B284,-12),Database!$A:$AS,MATCH($H$1,Database!$A$1:$AS$1,),))))</f>
        <v/>
      </c>
      <c r="I284" s="13">
        <f>((((VLOOKUP(B284,Database!$A:$AS,MATCH($I$1,Database!$A$1:$AS$1,),))))-(((VLOOKUP(EDATE(B284,-12),Database!$A:$AS,MATCH($I$1,Database!$A$1:$AS$1,),)))))/(((VLOOKUP(EDATE(B284,-12),Database!$A:$AS,MATCH($I$1,Database!$A$1:$AS$1,),))))</f>
        <v/>
      </c>
      <c r="J284" s="13">
        <f>((((VLOOKUP(B284,Database!$A:$AS,MATCH($J$1,Database!$A$1:$AS$1,),))))-(((VLOOKUP(EDATE(B284,-12),Database!$A:$AS,MATCH($J$1,Database!$A$1:$AS$1,),)))))/(((VLOOKUP(EDATE(B284,-12),Database!$A:$AS,MATCH($J$1,Database!$A$1:$AS$1,),))))</f>
        <v/>
      </c>
      <c r="K284" s="13">
        <f>((((VLOOKUP(B284,Database!$A:$AS,MATCH($K$1,Database!$A$1:$AS$1,),))))-(((VLOOKUP(EDATE(B284,-12),Database!$A:$AS,MATCH($K$1,Database!$A$1:$AS$1,),)))))/(((VLOOKUP(EDATE(B284,-12),Database!$A:$AS,MATCH($K$1,Database!$A$1:$AS$1,),))))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((((VLOOKUP(B284,Database!$A:$AS,MATCH($O$1,Database!$A$1:$AS$1,),))))-(((VLOOKUP(EDATE(B284,-12),Database!$A:$AS,MATCH($O$1,Database!$A$1:$AS$1,),)))))/(((VLOOKUP(EDATE(B284,-12),Database!$A:$AS,MATCH($O$1,Database!$A$1:$AS$1,),))))</f>
        <v/>
      </c>
      <c r="P284" s="13">
        <f>((((VLOOKUP(B284,Database!$A:$AS,MATCH($P$1,Database!$A$1:$AS$1,),))))-(((VLOOKUP(EDATE(B284,-12),Database!$A:$AS,MATCH($P$1,Database!$A$1:$AS$1,),)))))/(((VLOOKUP(EDATE(B284,-12),Database!$A:$AS,MATCH($P$1,Database!$A$1:$AS$1,),))))</f>
        <v/>
      </c>
      <c r="Q284" s="13">
        <f>((((VLOOKUP(B284,Database!$A:$AS,MATCH($Q$1,Database!$A$1:$AS$1,),))))-(((VLOOKUP(EDATE(B284,-12),Database!$A:$AS,MATCH($Q$1,Database!$A$1:$AS$1,),)))))/(((VLOOKUP(EDATE(B284,-12),Database!$A:$AS,MATCH($Q$1,Database!$A$1:$AS$1,),))))</f>
        <v/>
      </c>
      <c r="R284" s="13">
        <f>((((VLOOKUP(B284,Database!$A:$AS,MATCH($R$1,Database!$A$1:$AS$1,),))))-(((VLOOKUP(EDATE(B284,-12),Database!$A:$AS,MATCH($R$1,Database!$A$1:$AS$1,),)))))/(((VLOOKUP(EDATE(B284,-12),Database!$A:$AS,MATCH($R$1,Database!$A$1:$AS$1,),))))</f>
        <v/>
      </c>
      <c r="S284" s="13">
        <f>((((VLOOKUP(B284,Database!$A:$AS,MATCH($S$1,Database!$A$1:$AS$1,),))))-(((VLOOKUP(EDATE(B284,-12),Database!$A:$AS,MATCH($S$1,Database!$A$1:$AS$1,),)))))/(((VLOOKUP(EDATE(B284,-12),Database!$A:$AS,MATCH($S$1,Database!$A$1:$AS$1,),))))</f>
        <v/>
      </c>
      <c r="T284" s="13">
        <f>((((VLOOKUP(B284,Database!$A:$AS,MATCH($T$1,Database!$A$1:$AS$1,),))))-(((VLOOKUP(EDATE(B284,-12),Database!$A:$AS,MATCH($T$1,Database!$A$1:$AS$1,),)))))/(((VLOOKUP(EDATE(B284,-12),Database!$A:$AS,MATCH($T$1,Database!$A$1:$AS$1,),))))</f>
        <v/>
      </c>
      <c r="U284" s="13">
        <f>((((VLOOKUP(B284,Database!$A:$AS,MATCH($U$1,Database!$A$1:$AS$1,),))))-(((VLOOKUP(EDATE(B284,-12),Database!$A:$AS,MATCH($U$1,Database!$A$1:$AS$1,),)))))/(((VLOOKUP(EDATE(B284,-12),Database!$A:$AS,MATCH($U$1,Database!$A$1:$AS$1,),))))</f>
        <v/>
      </c>
      <c r="V284" s="13">
        <f>((((VLOOKUP(B284,Database!$A:$AS,MATCH($V$1,Database!$A$1:$AS$1,),))))-(((VLOOKUP(EDATE(B284,-12),Database!$A:$AS,MATCH($V$1,Database!$A$1:$AS$1,),)))))/(((VLOOKUP(EDATE(B284,-12),Database!$A:$AS,MATCH($V$1,Database!$A$1:$AS$1,),))))</f>
        <v/>
      </c>
    </row>
    <row r="285" customFormat="1" s="94">
      <c r="A285" s="44" t="n"/>
      <c r="B285" s="85" t="n">
        <v>40817</v>
      </c>
      <c r="C285" s="13">
        <f>((((VLOOKUP(B285,Database!$A:$AS,MATCH($C$1,Database!$A$1:$AS$1,),))))-(((VLOOKUP(EDATE(B285,-12),Database!$A:$AS,MATCH($C$1,Database!$A$1:$AS$1,),)))))/(((VLOOKUP(EDATE(B285,-12),Database!$A:$AS,MATCH($C$1,Database!$A$1:$AS$1,),))))</f>
        <v/>
      </c>
      <c r="D285" s="13">
        <f>((((VLOOKUP(B285,Database!$A:$AS,MATCH($D$1,Database!$A$1:$AS$1,),))))-(((VLOOKUP(EDATE(B285,-12),Database!$A:$AS,MATCH($D$1,Database!$A$1:$AS$1,),)))))/(((VLOOKUP(EDATE(B285,-12),Database!$A:$AS,MATCH($D$1,Database!$A$1:$AS$1,),))))</f>
        <v/>
      </c>
      <c r="E285" s="13">
        <f>((((VLOOKUP(B285,Database!$A:$AS,MATCH($E$1,Database!$A$1:$AS$1,),))))-(((VLOOKUP(EDATE(B285,-12),Database!$A:$AS,MATCH($E$1,Database!$A$1:$AS$1,),)))))/(((VLOOKUP(EDATE(B285,-12),Database!$A:$AS,MATCH($E$1,Database!$A$1:$AS$1,),))))</f>
        <v/>
      </c>
      <c r="F285" s="13">
        <f>((((VLOOKUP(B285,Database!$A:$AS,MATCH($F$1,Database!$A$1:$AS$1,),))))-(((VLOOKUP(EDATE(B285,-12),Database!$A:$AS,MATCH($F$1,Database!$A$1:$AS$1,),)))))/(((VLOOKUP(EDATE(B285,-12),Database!$A:$AS,MATCH($F$1,Database!$A$1:$AS$1,),))))</f>
        <v/>
      </c>
      <c r="G285" s="13">
        <f>((((VLOOKUP(B285,Database!$A:$AS,MATCH($G$1,Database!$A$1:$AS$1,),))))-(((VLOOKUP(EDATE(B285,-12),Database!$A:$AS,MATCH($G$1,Database!$A$1:$AS$1,),)))))/(((VLOOKUP(EDATE(B285,-12),Database!$A:$AS,MATCH($G$1,Database!$A$1:$AS$1,),))))</f>
        <v/>
      </c>
      <c r="H285" s="13">
        <f>((((VLOOKUP(B285,Database!$A:$AS,MATCH($H$1,Database!$A$1:$AS$1,),))))-(((VLOOKUP(EDATE(B285,-12),Database!$A:$AS,MATCH($H$1,Database!$A$1:$AS$1,),)))))/(((VLOOKUP(EDATE(B285,-12),Database!$A:$AS,MATCH($H$1,Database!$A$1:$AS$1,),))))</f>
        <v/>
      </c>
      <c r="I285" s="13">
        <f>((((VLOOKUP(B285,Database!$A:$AS,MATCH($I$1,Database!$A$1:$AS$1,),))))-(((VLOOKUP(EDATE(B285,-12),Database!$A:$AS,MATCH($I$1,Database!$A$1:$AS$1,),)))))/(((VLOOKUP(EDATE(B285,-12),Database!$A:$AS,MATCH($I$1,Database!$A$1:$AS$1,),))))</f>
        <v/>
      </c>
      <c r="J285" s="13">
        <f>((((VLOOKUP(B285,Database!$A:$AS,MATCH($J$1,Database!$A$1:$AS$1,),))))-(((VLOOKUP(EDATE(B285,-12),Database!$A:$AS,MATCH($J$1,Database!$A$1:$AS$1,),)))))/(((VLOOKUP(EDATE(B285,-12),Database!$A:$AS,MATCH($J$1,Database!$A$1:$AS$1,),))))</f>
        <v/>
      </c>
      <c r="K285" s="13">
        <f>((((VLOOKUP(B285,Database!$A:$AS,MATCH($K$1,Database!$A$1:$AS$1,),))))-(((VLOOKUP(EDATE(B285,-12),Database!$A:$AS,MATCH($K$1,Database!$A$1:$AS$1,),)))))/(((VLOOKUP(EDATE(B285,-12),Database!$A:$AS,MATCH($K$1,Database!$A$1:$AS$1,),))))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((((VLOOKUP(B285,Database!$A:$AS,MATCH($O$1,Database!$A$1:$AS$1,),))))-(((VLOOKUP(EDATE(B285,-12),Database!$A:$AS,MATCH($O$1,Database!$A$1:$AS$1,),)))))/(((VLOOKUP(EDATE(B285,-12),Database!$A:$AS,MATCH($O$1,Database!$A$1:$AS$1,),))))</f>
        <v/>
      </c>
      <c r="P285" s="13">
        <f>((((VLOOKUP(B285,Database!$A:$AS,MATCH($P$1,Database!$A$1:$AS$1,),))))-(((VLOOKUP(EDATE(B285,-12),Database!$A:$AS,MATCH($P$1,Database!$A$1:$AS$1,),)))))/(((VLOOKUP(EDATE(B285,-12),Database!$A:$AS,MATCH($P$1,Database!$A$1:$AS$1,),))))</f>
        <v/>
      </c>
      <c r="Q285" s="13">
        <f>((((VLOOKUP(B285,Database!$A:$AS,MATCH($Q$1,Database!$A$1:$AS$1,),))))-(((VLOOKUP(EDATE(B285,-12),Database!$A:$AS,MATCH($Q$1,Database!$A$1:$AS$1,),)))))/(((VLOOKUP(EDATE(B285,-12),Database!$A:$AS,MATCH($Q$1,Database!$A$1:$AS$1,),))))</f>
        <v/>
      </c>
      <c r="R285" s="13">
        <f>((((VLOOKUP(B285,Database!$A:$AS,MATCH($R$1,Database!$A$1:$AS$1,),))))-(((VLOOKUP(EDATE(B285,-12),Database!$A:$AS,MATCH($R$1,Database!$A$1:$AS$1,),)))))/(((VLOOKUP(EDATE(B285,-12),Database!$A:$AS,MATCH($R$1,Database!$A$1:$AS$1,),))))</f>
        <v/>
      </c>
      <c r="S285" s="13">
        <f>((((VLOOKUP(B285,Database!$A:$AS,MATCH($S$1,Database!$A$1:$AS$1,),))))-(((VLOOKUP(EDATE(B285,-12),Database!$A:$AS,MATCH($S$1,Database!$A$1:$AS$1,),)))))/(((VLOOKUP(EDATE(B285,-12),Database!$A:$AS,MATCH($S$1,Database!$A$1:$AS$1,),))))</f>
        <v/>
      </c>
      <c r="T285" s="13">
        <f>((((VLOOKUP(B285,Database!$A:$AS,MATCH($T$1,Database!$A$1:$AS$1,),))))-(((VLOOKUP(EDATE(B285,-12),Database!$A:$AS,MATCH($T$1,Database!$A$1:$AS$1,),)))))/(((VLOOKUP(EDATE(B285,-12),Database!$A:$AS,MATCH($T$1,Database!$A$1:$AS$1,),))))</f>
        <v/>
      </c>
      <c r="U285" s="13">
        <f>((((VLOOKUP(B285,Database!$A:$AS,MATCH($U$1,Database!$A$1:$AS$1,),))))-(((VLOOKUP(EDATE(B285,-12),Database!$A:$AS,MATCH($U$1,Database!$A$1:$AS$1,),)))))/(((VLOOKUP(EDATE(B285,-12),Database!$A:$AS,MATCH($U$1,Database!$A$1:$AS$1,),))))</f>
        <v/>
      </c>
      <c r="V285" s="13">
        <f>((((VLOOKUP(B285,Database!$A:$AS,MATCH($V$1,Database!$A$1:$AS$1,),))))-(((VLOOKUP(EDATE(B285,-12),Database!$A:$AS,MATCH($V$1,Database!$A$1:$AS$1,),)))))/(((VLOOKUP(EDATE(B285,-12),Database!$A:$AS,MATCH($V$1,Database!$A$1:$AS$1,),))))</f>
        <v/>
      </c>
    </row>
    <row r="286" customFormat="1" s="94">
      <c r="A286" s="44" t="n"/>
      <c r="B286" s="85" t="n">
        <v>40848</v>
      </c>
      <c r="C286" s="13">
        <f>((((VLOOKUP(B286,Database!$A:$AS,MATCH($C$1,Database!$A$1:$AS$1,),))))-(((VLOOKUP(EDATE(B286,-12),Database!$A:$AS,MATCH($C$1,Database!$A$1:$AS$1,),)))))/(((VLOOKUP(EDATE(B286,-12),Database!$A:$AS,MATCH($C$1,Database!$A$1:$AS$1,),))))</f>
        <v/>
      </c>
      <c r="D286" s="13">
        <f>((((VLOOKUP(B286,Database!$A:$AS,MATCH($D$1,Database!$A$1:$AS$1,),))))-(((VLOOKUP(EDATE(B286,-12),Database!$A:$AS,MATCH($D$1,Database!$A$1:$AS$1,),)))))/(((VLOOKUP(EDATE(B286,-12),Database!$A:$AS,MATCH($D$1,Database!$A$1:$AS$1,),))))</f>
        <v/>
      </c>
      <c r="E286" s="13">
        <f>((((VLOOKUP(B286,Database!$A:$AS,MATCH($E$1,Database!$A$1:$AS$1,),))))-(((VLOOKUP(EDATE(B286,-12),Database!$A:$AS,MATCH($E$1,Database!$A$1:$AS$1,),)))))/(((VLOOKUP(EDATE(B286,-12),Database!$A:$AS,MATCH($E$1,Database!$A$1:$AS$1,),))))</f>
        <v/>
      </c>
      <c r="F286" s="13">
        <f>((((VLOOKUP(B286,Database!$A:$AS,MATCH($F$1,Database!$A$1:$AS$1,),))))-(((VLOOKUP(EDATE(B286,-12),Database!$A:$AS,MATCH($F$1,Database!$A$1:$AS$1,),)))))/(((VLOOKUP(EDATE(B286,-12),Database!$A:$AS,MATCH($F$1,Database!$A$1:$AS$1,),))))</f>
        <v/>
      </c>
      <c r="G286" s="13">
        <f>((((VLOOKUP(B286,Database!$A:$AS,MATCH($G$1,Database!$A$1:$AS$1,),))))-(((VLOOKUP(EDATE(B286,-12),Database!$A:$AS,MATCH($G$1,Database!$A$1:$AS$1,),)))))/(((VLOOKUP(EDATE(B286,-12),Database!$A:$AS,MATCH($G$1,Database!$A$1:$AS$1,),))))</f>
        <v/>
      </c>
      <c r="H286" s="13">
        <f>((((VLOOKUP(B286,Database!$A:$AS,MATCH($H$1,Database!$A$1:$AS$1,),))))-(((VLOOKUP(EDATE(B286,-12),Database!$A:$AS,MATCH($H$1,Database!$A$1:$AS$1,),)))))/(((VLOOKUP(EDATE(B286,-12),Database!$A:$AS,MATCH($H$1,Database!$A$1:$AS$1,),))))</f>
        <v/>
      </c>
      <c r="I286" s="13">
        <f>((((VLOOKUP(B286,Database!$A:$AS,MATCH($I$1,Database!$A$1:$AS$1,),))))-(((VLOOKUP(EDATE(B286,-12),Database!$A:$AS,MATCH($I$1,Database!$A$1:$AS$1,),)))))/(((VLOOKUP(EDATE(B286,-12),Database!$A:$AS,MATCH($I$1,Database!$A$1:$AS$1,),))))</f>
        <v/>
      </c>
      <c r="J286" s="13">
        <f>((((VLOOKUP(B286,Database!$A:$AS,MATCH($J$1,Database!$A$1:$AS$1,),))))-(((VLOOKUP(EDATE(B286,-12),Database!$A:$AS,MATCH($J$1,Database!$A$1:$AS$1,),)))))/(((VLOOKUP(EDATE(B286,-12),Database!$A:$AS,MATCH($J$1,Database!$A$1:$AS$1,),))))</f>
        <v/>
      </c>
      <c r="K286" s="13">
        <f>((((VLOOKUP(B286,Database!$A:$AS,MATCH($K$1,Database!$A$1:$AS$1,),))))-(((VLOOKUP(EDATE(B286,-12),Database!$A:$AS,MATCH($K$1,Database!$A$1:$AS$1,),)))))/(((VLOOKUP(EDATE(B286,-12),Database!$A:$AS,MATCH($K$1,Database!$A$1:$AS$1,),))))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((((VLOOKUP(B286,Database!$A:$AS,MATCH($O$1,Database!$A$1:$AS$1,),))))-(((VLOOKUP(EDATE(B286,-12),Database!$A:$AS,MATCH($O$1,Database!$A$1:$AS$1,),)))))/(((VLOOKUP(EDATE(B286,-12),Database!$A:$AS,MATCH($O$1,Database!$A$1:$AS$1,),))))</f>
        <v/>
      </c>
      <c r="P286" s="13">
        <f>((((VLOOKUP(B286,Database!$A:$AS,MATCH($P$1,Database!$A$1:$AS$1,),))))-(((VLOOKUP(EDATE(B286,-12),Database!$A:$AS,MATCH($P$1,Database!$A$1:$AS$1,),)))))/(((VLOOKUP(EDATE(B286,-12),Database!$A:$AS,MATCH($P$1,Database!$A$1:$AS$1,),))))</f>
        <v/>
      </c>
      <c r="Q286" s="13">
        <f>((((VLOOKUP(B286,Database!$A:$AS,MATCH($Q$1,Database!$A$1:$AS$1,),))))-(((VLOOKUP(EDATE(B286,-12),Database!$A:$AS,MATCH($Q$1,Database!$A$1:$AS$1,),)))))/(((VLOOKUP(EDATE(B286,-12),Database!$A:$AS,MATCH($Q$1,Database!$A$1:$AS$1,),))))</f>
        <v/>
      </c>
      <c r="R286" s="13">
        <f>((((VLOOKUP(B286,Database!$A:$AS,MATCH($R$1,Database!$A$1:$AS$1,),))))-(((VLOOKUP(EDATE(B286,-12),Database!$A:$AS,MATCH($R$1,Database!$A$1:$AS$1,),)))))/(((VLOOKUP(EDATE(B286,-12),Database!$A:$AS,MATCH($R$1,Database!$A$1:$AS$1,),))))</f>
        <v/>
      </c>
      <c r="S286" s="13">
        <f>((((VLOOKUP(B286,Database!$A:$AS,MATCH($S$1,Database!$A$1:$AS$1,),))))-(((VLOOKUP(EDATE(B286,-12),Database!$A:$AS,MATCH($S$1,Database!$A$1:$AS$1,),)))))/(((VLOOKUP(EDATE(B286,-12),Database!$A:$AS,MATCH($S$1,Database!$A$1:$AS$1,),))))</f>
        <v/>
      </c>
      <c r="T286" s="13">
        <f>((((VLOOKUP(B286,Database!$A:$AS,MATCH($T$1,Database!$A$1:$AS$1,),))))-(((VLOOKUP(EDATE(B286,-12),Database!$A:$AS,MATCH($T$1,Database!$A$1:$AS$1,),)))))/(((VLOOKUP(EDATE(B286,-12),Database!$A:$AS,MATCH($T$1,Database!$A$1:$AS$1,),))))</f>
        <v/>
      </c>
      <c r="U286" s="13">
        <f>((((VLOOKUP(B286,Database!$A:$AS,MATCH($U$1,Database!$A$1:$AS$1,),))))-(((VLOOKUP(EDATE(B286,-12),Database!$A:$AS,MATCH($U$1,Database!$A$1:$AS$1,),)))))/(((VLOOKUP(EDATE(B286,-12),Database!$A:$AS,MATCH($U$1,Database!$A$1:$AS$1,),))))</f>
        <v/>
      </c>
      <c r="V286" s="13">
        <f>((((VLOOKUP(B286,Database!$A:$AS,MATCH($V$1,Database!$A$1:$AS$1,),))))-(((VLOOKUP(EDATE(B286,-12),Database!$A:$AS,MATCH($V$1,Database!$A$1:$AS$1,),)))))/(((VLOOKUP(EDATE(B286,-12),Database!$A:$AS,MATCH($V$1,Database!$A$1:$AS$1,),))))</f>
        <v/>
      </c>
    </row>
    <row r="287" customFormat="1" s="94">
      <c r="A287" s="44" t="n"/>
      <c r="B287" s="85" t="n">
        <v>40878</v>
      </c>
      <c r="C287" s="13">
        <f>((((VLOOKUP(B287,Database!$A:$AS,MATCH($C$1,Database!$A$1:$AS$1,),))))-(((VLOOKUP(EDATE(B287,-12),Database!$A:$AS,MATCH($C$1,Database!$A$1:$AS$1,),)))))/(((VLOOKUP(EDATE(B287,-12),Database!$A:$AS,MATCH($C$1,Database!$A$1:$AS$1,),))))</f>
        <v/>
      </c>
      <c r="D287" s="13">
        <f>((((VLOOKUP(B287,Database!$A:$AS,MATCH($D$1,Database!$A$1:$AS$1,),))))-(((VLOOKUP(EDATE(B287,-12),Database!$A:$AS,MATCH($D$1,Database!$A$1:$AS$1,),)))))/(((VLOOKUP(EDATE(B287,-12),Database!$A:$AS,MATCH($D$1,Database!$A$1:$AS$1,),))))</f>
        <v/>
      </c>
      <c r="E287" s="13">
        <f>((((VLOOKUP(B287,Database!$A:$AS,MATCH($E$1,Database!$A$1:$AS$1,),))))-(((VLOOKUP(EDATE(B287,-12),Database!$A:$AS,MATCH($E$1,Database!$A$1:$AS$1,),)))))/(((VLOOKUP(EDATE(B287,-12),Database!$A:$AS,MATCH($E$1,Database!$A$1:$AS$1,),))))</f>
        <v/>
      </c>
      <c r="F287" s="13">
        <f>((((VLOOKUP(B287,Database!$A:$AS,MATCH($F$1,Database!$A$1:$AS$1,),))))-(((VLOOKUP(EDATE(B287,-12),Database!$A:$AS,MATCH($F$1,Database!$A$1:$AS$1,),)))))/(((VLOOKUP(EDATE(B287,-12),Database!$A:$AS,MATCH($F$1,Database!$A$1:$AS$1,),))))</f>
        <v/>
      </c>
      <c r="G287" s="13">
        <f>((((VLOOKUP(B287,Database!$A:$AS,MATCH($G$1,Database!$A$1:$AS$1,),))))-(((VLOOKUP(EDATE(B287,-12),Database!$A:$AS,MATCH($G$1,Database!$A$1:$AS$1,),)))))/(((VLOOKUP(EDATE(B287,-12),Database!$A:$AS,MATCH($G$1,Database!$A$1:$AS$1,),))))</f>
        <v/>
      </c>
      <c r="H287" s="13">
        <f>((((VLOOKUP(B287,Database!$A:$AS,MATCH($H$1,Database!$A$1:$AS$1,),))))-(((VLOOKUP(EDATE(B287,-12),Database!$A:$AS,MATCH($H$1,Database!$A$1:$AS$1,),)))))/(((VLOOKUP(EDATE(B287,-12),Database!$A:$AS,MATCH($H$1,Database!$A$1:$AS$1,),))))</f>
        <v/>
      </c>
      <c r="I287" s="13">
        <f>((((VLOOKUP(B287,Database!$A:$AS,MATCH($I$1,Database!$A$1:$AS$1,),))))-(((VLOOKUP(EDATE(B287,-12),Database!$A:$AS,MATCH($I$1,Database!$A$1:$AS$1,),)))))/(((VLOOKUP(EDATE(B287,-12),Database!$A:$AS,MATCH($I$1,Database!$A$1:$AS$1,),))))</f>
        <v/>
      </c>
      <c r="J287" s="13">
        <f>((((VLOOKUP(B287,Database!$A:$AS,MATCH($J$1,Database!$A$1:$AS$1,),))))-(((VLOOKUP(EDATE(B287,-12),Database!$A:$AS,MATCH($J$1,Database!$A$1:$AS$1,),)))))/(((VLOOKUP(EDATE(B287,-12),Database!$A:$AS,MATCH($J$1,Database!$A$1:$AS$1,),))))</f>
        <v/>
      </c>
      <c r="K287" s="13">
        <f>((((VLOOKUP(B287,Database!$A:$AS,MATCH($K$1,Database!$A$1:$AS$1,),))))-(((VLOOKUP(EDATE(B287,-12),Database!$A:$AS,MATCH($K$1,Database!$A$1:$AS$1,),)))))/(((VLOOKUP(EDATE(B287,-12),Database!$A:$AS,MATCH($K$1,Database!$A$1:$AS$1,),))))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((((VLOOKUP(B287,Database!$A:$AS,MATCH($O$1,Database!$A$1:$AS$1,),))))-(((VLOOKUP(EDATE(B287,-12),Database!$A:$AS,MATCH($O$1,Database!$A$1:$AS$1,),)))))/(((VLOOKUP(EDATE(B287,-12),Database!$A:$AS,MATCH($O$1,Database!$A$1:$AS$1,),))))</f>
        <v/>
      </c>
      <c r="P287" s="13">
        <f>((((VLOOKUP(B287,Database!$A:$AS,MATCH($P$1,Database!$A$1:$AS$1,),))))-(((VLOOKUP(EDATE(B287,-12),Database!$A:$AS,MATCH($P$1,Database!$A$1:$AS$1,),)))))/(((VLOOKUP(EDATE(B287,-12),Database!$A:$AS,MATCH($P$1,Database!$A$1:$AS$1,),))))</f>
        <v/>
      </c>
      <c r="Q287" s="13">
        <f>((((VLOOKUP(B287,Database!$A:$AS,MATCH($Q$1,Database!$A$1:$AS$1,),))))-(((VLOOKUP(EDATE(B287,-12),Database!$A:$AS,MATCH($Q$1,Database!$A$1:$AS$1,),)))))/(((VLOOKUP(EDATE(B287,-12),Database!$A:$AS,MATCH($Q$1,Database!$A$1:$AS$1,),))))</f>
        <v/>
      </c>
      <c r="R287" s="13">
        <f>((((VLOOKUP(B287,Database!$A:$AS,MATCH($R$1,Database!$A$1:$AS$1,),))))-(((VLOOKUP(EDATE(B287,-12),Database!$A:$AS,MATCH($R$1,Database!$A$1:$AS$1,),)))))/(((VLOOKUP(EDATE(B287,-12),Database!$A:$AS,MATCH($R$1,Database!$A$1:$AS$1,),))))</f>
        <v/>
      </c>
      <c r="S287" s="13">
        <f>((((VLOOKUP(B287,Database!$A:$AS,MATCH($S$1,Database!$A$1:$AS$1,),))))-(((VLOOKUP(EDATE(B287,-12),Database!$A:$AS,MATCH($S$1,Database!$A$1:$AS$1,),)))))/(((VLOOKUP(EDATE(B287,-12),Database!$A:$AS,MATCH($S$1,Database!$A$1:$AS$1,),))))</f>
        <v/>
      </c>
      <c r="T287" s="13">
        <f>((((VLOOKUP(B287,Database!$A:$AS,MATCH($T$1,Database!$A$1:$AS$1,),))))-(((VLOOKUP(EDATE(B287,-12),Database!$A:$AS,MATCH($T$1,Database!$A$1:$AS$1,),)))))/(((VLOOKUP(EDATE(B287,-12),Database!$A:$AS,MATCH($T$1,Database!$A$1:$AS$1,),))))</f>
        <v/>
      </c>
      <c r="U287" s="13">
        <f>((((VLOOKUP(B287,Database!$A:$AS,MATCH($U$1,Database!$A$1:$AS$1,),))))-(((VLOOKUP(EDATE(B287,-12),Database!$A:$AS,MATCH($U$1,Database!$A$1:$AS$1,),)))))/(((VLOOKUP(EDATE(B287,-12),Database!$A:$AS,MATCH($U$1,Database!$A$1:$AS$1,),))))</f>
        <v/>
      </c>
      <c r="V287" s="13">
        <f>((((VLOOKUP(B287,Database!$A:$AS,MATCH($V$1,Database!$A$1:$AS$1,),))))-(((VLOOKUP(EDATE(B287,-12),Database!$A:$AS,MATCH($V$1,Database!$A$1:$AS$1,),)))))/(((VLOOKUP(EDATE(B287,-12),Database!$A:$AS,MATCH($V$1,Database!$A$1:$AS$1,),))))</f>
        <v/>
      </c>
    </row>
    <row r="288" customFormat="1" s="94">
      <c r="A288" s="44" t="n"/>
      <c r="B288" s="85" t="n">
        <v>40909</v>
      </c>
      <c r="C288" s="13">
        <f>((((VLOOKUP(B288,Database!$A:$AS,MATCH($C$1,Database!$A$1:$AS$1,),))))-(((VLOOKUP(EDATE(B288,-12),Database!$A:$AS,MATCH($C$1,Database!$A$1:$AS$1,),)))))/(((VLOOKUP(EDATE(B288,-12),Database!$A:$AS,MATCH($C$1,Database!$A$1:$AS$1,),))))</f>
        <v/>
      </c>
      <c r="D288" s="13">
        <f>((((VLOOKUP(B288,Database!$A:$AS,MATCH($D$1,Database!$A$1:$AS$1,),))))-(((VLOOKUP(EDATE(B288,-12),Database!$A:$AS,MATCH($D$1,Database!$A$1:$AS$1,),)))))/(((VLOOKUP(EDATE(B288,-12),Database!$A:$AS,MATCH($D$1,Database!$A$1:$AS$1,),))))</f>
        <v/>
      </c>
      <c r="E288" s="13">
        <f>((((VLOOKUP(B288,Database!$A:$AS,MATCH($E$1,Database!$A$1:$AS$1,),))))-(((VLOOKUP(EDATE(B288,-12),Database!$A:$AS,MATCH($E$1,Database!$A$1:$AS$1,),)))))/(((VLOOKUP(EDATE(B288,-12),Database!$A:$AS,MATCH($E$1,Database!$A$1:$AS$1,),))))</f>
        <v/>
      </c>
      <c r="F288" s="13">
        <f>((((VLOOKUP(B288,Database!$A:$AS,MATCH($F$1,Database!$A$1:$AS$1,),))))-(((VLOOKUP(EDATE(B288,-12),Database!$A:$AS,MATCH($F$1,Database!$A$1:$AS$1,),)))))/(((VLOOKUP(EDATE(B288,-12),Database!$A:$AS,MATCH($F$1,Database!$A$1:$AS$1,),))))</f>
        <v/>
      </c>
      <c r="G288" s="13">
        <f>((((VLOOKUP(B288,Database!$A:$AS,MATCH($G$1,Database!$A$1:$AS$1,),))))-(((VLOOKUP(EDATE(B288,-12),Database!$A:$AS,MATCH($G$1,Database!$A$1:$AS$1,),)))))/(((VLOOKUP(EDATE(B288,-12),Database!$A:$AS,MATCH($G$1,Database!$A$1:$AS$1,),))))</f>
        <v/>
      </c>
      <c r="H288" s="13">
        <f>((((VLOOKUP(B288,Database!$A:$AS,MATCH($H$1,Database!$A$1:$AS$1,),))))-(((VLOOKUP(EDATE(B288,-12),Database!$A:$AS,MATCH($H$1,Database!$A$1:$AS$1,),)))))/(((VLOOKUP(EDATE(B288,-12),Database!$A:$AS,MATCH($H$1,Database!$A$1:$AS$1,),))))</f>
        <v/>
      </c>
      <c r="I288" s="13">
        <f>((((VLOOKUP(B288,Database!$A:$AS,MATCH($I$1,Database!$A$1:$AS$1,),))))-(((VLOOKUP(EDATE(B288,-12),Database!$A:$AS,MATCH($I$1,Database!$A$1:$AS$1,),)))))/(((VLOOKUP(EDATE(B288,-12),Database!$A:$AS,MATCH($I$1,Database!$A$1:$AS$1,),))))</f>
        <v/>
      </c>
      <c r="J288" s="13">
        <f>((((VLOOKUP(B288,Database!$A:$AS,MATCH($J$1,Database!$A$1:$AS$1,),))))-(((VLOOKUP(EDATE(B288,-12),Database!$A:$AS,MATCH($J$1,Database!$A$1:$AS$1,),)))))/(((VLOOKUP(EDATE(B288,-12),Database!$A:$AS,MATCH($J$1,Database!$A$1:$AS$1,),))))</f>
        <v/>
      </c>
      <c r="K288" s="13">
        <f>((((VLOOKUP(B288,Database!$A:$AS,MATCH($K$1,Database!$A$1:$AS$1,),))))-(((VLOOKUP(EDATE(B288,-12),Database!$A:$AS,MATCH($K$1,Database!$A$1:$AS$1,),)))))/(((VLOOKUP(EDATE(B288,-12),Database!$A:$AS,MATCH($K$1,Database!$A$1:$AS$1,),))))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((((VLOOKUP(B288,Database!$A:$AS,MATCH($O$1,Database!$A$1:$AS$1,),))))-(((VLOOKUP(EDATE(B288,-12),Database!$A:$AS,MATCH($O$1,Database!$A$1:$AS$1,),)))))/(((VLOOKUP(EDATE(B288,-12),Database!$A:$AS,MATCH($O$1,Database!$A$1:$AS$1,),))))</f>
        <v/>
      </c>
      <c r="P288" s="13">
        <f>((((VLOOKUP(B288,Database!$A:$AS,MATCH($P$1,Database!$A$1:$AS$1,),))))-(((VLOOKUP(EDATE(B288,-12),Database!$A:$AS,MATCH($P$1,Database!$A$1:$AS$1,),)))))/(((VLOOKUP(EDATE(B288,-12),Database!$A:$AS,MATCH($P$1,Database!$A$1:$AS$1,),))))</f>
        <v/>
      </c>
      <c r="Q288" s="13">
        <f>((((VLOOKUP(B288,Database!$A:$AS,MATCH($Q$1,Database!$A$1:$AS$1,),))))-(((VLOOKUP(EDATE(B288,-12),Database!$A:$AS,MATCH($Q$1,Database!$A$1:$AS$1,),)))))/(((VLOOKUP(EDATE(B288,-12),Database!$A:$AS,MATCH($Q$1,Database!$A$1:$AS$1,),))))</f>
        <v/>
      </c>
      <c r="R288" s="13">
        <f>((((VLOOKUP(B288,Database!$A:$AS,MATCH($R$1,Database!$A$1:$AS$1,),))))-(((VLOOKUP(EDATE(B288,-12),Database!$A:$AS,MATCH($R$1,Database!$A$1:$AS$1,),)))))/(((VLOOKUP(EDATE(B288,-12),Database!$A:$AS,MATCH($R$1,Database!$A$1:$AS$1,),))))</f>
        <v/>
      </c>
      <c r="S288" s="13">
        <f>((((VLOOKUP(B288,Database!$A:$AS,MATCH($S$1,Database!$A$1:$AS$1,),))))-(((VLOOKUP(EDATE(B288,-12),Database!$A:$AS,MATCH($S$1,Database!$A$1:$AS$1,),)))))/(((VLOOKUP(EDATE(B288,-12),Database!$A:$AS,MATCH($S$1,Database!$A$1:$AS$1,),))))</f>
        <v/>
      </c>
      <c r="T288" s="13">
        <f>((((VLOOKUP(B288,Database!$A:$AS,MATCH($T$1,Database!$A$1:$AS$1,),))))-(((VLOOKUP(EDATE(B288,-12),Database!$A:$AS,MATCH($T$1,Database!$A$1:$AS$1,),)))))/(((VLOOKUP(EDATE(B288,-12),Database!$A:$AS,MATCH($T$1,Database!$A$1:$AS$1,),))))</f>
        <v/>
      </c>
      <c r="U288" s="13">
        <f>((((VLOOKUP(B288,Database!$A:$AS,MATCH($U$1,Database!$A$1:$AS$1,),))))-(((VLOOKUP(EDATE(B288,-12),Database!$A:$AS,MATCH($U$1,Database!$A$1:$AS$1,),)))))/(((VLOOKUP(EDATE(B288,-12),Database!$A:$AS,MATCH($U$1,Database!$A$1:$AS$1,),))))</f>
        <v/>
      </c>
      <c r="V288" s="13">
        <f>((((VLOOKUP(B288,Database!$A:$AS,MATCH($V$1,Database!$A$1:$AS$1,),))))-(((VLOOKUP(EDATE(B288,-12),Database!$A:$AS,MATCH($V$1,Database!$A$1:$AS$1,),)))))/(((VLOOKUP(EDATE(B288,-12),Database!$A:$AS,MATCH($V$1,Database!$A$1:$AS$1,),))))</f>
        <v/>
      </c>
    </row>
    <row r="289" customFormat="1" s="94">
      <c r="A289" s="44" t="n"/>
      <c r="B289" s="85" t="n">
        <v>40940</v>
      </c>
      <c r="C289" s="13">
        <f>((((VLOOKUP(B289,Database!$A:$AS,MATCH($C$1,Database!$A$1:$AS$1,),))))-(((VLOOKUP(EDATE(B289,-12),Database!$A:$AS,MATCH($C$1,Database!$A$1:$AS$1,),)))))/(((VLOOKUP(EDATE(B289,-12),Database!$A:$AS,MATCH($C$1,Database!$A$1:$AS$1,),))))</f>
        <v/>
      </c>
      <c r="D289" s="13">
        <f>((((VLOOKUP(B289,Database!$A:$AS,MATCH($D$1,Database!$A$1:$AS$1,),))))-(((VLOOKUP(EDATE(B289,-12),Database!$A:$AS,MATCH($D$1,Database!$A$1:$AS$1,),)))))/(((VLOOKUP(EDATE(B289,-12),Database!$A:$AS,MATCH($D$1,Database!$A$1:$AS$1,),))))</f>
        <v/>
      </c>
      <c r="E289" s="13">
        <f>((((VLOOKUP(B289,Database!$A:$AS,MATCH($E$1,Database!$A$1:$AS$1,),))))-(((VLOOKUP(EDATE(B289,-12),Database!$A:$AS,MATCH($E$1,Database!$A$1:$AS$1,),)))))/(((VLOOKUP(EDATE(B289,-12),Database!$A:$AS,MATCH($E$1,Database!$A$1:$AS$1,),))))</f>
        <v/>
      </c>
      <c r="F289" s="13">
        <f>((((VLOOKUP(B289,Database!$A:$AS,MATCH($F$1,Database!$A$1:$AS$1,),))))-(((VLOOKUP(EDATE(B289,-12),Database!$A:$AS,MATCH($F$1,Database!$A$1:$AS$1,),)))))/(((VLOOKUP(EDATE(B289,-12),Database!$A:$AS,MATCH($F$1,Database!$A$1:$AS$1,),))))</f>
        <v/>
      </c>
      <c r="G289" s="13">
        <f>((((VLOOKUP(B289,Database!$A:$AS,MATCH($G$1,Database!$A$1:$AS$1,),))))-(((VLOOKUP(EDATE(B289,-12),Database!$A:$AS,MATCH($G$1,Database!$A$1:$AS$1,),)))))/(((VLOOKUP(EDATE(B289,-12),Database!$A:$AS,MATCH($G$1,Database!$A$1:$AS$1,),))))</f>
        <v/>
      </c>
      <c r="H289" s="13">
        <f>((((VLOOKUP(B289,Database!$A:$AS,MATCH($H$1,Database!$A$1:$AS$1,),))))-(((VLOOKUP(EDATE(B289,-12),Database!$A:$AS,MATCH($H$1,Database!$A$1:$AS$1,),)))))/(((VLOOKUP(EDATE(B289,-12),Database!$A:$AS,MATCH($H$1,Database!$A$1:$AS$1,),))))</f>
        <v/>
      </c>
      <c r="I289" s="13">
        <f>((((VLOOKUP(B289,Database!$A:$AS,MATCH($I$1,Database!$A$1:$AS$1,),))))-(((VLOOKUP(EDATE(B289,-12),Database!$A:$AS,MATCH($I$1,Database!$A$1:$AS$1,),)))))/(((VLOOKUP(EDATE(B289,-12),Database!$A:$AS,MATCH($I$1,Database!$A$1:$AS$1,),))))</f>
        <v/>
      </c>
      <c r="J289" s="13">
        <f>((((VLOOKUP(B289,Database!$A:$AS,MATCH($J$1,Database!$A$1:$AS$1,),))))-(((VLOOKUP(EDATE(B289,-12),Database!$A:$AS,MATCH($J$1,Database!$A$1:$AS$1,),)))))/(((VLOOKUP(EDATE(B289,-12),Database!$A:$AS,MATCH($J$1,Database!$A$1:$AS$1,),))))</f>
        <v/>
      </c>
      <c r="K289" s="13">
        <f>((((VLOOKUP(B289,Database!$A:$AS,MATCH($K$1,Database!$A$1:$AS$1,),))))-(((VLOOKUP(EDATE(B289,-12),Database!$A:$AS,MATCH($K$1,Database!$A$1:$AS$1,),)))))/(((VLOOKUP(EDATE(B289,-12),Database!$A:$AS,MATCH($K$1,Database!$A$1:$AS$1,),))))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((((VLOOKUP(B289,Database!$A:$AS,MATCH($O$1,Database!$A$1:$AS$1,),))))-(((VLOOKUP(EDATE(B289,-12),Database!$A:$AS,MATCH($O$1,Database!$A$1:$AS$1,),)))))/(((VLOOKUP(EDATE(B289,-12),Database!$A:$AS,MATCH($O$1,Database!$A$1:$AS$1,),))))</f>
        <v/>
      </c>
      <c r="P289" s="13">
        <f>((((VLOOKUP(B289,Database!$A:$AS,MATCH($P$1,Database!$A$1:$AS$1,),))))-(((VLOOKUP(EDATE(B289,-12),Database!$A:$AS,MATCH($P$1,Database!$A$1:$AS$1,),)))))/(((VLOOKUP(EDATE(B289,-12),Database!$A:$AS,MATCH($P$1,Database!$A$1:$AS$1,),))))</f>
        <v/>
      </c>
      <c r="Q289" s="13">
        <f>((((VLOOKUP(B289,Database!$A:$AS,MATCH($Q$1,Database!$A$1:$AS$1,),))))-(((VLOOKUP(EDATE(B289,-12),Database!$A:$AS,MATCH($Q$1,Database!$A$1:$AS$1,),)))))/(((VLOOKUP(EDATE(B289,-12),Database!$A:$AS,MATCH($Q$1,Database!$A$1:$AS$1,),))))</f>
        <v/>
      </c>
      <c r="R289" s="13">
        <f>((((VLOOKUP(B289,Database!$A:$AS,MATCH($R$1,Database!$A$1:$AS$1,),))))-(((VLOOKUP(EDATE(B289,-12),Database!$A:$AS,MATCH($R$1,Database!$A$1:$AS$1,),)))))/(((VLOOKUP(EDATE(B289,-12),Database!$A:$AS,MATCH($R$1,Database!$A$1:$AS$1,),))))</f>
        <v/>
      </c>
      <c r="S289" s="13">
        <f>((((VLOOKUP(B289,Database!$A:$AS,MATCH($S$1,Database!$A$1:$AS$1,),))))-(((VLOOKUP(EDATE(B289,-12),Database!$A:$AS,MATCH($S$1,Database!$A$1:$AS$1,),)))))/(((VLOOKUP(EDATE(B289,-12),Database!$A:$AS,MATCH($S$1,Database!$A$1:$AS$1,),))))</f>
        <v/>
      </c>
      <c r="T289" s="13">
        <f>((((VLOOKUP(B289,Database!$A:$AS,MATCH($T$1,Database!$A$1:$AS$1,),))))-(((VLOOKUP(EDATE(B289,-12),Database!$A:$AS,MATCH($T$1,Database!$A$1:$AS$1,),)))))/(((VLOOKUP(EDATE(B289,-12),Database!$A:$AS,MATCH($T$1,Database!$A$1:$AS$1,),))))</f>
        <v/>
      </c>
      <c r="U289" s="13">
        <f>((((VLOOKUP(B289,Database!$A:$AS,MATCH($U$1,Database!$A$1:$AS$1,),))))-(((VLOOKUP(EDATE(B289,-12),Database!$A:$AS,MATCH($U$1,Database!$A$1:$AS$1,),)))))/(((VLOOKUP(EDATE(B289,-12),Database!$A:$AS,MATCH($U$1,Database!$A$1:$AS$1,),))))</f>
        <v/>
      </c>
      <c r="V289" s="13">
        <f>((((VLOOKUP(B289,Database!$A:$AS,MATCH($V$1,Database!$A$1:$AS$1,),))))-(((VLOOKUP(EDATE(B289,-12),Database!$A:$AS,MATCH($V$1,Database!$A$1:$AS$1,),)))))/(((VLOOKUP(EDATE(B289,-12),Database!$A:$AS,MATCH($V$1,Database!$A$1:$AS$1,),))))</f>
        <v/>
      </c>
    </row>
    <row r="290" customFormat="1" s="94">
      <c r="A290" s="44" t="n"/>
      <c r="B290" s="85" t="n">
        <v>40969</v>
      </c>
      <c r="C290" s="13">
        <f>((((VLOOKUP(B290,Database!$A:$AS,MATCH($C$1,Database!$A$1:$AS$1,),))))-(((VLOOKUP(EDATE(B290,-12),Database!$A:$AS,MATCH($C$1,Database!$A$1:$AS$1,),)))))/(((VLOOKUP(EDATE(B290,-12),Database!$A:$AS,MATCH($C$1,Database!$A$1:$AS$1,),))))</f>
        <v/>
      </c>
      <c r="D290" s="13">
        <f>((((VLOOKUP(B290,Database!$A:$AS,MATCH($D$1,Database!$A$1:$AS$1,),))))-(((VLOOKUP(EDATE(B290,-12),Database!$A:$AS,MATCH($D$1,Database!$A$1:$AS$1,),)))))/(((VLOOKUP(EDATE(B290,-12),Database!$A:$AS,MATCH($D$1,Database!$A$1:$AS$1,),))))</f>
        <v/>
      </c>
      <c r="E290" s="13">
        <f>((((VLOOKUP(B290,Database!$A:$AS,MATCH($E$1,Database!$A$1:$AS$1,),))))-(((VLOOKUP(EDATE(B290,-12),Database!$A:$AS,MATCH($E$1,Database!$A$1:$AS$1,),)))))/(((VLOOKUP(EDATE(B290,-12),Database!$A:$AS,MATCH($E$1,Database!$A$1:$AS$1,),))))</f>
        <v/>
      </c>
      <c r="F290" s="13">
        <f>((((VLOOKUP(B290,Database!$A:$AS,MATCH($F$1,Database!$A$1:$AS$1,),))))-(((VLOOKUP(EDATE(B290,-12),Database!$A:$AS,MATCH($F$1,Database!$A$1:$AS$1,),)))))/(((VLOOKUP(EDATE(B290,-12),Database!$A:$AS,MATCH($F$1,Database!$A$1:$AS$1,),))))</f>
        <v/>
      </c>
      <c r="G290" s="13">
        <f>((((VLOOKUP(B290,Database!$A:$AS,MATCH($G$1,Database!$A$1:$AS$1,),))))-(((VLOOKUP(EDATE(B290,-12),Database!$A:$AS,MATCH($G$1,Database!$A$1:$AS$1,),)))))/(((VLOOKUP(EDATE(B290,-12),Database!$A:$AS,MATCH($G$1,Database!$A$1:$AS$1,),))))</f>
        <v/>
      </c>
      <c r="H290" s="13">
        <f>((((VLOOKUP(B290,Database!$A:$AS,MATCH($H$1,Database!$A$1:$AS$1,),))))-(((VLOOKUP(EDATE(B290,-12),Database!$A:$AS,MATCH($H$1,Database!$A$1:$AS$1,),)))))/(((VLOOKUP(EDATE(B290,-12),Database!$A:$AS,MATCH($H$1,Database!$A$1:$AS$1,),))))</f>
        <v/>
      </c>
      <c r="I290" s="13">
        <f>((((VLOOKUP(B290,Database!$A:$AS,MATCH($I$1,Database!$A$1:$AS$1,),))))-(((VLOOKUP(EDATE(B290,-12),Database!$A:$AS,MATCH($I$1,Database!$A$1:$AS$1,),)))))/(((VLOOKUP(EDATE(B290,-12),Database!$A:$AS,MATCH($I$1,Database!$A$1:$AS$1,),))))</f>
        <v/>
      </c>
      <c r="J290" s="13">
        <f>((((VLOOKUP(B290,Database!$A:$AS,MATCH($J$1,Database!$A$1:$AS$1,),))))-(((VLOOKUP(EDATE(B290,-12),Database!$A:$AS,MATCH($J$1,Database!$A$1:$AS$1,),)))))/(((VLOOKUP(EDATE(B290,-12),Database!$A:$AS,MATCH($J$1,Database!$A$1:$AS$1,),))))</f>
        <v/>
      </c>
      <c r="K290" s="13">
        <f>((((VLOOKUP(B290,Database!$A:$AS,MATCH($K$1,Database!$A$1:$AS$1,),))))-(((VLOOKUP(EDATE(B290,-12),Database!$A:$AS,MATCH($K$1,Database!$A$1:$AS$1,),)))))/(((VLOOKUP(EDATE(B290,-12),Database!$A:$AS,MATCH($K$1,Database!$A$1:$AS$1,),))))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((((VLOOKUP(B290,Database!$A:$AS,MATCH($O$1,Database!$A$1:$AS$1,),))))-(((VLOOKUP(EDATE(B290,-12),Database!$A:$AS,MATCH($O$1,Database!$A$1:$AS$1,),)))))/(((VLOOKUP(EDATE(B290,-12),Database!$A:$AS,MATCH($O$1,Database!$A$1:$AS$1,),))))</f>
        <v/>
      </c>
      <c r="P290" s="13">
        <f>((((VLOOKUP(B290,Database!$A:$AS,MATCH($P$1,Database!$A$1:$AS$1,),))))-(((VLOOKUP(EDATE(B290,-12),Database!$A:$AS,MATCH($P$1,Database!$A$1:$AS$1,),)))))/(((VLOOKUP(EDATE(B290,-12),Database!$A:$AS,MATCH($P$1,Database!$A$1:$AS$1,),))))</f>
        <v/>
      </c>
      <c r="Q290" s="13">
        <f>((((VLOOKUP(B290,Database!$A:$AS,MATCH($Q$1,Database!$A$1:$AS$1,),))))-(((VLOOKUP(EDATE(B290,-12),Database!$A:$AS,MATCH($Q$1,Database!$A$1:$AS$1,),)))))/(((VLOOKUP(EDATE(B290,-12),Database!$A:$AS,MATCH($Q$1,Database!$A$1:$AS$1,),))))</f>
        <v/>
      </c>
      <c r="R290" s="13">
        <f>((((VLOOKUP(B290,Database!$A:$AS,MATCH($R$1,Database!$A$1:$AS$1,),))))-(((VLOOKUP(EDATE(B290,-12),Database!$A:$AS,MATCH($R$1,Database!$A$1:$AS$1,),)))))/(((VLOOKUP(EDATE(B290,-12),Database!$A:$AS,MATCH($R$1,Database!$A$1:$AS$1,),))))</f>
        <v/>
      </c>
      <c r="S290" s="13">
        <f>((((VLOOKUP(B290,Database!$A:$AS,MATCH($S$1,Database!$A$1:$AS$1,),))))-(((VLOOKUP(EDATE(B290,-12),Database!$A:$AS,MATCH($S$1,Database!$A$1:$AS$1,),)))))/(((VLOOKUP(EDATE(B290,-12),Database!$A:$AS,MATCH($S$1,Database!$A$1:$AS$1,),))))</f>
        <v/>
      </c>
      <c r="T290" s="13">
        <f>((((VLOOKUP(B290,Database!$A:$AS,MATCH($T$1,Database!$A$1:$AS$1,),))))-(((VLOOKUP(EDATE(B290,-12),Database!$A:$AS,MATCH($T$1,Database!$A$1:$AS$1,),)))))/(((VLOOKUP(EDATE(B290,-12),Database!$A:$AS,MATCH($T$1,Database!$A$1:$AS$1,),))))</f>
        <v/>
      </c>
      <c r="U290" s="13">
        <f>((((VLOOKUP(B290,Database!$A:$AS,MATCH($U$1,Database!$A$1:$AS$1,),))))-(((VLOOKUP(EDATE(B290,-12),Database!$A:$AS,MATCH($U$1,Database!$A$1:$AS$1,),)))))/(((VLOOKUP(EDATE(B290,-12),Database!$A:$AS,MATCH($U$1,Database!$A$1:$AS$1,),))))</f>
        <v/>
      </c>
      <c r="V290" s="13">
        <f>((((VLOOKUP(B290,Database!$A:$AS,MATCH($V$1,Database!$A$1:$AS$1,),))))-(((VLOOKUP(EDATE(B290,-12),Database!$A:$AS,MATCH($V$1,Database!$A$1:$AS$1,),)))))/(((VLOOKUP(EDATE(B290,-12),Database!$A:$AS,MATCH($V$1,Database!$A$1:$AS$1,),))))</f>
        <v/>
      </c>
    </row>
    <row r="291" customFormat="1" s="94">
      <c r="A291" s="44" t="n"/>
      <c r="B291" s="85" t="n">
        <v>41000</v>
      </c>
      <c r="C291" s="13">
        <f>((((VLOOKUP(B291,Database!$A:$AS,MATCH($C$1,Database!$A$1:$AS$1,),))))-(((VLOOKUP(EDATE(B291,-12),Database!$A:$AS,MATCH($C$1,Database!$A$1:$AS$1,),)))))/(((VLOOKUP(EDATE(B291,-12),Database!$A:$AS,MATCH($C$1,Database!$A$1:$AS$1,),))))</f>
        <v/>
      </c>
      <c r="D291" s="13">
        <f>((((VLOOKUP(B291,Database!$A:$AS,MATCH($D$1,Database!$A$1:$AS$1,),))))-(((VLOOKUP(EDATE(B291,-12),Database!$A:$AS,MATCH($D$1,Database!$A$1:$AS$1,),)))))/(((VLOOKUP(EDATE(B291,-12),Database!$A:$AS,MATCH($D$1,Database!$A$1:$AS$1,),))))</f>
        <v/>
      </c>
      <c r="E291" s="13">
        <f>((((VLOOKUP(B291,Database!$A:$AS,MATCH($E$1,Database!$A$1:$AS$1,),))))-(((VLOOKUP(EDATE(B291,-12),Database!$A:$AS,MATCH($E$1,Database!$A$1:$AS$1,),)))))/(((VLOOKUP(EDATE(B291,-12),Database!$A:$AS,MATCH($E$1,Database!$A$1:$AS$1,),))))</f>
        <v/>
      </c>
      <c r="F291" s="13">
        <f>((((VLOOKUP(B291,Database!$A:$AS,MATCH($F$1,Database!$A$1:$AS$1,),))))-(((VLOOKUP(EDATE(B291,-12),Database!$A:$AS,MATCH($F$1,Database!$A$1:$AS$1,),)))))/(((VLOOKUP(EDATE(B291,-12),Database!$A:$AS,MATCH($F$1,Database!$A$1:$AS$1,),))))</f>
        <v/>
      </c>
      <c r="G291" s="13">
        <f>((((VLOOKUP(B291,Database!$A:$AS,MATCH($G$1,Database!$A$1:$AS$1,),))))-(((VLOOKUP(EDATE(B291,-12),Database!$A:$AS,MATCH($G$1,Database!$A$1:$AS$1,),)))))/(((VLOOKUP(EDATE(B291,-12),Database!$A:$AS,MATCH($G$1,Database!$A$1:$AS$1,),))))</f>
        <v/>
      </c>
      <c r="H291" s="13">
        <f>((((VLOOKUP(B291,Database!$A:$AS,MATCH($H$1,Database!$A$1:$AS$1,),))))-(((VLOOKUP(EDATE(B291,-12),Database!$A:$AS,MATCH($H$1,Database!$A$1:$AS$1,),)))))/(((VLOOKUP(EDATE(B291,-12),Database!$A:$AS,MATCH($H$1,Database!$A$1:$AS$1,),))))</f>
        <v/>
      </c>
      <c r="I291" s="13">
        <f>((((VLOOKUP(B291,Database!$A:$AS,MATCH($I$1,Database!$A$1:$AS$1,),))))-(((VLOOKUP(EDATE(B291,-12),Database!$A:$AS,MATCH($I$1,Database!$A$1:$AS$1,),)))))/(((VLOOKUP(EDATE(B291,-12),Database!$A:$AS,MATCH($I$1,Database!$A$1:$AS$1,),))))</f>
        <v/>
      </c>
      <c r="J291" s="13">
        <f>((((VLOOKUP(B291,Database!$A:$AS,MATCH($J$1,Database!$A$1:$AS$1,),))))-(((VLOOKUP(EDATE(B291,-12),Database!$A:$AS,MATCH($J$1,Database!$A$1:$AS$1,),)))))/(((VLOOKUP(EDATE(B291,-12),Database!$A:$AS,MATCH($J$1,Database!$A$1:$AS$1,),))))</f>
        <v/>
      </c>
      <c r="K291" s="13">
        <f>((((VLOOKUP(B291,Database!$A:$AS,MATCH($K$1,Database!$A$1:$AS$1,),))))-(((VLOOKUP(EDATE(B291,-12),Database!$A:$AS,MATCH($K$1,Database!$A$1:$AS$1,),)))))/(((VLOOKUP(EDATE(B291,-12),Database!$A:$AS,MATCH($K$1,Database!$A$1:$AS$1,),))))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((((VLOOKUP(B291,Database!$A:$AS,MATCH($O$1,Database!$A$1:$AS$1,),))))-(((VLOOKUP(EDATE(B291,-12),Database!$A:$AS,MATCH($O$1,Database!$A$1:$AS$1,),)))))/(((VLOOKUP(EDATE(B291,-12),Database!$A:$AS,MATCH($O$1,Database!$A$1:$AS$1,),))))</f>
        <v/>
      </c>
      <c r="P291" s="13">
        <f>((((VLOOKUP(B291,Database!$A:$AS,MATCH($P$1,Database!$A$1:$AS$1,),))))-(((VLOOKUP(EDATE(B291,-12),Database!$A:$AS,MATCH($P$1,Database!$A$1:$AS$1,),)))))/(((VLOOKUP(EDATE(B291,-12),Database!$A:$AS,MATCH($P$1,Database!$A$1:$AS$1,),))))</f>
        <v/>
      </c>
      <c r="Q291" s="13">
        <f>((((VLOOKUP(B291,Database!$A:$AS,MATCH($Q$1,Database!$A$1:$AS$1,),))))-(((VLOOKUP(EDATE(B291,-12),Database!$A:$AS,MATCH($Q$1,Database!$A$1:$AS$1,),)))))/(((VLOOKUP(EDATE(B291,-12),Database!$A:$AS,MATCH($Q$1,Database!$A$1:$AS$1,),))))</f>
        <v/>
      </c>
      <c r="R291" s="13">
        <f>((((VLOOKUP(B291,Database!$A:$AS,MATCH($R$1,Database!$A$1:$AS$1,),))))-(((VLOOKUP(EDATE(B291,-12),Database!$A:$AS,MATCH($R$1,Database!$A$1:$AS$1,),)))))/(((VLOOKUP(EDATE(B291,-12),Database!$A:$AS,MATCH($R$1,Database!$A$1:$AS$1,),))))</f>
        <v/>
      </c>
      <c r="S291" s="13">
        <f>((((VLOOKUP(B291,Database!$A:$AS,MATCH($S$1,Database!$A$1:$AS$1,),))))-(((VLOOKUP(EDATE(B291,-12),Database!$A:$AS,MATCH($S$1,Database!$A$1:$AS$1,),)))))/(((VLOOKUP(EDATE(B291,-12),Database!$A:$AS,MATCH($S$1,Database!$A$1:$AS$1,),))))</f>
        <v/>
      </c>
      <c r="T291" s="13">
        <f>((((VLOOKUP(B291,Database!$A:$AS,MATCH($T$1,Database!$A$1:$AS$1,),))))-(((VLOOKUP(EDATE(B291,-12),Database!$A:$AS,MATCH($T$1,Database!$A$1:$AS$1,),)))))/(((VLOOKUP(EDATE(B291,-12),Database!$A:$AS,MATCH($T$1,Database!$A$1:$AS$1,),))))</f>
        <v/>
      </c>
      <c r="U291" s="13">
        <f>((((VLOOKUP(B291,Database!$A:$AS,MATCH($U$1,Database!$A$1:$AS$1,),))))-(((VLOOKUP(EDATE(B291,-12),Database!$A:$AS,MATCH($U$1,Database!$A$1:$AS$1,),)))))/(((VLOOKUP(EDATE(B291,-12),Database!$A:$AS,MATCH($U$1,Database!$A$1:$AS$1,),))))</f>
        <v/>
      </c>
      <c r="V291" s="13">
        <f>((((VLOOKUP(B291,Database!$A:$AS,MATCH($V$1,Database!$A$1:$AS$1,),))))-(((VLOOKUP(EDATE(B291,-12),Database!$A:$AS,MATCH($V$1,Database!$A$1:$AS$1,),)))))/(((VLOOKUP(EDATE(B291,-12),Database!$A:$AS,MATCH($V$1,Database!$A$1:$AS$1,),))))</f>
        <v/>
      </c>
    </row>
    <row r="292" customFormat="1" s="94">
      <c r="A292" s="44" t="n"/>
      <c r="B292" s="85" t="n">
        <v>41030</v>
      </c>
      <c r="C292" s="13">
        <f>((((VLOOKUP(B292,Database!$A:$AS,MATCH($C$1,Database!$A$1:$AS$1,),))))-(((VLOOKUP(EDATE(B292,-12),Database!$A:$AS,MATCH($C$1,Database!$A$1:$AS$1,),)))))/(((VLOOKUP(EDATE(B292,-12),Database!$A:$AS,MATCH($C$1,Database!$A$1:$AS$1,),))))</f>
        <v/>
      </c>
      <c r="D292" s="13">
        <f>((((VLOOKUP(B292,Database!$A:$AS,MATCH($D$1,Database!$A$1:$AS$1,),))))-(((VLOOKUP(EDATE(B292,-12),Database!$A:$AS,MATCH($D$1,Database!$A$1:$AS$1,),)))))/(((VLOOKUP(EDATE(B292,-12),Database!$A:$AS,MATCH($D$1,Database!$A$1:$AS$1,),))))</f>
        <v/>
      </c>
      <c r="E292" s="13">
        <f>((((VLOOKUP(B292,Database!$A:$AS,MATCH($E$1,Database!$A$1:$AS$1,),))))-(((VLOOKUP(EDATE(B292,-12),Database!$A:$AS,MATCH($E$1,Database!$A$1:$AS$1,),)))))/(((VLOOKUP(EDATE(B292,-12),Database!$A:$AS,MATCH($E$1,Database!$A$1:$AS$1,),))))</f>
        <v/>
      </c>
      <c r="F292" s="13">
        <f>((((VLOOKUP(B292,Database!$A:$AS,MATCH($F$1,Database!$A$1:$AS$1,),))))-(((VLOOKUP(EDATE(B292,-12),Database!$A:$AS,MATCH($F$1,Database!$A$1:$AS$1,),)))))/(((VLOOKUP(EDATE(B292,-12),Database!$A:$AS,MATCH($F$1,Database!$A$1:$AS$1,),))))</f>
        <v/>
      </c>
      <c r="G292" s="13">
        <f>((((VLOOKUP(B292,Database!$A:$AS,MATCH($G$1,Database!$A$1:$AS$1,),))))-(((VLOOKUP(EDATE(B292,-12),Database!$A:$AS,MATCH($G$1,Database!$A$1:$AS$1,),)))))/(((VLOOKUP(EDATE(B292,-12),Database!$A:$AS,MATCH($G$1,Database!$A$1:$AS$1,),))))</f>
        <v/>
      </c>
      <c r="H292" s="13">
        <f>((((VLOOKUP(B292,Database!$A:$AS,MATCH($H$1,Database!$A$1:$AS$1,),))))-(((VLOOKUP(EDATE(B292,-12),Database!$A:$AS,MATCH($H$1,Database!$A$1:$AS$1,),)))))/(((VLOOKUP(EDATE(B292,-12),Database!$A:$AS,MATCH($H$1,Database!$A$1:$AS$1,),))))</f>
        <v/>
      </c>
      <c r="I292" s="13">
        <f>((((VLOOKUP(B292,Database!$A:$AS,MATCH($I$1,Database!$A$1:$AS$1,),))))-(((VLOOKUP(EDATE(B292,-12),Database!$A:$AS,MATCH($I$1,Database!$A$1:$AS$1,),)))))/(((VLOOKUP(EDATE(B292,-12),Database!$A:$AS,MATCH($I$1,Database!$A$1:$AS$1,),))))</f>
        <v/>
      </c>
      <c r="J292" s="13">
        <f>((((VLOOKUP(B292,Database!$A:$AS,MATCH($J$1,Database!$A$1:$AS$1,),))))-(((VLOOKUP(EDATE(B292,-12),Database!$A:$AS,MATCH($J$1,Database!$A$1:$AS$1,),)))))/(((VLOOKUP(EDATE(B292,-12),Database!$A:$AS,MATCH($J$1,Database!$A$1:$AS$1,),))))</f>
        <v/>
      </c>
      <c r="K292" s="13">
        <f>((((VLOOKUP(B292,Database!$A:$AS,MATCH($K$1,Database!$A$1:$AS$1,),))))-(((VLOOKUP(EDATE(B292,-12),Database!$A:$AS,MATCH($K$1,Database!$A$1:$AS$1,),)))))/(((VLOOKUP(EDATE(B292,-12),Database!$A:$AS,MATCH($K$1,Database!$A$1:$AS$1,),))))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((((VLOOKUP(B292,Database!$A:$AS,MATCH($O$1,Database!$A$1:$AS$1,),))))-(((VLOOKUP(EDATE(B292,-12),Database!$A:$AS,MATCH($O$1,Database!$A$1:$AS$1,),)))))/(((VLOOKUP(EDATE(B292,-12),Database!$A:$AS,MATCH($O$1,Database!$A$1:$AS$1,),))))</f>
        <v/>
      </c>
      <c r="P292" s="13">
        <f>((((VLOOKUP(B292,Database!$A:$AS,MATCH($P$1,Database!$A$1:$AS$1,),))))-(((VLOOKUP(EDATE(B292,-12),Database!$A:$AS,MATCH($P$1,Database!$A$1:$AS$1,),)))))/(((VLOOKUP(EDATE(B292,-12),Database!$A:$AS,MATCH($P$1,Database!$A$1:$AS$1,),))))</f>
        <v/>
      </c>
      <c r="Q292" s="13">
        <f>((((VLOOKUP(B292,Database!$A:$AS,MATCH($Q$1,Database!$A$1:$AS$1,),))))-(((VLOOKUP(EDATE(B292,-12),Database!$A:$AS,MATCH($Q$1,Database!$A$1:$AS$1,),)))))/(((VLOOKUP(EDATE(B292,-12),Database!$A:$AS,MATCH($Q$1,Database!$A$1:$AS$1,),))))</f>
        <v/>
      </c>
      <c r="R292" s="13">
        <f>((((VLOOKUP(B292,Database!$A:$AS,MATCH($R$1,Database!$A$1:$AS$1,),))))-(((VLOOKUP(EDATE(B292,-12),Database!$A:$AS,MATCH($R$1,Database!$A$1:$AS$1,),)))))/(((VLOOKUP(EDATE(B292,-12),Database!$A:$AS,MATCH($R$1,Database!$A$1:$AS$1,),))))</f>
        <v/>
      </c>
      <c r="S292" s="13">
        <f>((((VLOOKUP(B292,Database!$A:$AS,MATCH($S$1,Database!$A$1:$AS$1,),))))-(((VLOOKUP(EDATE(B292,-12),Database!$A:$AS,MATCH($S$1,Database!$A$1:$AS$1,),)))))/(((VLOOKUP(EDATE(B292,-12),Database!$A:$AS,MATCH($S$1,Database!$A$1:$AS$1,),))))</f>
        <v/>
      </c>
      <c r="T292" s="13">
        <f>((((VLOOKUP(B292,Database!$A:$AS,MATCH($T$1,Database!$A$1:$AS$1,),))))-(((VLOOKUP(EDATE(B292,-12),Database!$A:$AS,MATCH($T$1,Database!$A$1:$AS$1,),)))))/(((VLOOKUP(EDATE(B292,-12),Database!$A:$AS,MATCH($T$1,Database!$A$1:$AS$1,),))))</f>
        <v/>
      </c>
      <c r="U292" s="13">
        <f>((((VLOOKUP(B292,Database!$A:$AS,MATCH($U$1,Database!$A$1:$AS$1,),))))-(((VLOOKUP(EDATE(B292,-12),Database!$A:$AS,MATCH($U$1,Database!$A$1:$AS$1,),)))))/(((VLOOKUP(EDATE(B292,-12),Database!$A:$AS,MATCH($U$1,Database!$A$1:$AS$1,),))))</f>
        <v/>
      </c>
      <c r="V292" s="13">
        <f>((((VLOOKUP(B292,Database!$A:$AS,MATCH($V$1,Database!$A$1:$AS$1,),))))-(((VLOOKUP(EDATE(B292,-12),Database!$A:$AS,MATCH($V$1,Database!$A$1:$AS$1,),)))))/(((VLOOKUP(EDATE(B292,-12),Database!$A:$AS,MATCH($V$1,Database!$A$1:$AS$1,),))))</f>
        <v/>
      </c>
    </row>
    <row r="293" customFormat="1" s="94">
      <c r="A293" s="44" t="n"/>
      <c r="B293" s="85" t="n">
        <v>41061</v>
      </c>
      <c r="C293" s="13">
        <f>((((VLOOKUP(B293,Database!$A:$AS,MATCH($C$1,Database!$A$1:$AS$1,),))))-(((VLOOKUP(EDATE(B293,-12),Database!$A:$AS,MATCH($C$1,Database!$A$1:$AS$1,),)))))/(((VLOOKUP(EDATE(B293,-12),Database!$A:$AS,MATCH($C$1,Database!$A$1:$AS$1,),))))</f>
        <v/>
      </c>
      <c r="D293" s="13">
        <f>((((VLOOKUP(B293,Database!$A:$AS,MATCH($D$1,Database!$A$1:$AS$1,),))))-(((VLOOKUP(EDATE(B293,-12),Database!$A:$AS,MATCH($D$1,Database!$A$1:$AS$1,),)))))/(((VLOOKUP(EDATE(B293,-12),Database!$A:$AS,MATCH($D$1,Database!$A$1:$AS$1,),))))</f>
        <v/>
      </c>
      <c r="E293" s="13">
        <f>((((VLOOKUP(B293,Database!$A:$AS,MATCH($E$1,Database!$A$1:$AS$1,),))))-(((VLOOKUP(EDATE(B293,-12),Database!$A:$AS,MATCH($E$1,Database!$A$1:$AS$1,),)))))/(((VLOOKUP(EDATE(B293,-12),Database!$A:$AS,MATCH($E$1,Database!$A$1:$AS$1,),))))</f>
        <v/>
      </c>
      <c r="F293" s="13">
        <f>((((VLOOKUP(B293,Database!$A:$AS,MATCH($F$1,Database!$A$1:$AS$1,),))))-(((VLOOKUP(EDATE(B293,-12),Database!$A:$AS,MATCH($F$1,Database!$A$1:$AS$1,),)))))/(((VLOOKUP(EDATE(B293,-12),Database!$A:$AS,MATCH($F$1,Database!$A$1:$AS$1,),))))</f>
        <v/>
      </c>
      <c r="G293" s="13">
        <f>((((VLOOKUP(B293,Database!$A:$AS,MATCH($G$1,Database!$A$1:$AS$1,),))))-(((VLOOKUP(EDATE(B293,-12),Database!$A:$AS,MATCH($G$1,Database!$A$1:$AS$1,),)))))/(((VLOOKUP(EDATE(B293,-12),Database!$A:$AS,MATCH($G$1,Database!$A$1:$AS$1,),))))</f>
        <v/>
      </c>
      <c r="H293" s="13">
        <f>((((VLOOKUP(B293,Database!$A:$AS,MATCH($H$1,Database!$A$1:$AS$1,),))))-(((VLOOKUP(EDATE(B293,-12),Database!$A:$AS,MATCH($H$1,Database!$A$1:$AS$1,),)))))/(((VLOOKUP(EDATE(B293,-12),Database!$A:$AS,MATCH($H$1,Database!$A$1:$AS$1,),))))</f>
        <v/>
      </c>
      <c r="I293" s="13">
        <f>((((VLOOKUP(B293,Database!$A:$AS,MATCH($I$1,Database!$A$1:$AS$1,),))))-(((VLOOKUP(EDATE(B293,-12),Database!$A:$AS,MATCH($I$1,Database!$A$1:$AS$1,),)))))/(((VLOOKUP(EDATE(B293,-12),Database!$A:$AS,MATCH($I$1,Database!$A$1:$AS$1,),))))</f>
        <v/>
      </c>
      <c r="J293" s="13">
        <f>((((VLOOKUP(B293,Database!$A:$AS,MATCH($J$1,Database!$A$1:$AS$1,),))))-(((VLOOKUP(EDATE(B293,-12),Database!$A:$AS,MATCH($J$1,Database!$A$1:$AS$1,),)))))/(((VLOOKUP(EDATE(B293,-12),Database!$A:$AS,MATCH($J$1,Database!$A$1:$AS$1,),))))</f>
        <v/>
      </c>
      <c r="K293" s="13">
        <f>((((VLOOKUP(B293,Database!$A:$AS,MATCH($K$1,Database!$A$1:$AS$1,),))))-(((VLOOKUP(EDATE(B293,-12),Database!$A:$AS,MATCH($K$1,Database!$A$1:$AS$1,),)))))/(((VLOOKUP(EDATE(B293,-12),Database!$A:$AS,MATCH($K$1,Database!$A$1:$AS$1,),))))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((((VLOOKUP(B293,Database!$A:$AS,MATCH($O$1,Database!$A$1:$AS$1,),))))-(((VLOOKUP(EDATE(B293,-12),Database!$A:$AS,MATCH($O$1,Database!$A$1:$AS$1,),)))))/(((VLOOKUP(EDATE(B293,-12),Database!$A:$AS,MATCH($O$1,Database!$A$1:$AS$1,),))))</f>
        <v/>
      </c>
      <c r="P293" s="13">
        <f>((((VLOOKUP(B293,Database!$A:$AS,MATCH($P$1,Database!$A$1:$AS$1,),))))-(((VLOOKUP(EDATE(B293,-12),Database!$A:$AS,MATCH($P$1,Database!$A$1:$AS$1,),)))))/(((VLOOKUP(EDATE(B293,-12),Database!$A:$AS,MATCH($P$1,Database!$A$1:$AS$1,),))))</f>
        <v/>
      </c>
      <c r="Q293" s="13">
        <f>((((VLOOKUP(B293,Database!$A:$AS,MATCH($Q$1,Database!$A$1:$AS$1,),))))-(((VLOOKUP(EDATE(B293,-12),Database!$A:$AS,MATCH($Q$1,Database!$A$1:$AS$1,),)))))/(((VLOOKUP(EDATE(B293,-12),Database!$A:$AS,MATCH($Q$1,Database!$A$1:$AS$1,),))))</f>
        <v/>
      </c>
      <c r="R293" s="13">
        <f>((((VLOOKUP(B293,Database!$A:$AS,MATCH($R$1,Database!$A$1:$AS$1,),))))-(((VLOOKUP(EDATE(B293,-12),Database!$A:$AS,MATCH($R$1,Database!$A$1:$AS$1,),)))))/(((VLOOKUP(EDATE(B293,-12),Database!$A:$AS,MATCH($R$1,Database!$A$1:$AS$1,),))))</f>
        <v/>
      </c>
      <c r="S293" s="13">
        <f>((((VLOOKUP(B293,Database!$A:$AS,MATCH($S$1,Database!$A$1:$AS$1,),))))-(((VLOOKUP(EDATE(B293,-12),Database!$A:$AS,MATCH($S$1,Database!$A$1:$AS$1,),)))))/(((VLOOKUP(EDATE(B293,-12),Database!$A:$AS,MATCH($S$1,Database!$A$1:$AS$1,),))))</f>
        <v/>
      </c>
      <c r="T293" s="13">
        <f>((((VLOOKUP(B293,Database!$A:$AS,MATCH($T$1,Database!$A$1:$AS$1,),))))-(((VLOOKUP(EDATE(B293,-12),Database!$A:$AS,MATCH($T$1,Database!$A$1:$AS$1,),)))))/(((VLOOKUP(EDATE(B293,-12),Database!$A:$AS,MATCH($T$1,Database!$A$1:$AS$1,),))))</f>
        <v/>
      </c>
      <c r="U293" s="13">
        <f>((((VLOOKUP(B293,Database!$A:$AS,MATCH($U$1,Database!$A$1:$AS$1,),))))-(((VLOOKUP(EDATE(B293,-12),Database!$A:$AS,MATCH($U$1,Database!$A$1:$AS$1,),)))))/(((VLOOKUP(EDATE(B293,-12),Database!$A:$AS,MATCH($U$1,Database!$A$1:$AS$1,),))))</f>
        <v/>
      </c>
      <c r="V293" s="13">
        <f>((((VLOOKUP(B293,Database!$A:$AS,MATCH($V$1,Database!$A$1:$AS$1,),))))-(((VLOOKUP(EDATE(B293,-12),Database!$A:$AS,MATCH($V$1,Database!$A$1:$AS$1,),)))))/(((VLOOKUP(EDATE(B293,-12),Database!$A:$AS,MATCH($V$1,Database!$A$1:$AS$1,),))))</f>
        <v/>
      </c>
    </row>
    <row r="294" customFormat="1" s="94">
      <c r="A294" s="44" t="n"/>
      <c r="B294" s="85" t="n">
        <v>41091</v>
      </c>
      <c r="C294" s="13">
        <f>((((VLOOKUP(B294,Database!$A:$AS,MATCH($C$1,Database!$A$1:$AS$1,),))))-(((VLOOKUP(EDATE(B294,-12),Database!$A:$AS,MATCH($C$1,Database!$A$1:$AS$1,),)))))/(((VLOOKUP(EDATE(B294,-12),Database!$A:$AS,MATCH($C$1,Database!$A$1:$AS$1,),))))</f>
        <v/>
      </c>
      <c r="D294" s="13">
        <f>((((VLOOKUP(B294,Database!$A:$AS,MATCH($D$1,Database!$A$1:$AS$1,),))))-(((VLOOKUP(EDATE(B294,-12),Database!$A:$AS,MATCH($D$1,Database!$A$1:$AS$1,),)))))/(((VLOOKUP(EDATE(B294,-12),Database!$A:$AS,MATCH($D$1,Database!$A$1:$AS$1,),))))</f>
        <v/>
      </c>
      <c r="E294" s="13">
        <f>((((VLOOKUP(B294,Database!$A:$AS,MATCH($E$1,Database!$A$1:$AS$1,),))))-(((VLOOKUP(EDATE(B294,-12),Database!$A:$AS,MATCH($E$1,Database!$A$1:$AS$1,),)))))/(((VLOOKUP(EDATE(B294,-12),Database!$A:$AS,MATCH($E$1,Database!$A$1:$AS$1,),))))</f>
        <v/>
      </c>
      <c r="F294" s="13">
        <f>((((VLOOKUP(B294,Database!$A:$AS,MATCH($F$1,Database!$A$1:$AS$1,),))))-(((VLOOKUP(EDATE(B294,-12),Database!$A:$AS,MATCH($F$1,Database!$A$1:$AS$1,),)))))/(((VLOOKUP(EDATE(B294,-12),Database!$A:$AS,MATCH($F$1,Database!$A$1:$AS$1,),))))</f>
        <v/>
      </c>
      <c r="G294" s="13">
        <f>((((VLOOKUP(B294,Database!$A:$AS,MATCH($G$1,Database!$A$1:$AS$1,),))))-(((VLOOKUP(EDATE(B294,-12),Database!$A:$AS,MATCH($G$1,Database!$A$1:$AS$1,),)))))/(((VLOOKUP(EDATE(B294,-12),Database!$A:$AS,MATCH($G$1,Database!$A$1:$AS$1,),))))</f>
        <v/>
      </c>
      <c r="H294" s="13">
        <f>((((VLOOKUP(B294,Database!$A:$AS,MATCH($H$1,Database!$A$1:$AS$1,),))))-(((VLOOKUP(EDATE(B294,-12),Database!$A:$AS,MATCH($H$1,Database!$A$1:$AS$1,),)))))/(((VLOOKUP(EDATE(B294,-12),Database!$A:$AS,MATCH($H$1,Database!$A$1:$AS$1,),))))</f>
        <v/>
      </c>
      <c r="I294" s="13">
        <f>((((VLOOKUP(B294,Database!$A:$AS,MATCH($I$1,Database!$A$1:$AS$1,),))))-(((VLOOKUP(EDATE(B294,-12),Database!$A:$AS,MATCH($I$1,Database!$A$1:$AS$1,),)))))/(((VLOOKUP(EDATE(B294,-12),Database!$A:$AS,MATCH($I$1,Database!$A$1:$AS$1,),))))</f>
        <v/>
      </c>
      <c r="J294" s="13">
        <f>((((VLOOKUP(B294,Database!$A:$AS,MATCH($J$1,Database!$A$1:$AS$1,),))))-(((VLOOKUP(EDATE(B294,-12),Database!$A:$AS,MATCH($J$1,Database!$A$1:$AS$1,),)))))/(((VLOOKUP(EDATE(B294,-12),Database!$A:$AS,MATCH($J$1,Database!$A$1:$AS$1,),))))</f>
        <v/>
      </c>
      <c r="K294" s="13">
        <f>((((VLOOKUP(B294,Database!$A:$AS,MATCH($K$1,Database!$A$1:$AS$1,),))))-(((VLOOKUP(EDATE(B294,-12),Database!$A:$AS,MATCH($K$1,Database!$A$1:$AS$1,),)))))/(((VLOOKUP(EDATE(B294,-12),Database!$A:$AS,MATCH($K$1,Database!$A$1:$AS$1,),))))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((((VLOOKUP(B294,Database!$A:$AS,MATCH($O$1,Database!$A$1:$AS$1,),))))-(((VLOOKUP(EDATE(B294,-12),Database!$A:$AS,MATCH($O$1,Database!$A$1:$AS$1,),)))))/(((VLOOKUP(EDATE(B294,-12),Database!$A:$AS,MATCH($O$1,Database!$A$1:$AS$1,),))))</f>
        <v/>
      </c>
      <c r="P294" s="13">
        <f>((((VLOOKUP(B294,Database!$A:$AS,MATCH($P$1,Database!$A$1:$AS$1,),))))-(((VLOOKUP(EDATE(B294,-12),Database!$A:$AS,MATCH($P$1,Database!$A$1:$AS$1,),)))))/(((VLOOKUP(EDATE(B294,-12),Database!$A:$AS,MATCH($P$1,Database!$A$1:$AS$1,),))))</f>
        <v/>
      </c>
      <c r="Q294" s="13">
        <f>((((VLOOKUP(B294,Database!$A:$AS,MATCH($Q$1,Database!$A$1:$AS$1,),))))-(((VLOOKUP(EDATE(B294,-12),Database!$A:$AS,MATCH($Q$1,Database!$A$1:$AS$1,),)))))/(((VLOOKUP(EDATE(B294,-12),Database!$A:$AS,MATCH($Q$1,Database!$A$1:$AS$1,),))))</f>
        <v/>
      </c>
      <c r="R294" s="13">
        <f>((((VLOOKUP(B294,Database!$A:$AS,MATCH($R$1,Database!$A$1:$AS$1,),))))-(((VLOOKUP(EDATE(B294,-12),Database!$A:$AS,MATCH($R$1,Database!$A$1:$AS$1,),)))))/(((VLOOKUP(EDATE(B294,-12),Database!$A:$AS,MATCH($R$1,Database!$A$1:$AS$1,),))))</f>
        <v/>
      </c>
      <c r="S294" s="13">
        <f>((((VLOOKUP(B294,Database!$A:$AS,MATCH($S$1,Database!$A$1:$AS$1,),))))-(((VLOOKUP(EDATE(B294,-12),Database!$A:$AS,MATCH($S$1,Database!$A$1:$AS$1,),)))))/(((VLOOKUP(EDATE(B294,-12),Database!$A:$AS,MATCH($S$1,Database!$A$1:$AS$1,),))))</f>
        <v/>
      </c>
      <c r="T294" s="13">
        <f>((((VLOOKUP(B294,Database!$A:$AS,MATCH($T$1,Database!$A$1:$AS$1,),))))-(((VLOOKUP(EDATE(B294,-12),Database!$A:$AS,MATCH($T$1,Database!$A$1:$AS$1,),)))))/(((VLOOKUP(EDATE(B294,-12),Database!$A:$AS,MATCH($T$1,Database!$A$1:$AS$1,),))))</f>
        <v/>
      </c>
      <c r="U294" s="13">
        <f>((((VLOOKUP(B294,Database!$A:$AS,MATCH($U$1,Database!$A$1:$AS$1,),))))-(((VLOOKUP(EDATE(B294,-12),Database!$A:$AS,MATCH($U$1,Database!$A$1:$AS$1,),)))))/(((VLOOKUP(EDATE(B294,-12),Database!$A:$AS,MATCH($U$1,Database!$A$1:$AS$1,),))))</f>
        <v/>
      </c>
      <c r="V294" s="13">
        <f>((((VLOOKUP(B294,Database!$A:$AS,MATCH($V$1,Database!$A$1:$AS$1,),))))-(((VLOOKUP(EDATE(B294,-12),Database!$A:$AS,MATCH($V$1,Database!$A$1:$AS$1,),)))))/(((VLOOKUP(EDATE(B294,-12),Database!$A:$AS,MATCH($V$1,Database!$A$1:$AS$1,),))))</f>
        <v/>
      </c>
    </row>
    <row r="295" customFormat="1" s="94">
      <c r="A295" s="44" t="n"/>
      <c r="B295" s="85" t="n">
        <v>41122</v>
      </c>
      <c r="C295" s="13">
        <f>((((VLOOKUP(B295,Database!$A:$AS,MATCH($C$1,Database!$A$1:$AS$1,),))))-(((VLOOKUP(EDATE(B295,-12),Database!$A:$AS,MATCH($C$1,Database!$A$1:$AS$1,),)))))/(((VLOOKUP(EDATE(B295,-12),Database!$A:$AS,MATCH($C$1,Database!$A$1:$AS$1,),))))</f>
        <v/>
      </c>
      <c r="D295" s="13">
        <f>((((VLOOKUP(B295,Database!$A:$AS,MATCH($D$1,Database!$A$1:$AS$1,),))))-(((VLOOKUP(EDATE(B295,-12),Database!$A:$AS,MATCH($D$1,Database!$A$1:$AS$1,),)))))/(((VLOOKUP(EDATE(B295,-12),Database!$A:$AS,MATCH($D$1,Database!$A$1:$AS$1,),))))</f>
        <v/>
      </c>
      <c r="E295" s="13">
        <f>((((VLOOKUP(B295,Database!$A:$AS,MATCH($E$1,Database!$A$1:$AS$1,),))))-(((VLOOKUP(EDATE(B295,-12),Database!$A:$AS,MATCH($E$1,Database!$A$1:$AS$1,),)))))/(((VLOOKUP(EDATE(B295,-12),Database!$A:$AS,MATCH($E$1,Database!$A$1:$AS$1,),))))</f>
        <v/>
      </c>
      <c r="F295" s="13">
        <f>((((VLOOKUP(B295,Database!$A:$AS,MATCH($F$1,Database!$A$1:$AS$1,),))))-(((VLOOKUP(EDATE(B295,-12),Database!$A:$AS,MATCH($F$1,Database!$A$1:$AS$1,),)))))/(((VLOOKUP(EDATE(B295,-12),Database!$A:$AS,MATCH($F$1,Database!$A$1:$AS$1,),))))</f>
        <v/>
      </c>
      <c r="G295" s="13">
        <f>((((VLOOKUP(B295,Database!$A:$AS,MATCH($G$1,Database!$A$1:$AS$1,),))))-(((VLOOKUP(EDATE(B295,-12),Database!$A:$AS,MATCH($G$1,Database!$A$1:$AS$1,),)))))/(((VLOOKUP(EDATE(B295,-12),Database!$A:$AS,MATCH($G$1,Database!$A$1:$AS$1,),))))</f>
        <v/>
      </c>
      <c r="H295" s="13">
        <f>((((VLOOKUP(B295,Database!$A:$AS,MATCH($H$1,Database!$A$1:$AS$1,),))))-(((VLOOKUP(EDATE(B295,-12),Database!$A:$AS,MATCH($H$1,Database!$A$1:$AS$1,),)))))/(((VLOOKUP(EDATE(B295,-12),Database!$A:$AS,MATCH($H$1,Database!$A$1:$AS$1,),))))</f>
        <v/>
      </c>
      <c r="I295" s="13">
        <f>((((VLOOKUP(B295,Database!$A:$AS,MATCH($I$1,Database!$A$1:$AS$1,),))))-(((VLOOKUP(EDATE(B295,-12),Database!$A:$AS,MATCH($I$1,Database!$A$1:$AS$1,),)))))/(((VLOOKUP(EDATE(B295,-12),Database!$A:$AS,MATCH($I$1,Database!$A$1:$AS$1,),))))</f>
        <v/>
      </c>
      <c r="J295" s="13">
        <f>((((VLOOKUP(B295,Database!$A:$AS,MATCH($J$1,Database!$A$1:$AS$1,),))))-(((VLOOKUP(EDATE(B295,-12),Database!$A:$AS,MATCH($J$1,Database!$A$1:$AS$1,),)))))/(((VLOOKUP(EDATE(B295,-12),Database!$A:$AS,MATCH($J$1,Database!$A$1:$AS$1,),))))</f>
        <v/>
      </c>
      <c r="K295" s="13">
        <f>((((VLOOKUP(B295,Database!$A:$AS,MATCH($K$1,Database!$A$1:$AS$1,),))))-(((VLOOKUP(EDATE(B295,-12),Database!$A:$AS,MATCH($K$1,Database!$A$1:$AS$1,),)))))/(((VLOOKUP(EDATE(B295,-12),Database!$A:$AS,MATCH($K$1,Database!$A$1:$AS$1,),))))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((((VLOOKUP(B295,Database!$A:$AS,MATCH($O$1,Database!$A$1:$AS$1,),))))-(((VLOOKUP(EDATE(B295,-12),Database!$A:$AS,MATCH($O$1,Database!$A$1:$AS$1,),)))))/(((VLOOKUP(EDATE(B295,-12),Database!$A:$AS,MATCH($O$1,Database!$A$1:$AS$1,),))))</f>
        <v/>
      </c>
      <c r="P295" s="13">
        <f>((((VLOOKUP(B295,Database!$A:$AS,MATCH($P$1,Database!$A$1:$AS$1,),))))-(((VLOOKUP(EDATE(B295,-12),Database!$A:$AS,MATCH($P$1,Database!$A$1:$AS$1,),)))))/(((VLOOKUP(EDATE(B295,-12),Database!$A:$AS,MATCH($P$1,Database!$A$1:$AS$1,),))))</f>
        <v/>
      </c>
      <c r="Q295" s="13">
        <f>((((VLOOKUP(B295,Database!$A:$AS,MATCH($Q$1,Database!$A$1:$AS$1,),))))-(((VLOOKUP(EDATE(B295,-12),Database!$A:$AS,MATCH($Q$1,Database!$A$1:$AS$1,),)))))/(((VLOOKUP(EDATE(B295,-12),Database!$A:$AS,MATCH($Q$1,Database!$A$1:$AS$1,),))))</f>
        <v/>
      </c>
      <c r="R295" s="13">
        <f>((((VLOOKUP(B295,Database!$A:$AS,MATCH($R$1,Database!$A$1:$AS$1,),))))-(((VLOOKUP(EDATE(B295,-12),Database!$A:$AS,MATCH($R$1,Database!$A$1:$AS$1,),)))))/(((VLOOKUP(EDATE(B295,-12),Database!$A:$AS,MATCH($R$1,Database!$A$1:$AS$1,),))))</f>
        <v/>
      </c>
      <c r="S295" s="13">
        <f>((((VLOOKUP(B295,Database!$A:$AS,MATCH($S$1,Database!$A$1:$AS$1,),))))-(((VLOOKUP(EDATE(B295,-12),Database!$A:$AS,MATCH($S$1,Database!$A$1:$AS$1,),)))))/(((VLOOKUP(EDATE(B295,-12),Database!$A:$AS,MATCH($S$1,Database!$A$1:$AS$1,),))))</f>
        <v/>
      </c>
      <c r="T295" s="13">
        <f>((((VLOOKUP(B295,Database!$A:$AS,MATCH($T$1,Database!$A$1:$AS$1,),))))-(((VLOOKUP(EDATE(B295,-12),Database!$A:$AS,MATCH($T$1,Database!$A$1:$AS$1,),)))))/(((VLOOKUP(EDATE(B295,-12),Database!$A:$AS,MATCH($T$1,Database!$A$1:$AS$1,),))))</f>
        <v/>
      </c>
      <c r="U295" s="13">
        <f>((((VLOOKUP(B295,Database!$A:$AS,MATCH($U$1,Database!$A$1:$AS$1,),))))-(((VLOOKUP(EDATE(B295,-12),Database!$A:$AS,MATCH($U$1,Database!$A$1:$AS$1,),)))))/(((VLOOKUP(EDATE(B295,-12),Database!$A:$AS,MATCH($U$1,Database!$A$1:$AS$1,),))))</f>
        <v/>
      </c>
      <c r="V295" s="13">
        <f>((((VLOOKUP(B295,Database!$A:$AS,MATCH($V$1,Database!$A$1:$AS$1,),))))-(((VLOOKUP(EDATE(B295,-12),Database!$A:$AS,MATCH($V$1,Database!$A$1:$AS$1,),)))))/(((VLOOKUP(EDATE(B295,-12),Database!$A:$AS,MATCH($V$1,Database!$A$1:$AS$1,),))))</f>
        <v/>
      </c>
    </row>
    <row r="296" customFormat="1" s="94">
      <c r="A296" s="44" t="n"/>
      <c r="B296" s="85" t="n">
        <v>41153</v>
      </c>
      <c r="C296" s="13">
        <f>((((VLOOKUP(B296,Database!$A:$AS,MATCH($C$1,Database!$A$1:$AS$1,),))))-(((VLOOKUP(EDATE(B296,-12),Database!$A:$AS,MATCH($C$1,Database!$A$1:$AS$1,),)))))/(((VLOOKUP(EDATE(B296,-12),Database!$A:$AS,MATCH($C$1,Database!$A$1:$AS$1,),))))</f>
        <v/>
      </c>
      <c r="D296" s="13">
        <f>((((VLOOKUP(B296,Database!$A:$AS,MATCH($D$1,Database!$A$1:$AS$1,),))))-(((VLOOKUP(EDATE(B296,-12),Database!$A:$AS,MATCH($D$1,Database!$A$1:$AS$1,),)))))/(((VLOOKUP(EDATE(B296,-12),Database!$A:$AS,MATCH($D$1,Database!$A$1:$AS$1,),))))</f>
        <v/>
      </c>
      <c r="E296" s="13">
        <f>((((VLOOKUP(B296,Database!$A:$AS,MATCH($E$1,Database!$A$1:$AS$1,),))))-(((VLOOKUP(EDATE(B296,-12),Database!$A:$AS,MATCH($E$1,Database!$A$1:$AS$1,),)))))/(((VLOOKUP(EDATE(B296,-12),Database!$A:$AS,MATCH($E$1,Database!$A$1:$AS$1,),))))</f>
        <v/>
      </c>
      <c r="F296" s="13">
        <f>((((VLOOKUP(B296,Database!$A:$AS,MATCH($F$1,Database!$A$1:$AS$1,),))))-(((VLOOKUP(EDATE(B296,-12),Database!$A:$AS,MATCH($F$1,Database!$A$1:$AS$1,),)))))/(((VLOOKUP(EDATE(B296,-12),Database!$A:$AS,MATCH($F$1,Database!$A$1:$AS$1,),))))</f>
        <v/>
      </c>
      <c r="G296" s="13">
        <f>((((VLOOKUP(B296,Database!$A:$AS,MATCH($G$1,Database!$A$1:$AS$1,),))))-(((VLOOKUP(EDATE(B296,-12),Database!$A:$AS,MATCH($G$1,Database!$A$1:$AS$1,),)))))/(((VLOOKUP(EDATE(B296,-12),Database!$A:$AS,MATCH($G$1,Database!$A$1:$AS$1,),))))</f>
        <v/>
      </c>
      <c r="H296" s="13">
        <f>((((VLOOKUP(B296,Database!$A:$AS,MATCH($H$1,Database!$A$1:$AS$1,),))))-(((VLOOKUP(EDATE(B296,-12),Database!$A:$AS,MATCH($H$1,Database!$A$1:$AS$1,),)))))/(((VLOOKUP(EDATE(B296,-12),Database!$A:$AS,MATCH($H$1,Database!$A$1:$AS$1,),))))</f>
        <v/>
      </c>
      <c r="I296" s="13">
        <f>((((VLOOKUP(B296,Database!$A:$AS,MATCH($I$1,Database!$A$1:$AS$1,),))))-(((VLOOKUP(EDATE(B296,-12),Database!$A:$AS,MATCH($I$1,Database!$A$1:$AS$1,),)))))/(((VLOOKUP(EDATE(B296,-12),Database!$A:$AS,MATCH($I$1,Database!$A$1:$AS$1,),))))</f>
        <v/>
      </c>
      <c r="J296" s="13">
        <f>((((VLOOKUP(B296,Database!$A:$AS,MATCH($J$1,Database!$A$1:$AS$1,),))))-(((VLOOKUP(EDATE(B296,-12),Database!$A:$AS,MATCH($J$1,Database!$A$1:$AS$1,),)))))/(((VLOOKUP(EDATE(B296,-12),Database!$A:$AS,MATCH($J$1,Database!$A$1:$AS$1,),))))</f>
        <v/>
      </c>
      <c r="K296" s="13">
        <f>((((VLOOKUP(B296,Database!$A:$AS,MATCH($K$1,Database!$A$1:$AS$1,),))))-(((VLOOKUP(EDATE(B296,-12),Database!$A:$AS,MATCH($K$1,Database!$A$1:$AS$1,),)))))/(((VLOOKUP(EDATE(B296,-12),Database!$A:$AS,MATCH($K$1,Database!$A$1:$AS$1,),))))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((((VLOOKUP(B296,Database!$A:$AS,MATCH($O$1,Database!$A$1:$AS$1,),))))-(((VLOOKUP(EDATE(B296,-12),Database!$A:$AS,MATCH($O$1,Database!$A$1:$AS$1,),)))))/(((VLOOKUP(EDATE(B296,-12),Database!$A:$AS,MATCH($O$1,Database!$A$1:$AS$1,),))))</f>
        <v/>
      </c>
      <c r="P296" s="13">
        <f>((((VLOOKUP(B296,Database!$A:$AS,MATCH($P$1,Database!$A$1:$AS$1,),))))-(((VLOOKUP(EDATE(B296,-12),Database!$A:$AS,MATCH($P$1,Database!$A$1:$AS$1,),)))))/(((VLOOKUP(EDATE(B296,-12),Database!$A:$AS,MATCH($P$1,Database!$A$1:$AS$1,),))))</f>
        <v/>
      </c>
      <c r="Q296" s="13">
        <f>((((VLOOKUP(B296,Database!$A:$AS,MATCH($Q$1,Database!$A$1:$AS$1,),))))-(((VLOOKUP(EDATE(B296,-12),Database!$A:$AS,MATCH($Q$1,Database!$A$1:$AS$1,),)))))/(((VLOOKUP(EDATE(B296,-12),Database!$A:$AS,MATCH($Q$1,Database!$A$1:$AS$1,),))))</f>
        <v/>
      </c>
      <c r="R296" s="13">
        <f>((((VLOOKUP(B296,Database!$A:$AS,MATCH($R$1,Database!$A$1:$AS$1,),))))-(((VLOOKUP(EDATE(B296,-12),Database!$A:$AS,MATCH($R$1,Database!$A$1:$AS$1,),)))))/(((VLOOKUP(EDATE(B296,-12),Database!$A:$AS,MATCH($R$1,Database!$A$1:$AS$1,),))))</f>
        <v/>
      </c>
      <c r="S296" s="13">
        <f>((((VLOOKUP(B296,Database!$A:$AS,MATCH($S$1,Database!$A$1:$AS$1,),))))-(((VLOOKUP(EDATE(B296,-12),Database!$A:$AS,MATCH($S$1,Database!$A$1:$AS$1,),)))))/(((VLOOKUP(EDATE(B296,-12),Database!$A:$AS,MATCH($S$1,Database!$A$1:$AS$1,),))))</f>
        <v/>
      </c>
      <c r="T296" s="13">
        <f>((((VLOOKUP(B296,Database!$A:$AS,MATCH($T$1,Database!$A$1:$AS$1,),))))-(((VLOOKUP(EDATE(B296,-12),Database!$A:$AS,MATCH($T$1,Database!$A$1:$AS$1,),)))))/(((VLOOKUP(EDATE(B296,-12),Database!$A:$AS,MATCH($T$1,Database!$A$1:$AS$1,),))))</f>
        <v/>
      </c>
      <c r="U296" s="13">
        <f>((((VLOOKUP(B296,Database!$A:$AS,MATCH($U$1,Database!$A$1:$AS$1,),))))-(((VLOOKUP(EDATE(B296,-12),Database!$A:$AS,MATCH($U$1,Database!$A$1:$AS$1,),)))))/(((VLOOKUP(EDATE(B296,-12),Database!$A:$AS,MATCH($U$1,Database!$A$1:$AS$1,),))))</f>
        <v/>
      </c>
      <c r="V296" s="13">
        <f>((((VLOOKUP(B296,Database!$A:$AS,MATCH($V$1,Database!$A$1:$AS$1,),))))-(((VLOOKUP(EDATE(B296,-12),Database!$A:$AS,MATCH($V$1,Database!$A$1:$AS$1,),)))))/(((VLOOKUP(EDATE(B296,-12),Database!$A:$AS,MATCH($V$1,Database!$A$1:$AS$1,),))))</f>
        <v/>
      </c>
    </row>
    <row r="297" customFormat="1" s="94">
      <c r="A297" s="44" t="n"/>
      <c r="B297" s="85" t="n">
        <v>41183</v>
      </c>
      <c r="C297" s="13">
        <f>((((VLOOKUP(B297,Database!$A:$AS,MATCH($C$1,Database!$A$1:$AS$1,),))))-(((VLOOKUP(EDATE(B297,-12),Database!$A:$AS,MATCH($C$1,Database!$A$1:$AS$1,),)))))/(((VLOOKUP(EDATE(B297,-12),Database!$A:$AS,MATCH($C$1,Database!$A$1:$AS$1,),))))</f>
        <v/>
      </c>
      <c r="D297" s="13">
        <f>((((VLOOKUP(B297,Database!$A:$AS,MATCH($D$1,Database!$A$1:$AS$1,),))))-(((VLOOKUP(EDATE(B297,-12),Database!$A:$AS,MATCH($D$1,Database!$A$1:$AS$1,),)))))/(((VLOOKUP(EDATE(B297,-12),Database!$A:$AS,MATCH($D$1,Database!$A$1:$AS$1,),))))</f>
        <v/>
      </c>
      <c r="E297" s="13">
        <f>((((VLOOKUP(B297,Database!$A:$AS,MATCH($E$1,Database!$A$1:$AS$1,),))))-(((VLOOKUP(EDATE(B297,-12),Database!$A:$AS,MATCH($E$1,Database!$A$1:$AS$1,),)))))/(((VLOOKUP(EDATE(B297,-12),Database!$A:$AS,MATCH($E$1,Database!$A$1:$AS$1,),))))</f>
        <v/>
      </c>
      <c r="F297" s="13">
        <f>((((VLOOKUP(B297,Database!$A:$AS,MATCH($F$1,Database!$A$1:$AS$1,),))))-(((VLOOKUP(EDATE(B297,-12),Database!$A:$AS,MATCH($F$1,Database!$A$1:$AS$1,),)))))/(((VLOOKUP(EDATE(B297,-12),Database!$A:$AS,MATCH($F$1,Database!$A$1:$AS$1,),))))</f>
        <v/>
      </c>
      <c r="G297" s="13">
        <f>((((VLOOKUP(B297,Database!$A:$AS,MATCH($G$1,Database!$A$1:$AS$1,),))))-(((VLOOKUP(EDATE(B297,-12),Database!$A:$AS,MATCH($G$1,Database!$A$1:$AS$1,),)))))/(((VLOOKUP(EDATE(B297,-12),Database!$A:$AS,MATCH($G$1,Database!$A$1:$AS$1,),))))</f>
        <v/>
      </c>
      <c r="H297" s="13">
        <f>((((VLOOKUP(B297,Database!$A:$AS,MATCH($H$1,Database!$A$1:$AS$1,),))))-(((VLOOKUP(EDATE(B297,-12),Database!$A:$AS,MATCH($H$1,Database!$A$1:$AS$1,),)))))/(((VLOOKUP(EDATE(B297,-12),Database!$A:$AS,MATCH($H$1,Database!$A$1:$AS$1,),))))</f>
        <v/>
      </c>
      <c r="I297" s="13">
        <f>((((VLOOKUP(B297,Database!$A:$AS,MATCH($I$1,Database!$A$1:$AS$1,),))))-(((VLOOKUP(EDATE(B297,-12),Database!$A:$AS,MATCH($I$1,Database!$A$1:$AS$1,),)))))/(((VLOOKUP(EDATE(B297,-12),Database!$A:$AS,MATCH($I$1,Database!$A$1:$AS$1,),))))</f>
        <v/>
      </c>
      <c r="J297" s="13">
        <f>((((VLOOKUP(B297,Database!$A:$AS,MATCH($J$1,Database!$A$1:$AS$1,),))))-(((VLOOKUP(EDATE(B297,-12),Database!$A:$AS,MATCH($J$1,Database!$A$1:$AS$1,),)))))/(((VLOOKUP(EDATE(B297,-12),Database!$A:$AS,MATCH($J$1,Database!$A$1:$AS$1,),))))</f>
        <v/>
      </c>
      <c r="K297" s="13">
        <f>((((VLOOKUP(B297,Database!$A:$AS,MATCH($K$1,Database!$A$1:$AS$1,),))))-(((VLOOKUP(EDATE(B297,-12),Database!$A:$AS,MATCH($K$1,Database!$A$1:$AS$1,),)))))/(((VLOOKUP(EDATE(B297,-12),Database!$A:$AS,MATCH($K$1,Database!$A$1:$AS$1,),))))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((((VLOOKUP(B297,Database!$A:$AS,MATCH($O$1,Database!$A$1:$AS$1,),))))-(((VLOOKUP(EDATE(B297,-12),Database!$A:$AS,MATCH($O$1,Database!$A$1:$AS$1,),)))))/(((VLOOKUP(EDATE(B297,-12),Database!$A:$AS,MATCH($O$1,Database!$A$1:$AS$1,),))))</f>
        <v/>
      </c>
      <c r="P297" s="13">
        <f>((((VLOOKUP(B297,Database!$A:$AS,MATCH($P$1,Database!$A$1:$AS$1,),))))-(((VLOOKUP(EDATE(B297,-12),Database!$A:$AS,MATCH($P$1,Database!$A$1:$AS$1,),)))))/(((VLOOKUP(EDATE(B297,-12),Database!$A:$AS,MATCH($P$1,Database!$A$1:$AS$1,),))))</f>
        <v/>
      </c>
      <c r="Q297" s="13">
        <f>((((VLOOKUP(B297,Database!$A:$AS,MATCH($Q$1,Database!$A$1:$AS$1,),))))-(((VLOOKUP(EDATE(B297,-12),Database!$A:$AS,MATCH($Q$1,Database!$A$1:$AS$1,),)))))/(((VLOOKUP(EDATE(B297,-12),Database!$A:$AS,MATCH($Q$1,Database!$A$1:$AS$1,),))))</f>
        <v/>
      </c>
      <c r="R297" s="13">
        <f>((((VLOOKUP(B297,Database!$A:$AS,MATCH($R$1,Database!$A$1:$AS$1,),))))-(((VLOOKUP(EDATE(B297,-12),Database!$A:$AS,MATCH($R$1,Database!$A$1:$AS$1,),)))))/(((VLOOKUP(EDATE(B297,-12),Database!$A:$AS,MATCH($R$1,Database!$A$1:$AS$1,),))))</f>
        <v/>
      </c>
      <c r="S297" s="13">
        <f>((((VLOOKUP(B297,Database!$A:$AS,MATCH($S$1,Database!$A$1:$AS$1,),))))-(((VLOOKUP(EDATE(B297,-12),Database!$A:$AS,MATCH($S$1,Database!$A$1:$AS$1,),)))))/(((VLOOKUP(EDATE(B297,-12),Database!$A:$AS,MATCH($S$1,Database!$A$1:$AS$1,),))))</f>
        <v/>
      </c>
      <c r="T297" s="13">
        <f>((((VLOOKUP(B297,Database!$A:$AS,MATCH($T$1,Database!$A$1:$AS$1,),))))-(((VLOOKUP(EDATE(B297,-12),Database!$A:$AS,MATCH($T$1,Database!$A$1:$AS$1,),)))))/(((VLOOKUP(EDATE(B297,-12),Database!$A:$AS,MATCH($T$1,Database!$A$1:$AS$1,),))))</f>
        <v/>
      </c>
      <c r="U297" s="13">
        <f>((((VLOOKUP(B297,Database!$A:$AS,MATCH($U$1,Database!$A$1:$AS$1,),))))-(((VLOOKUP(EDATE(B297,-12),Database!$A:$AS,MATCH($U$1,Database!$A$1:$AS$1,),)))))/(((VLOOKUP(EDATE(B297,-12),Database!$A:$AS,MATCH($U$1,Database!$A$1:$AS$1,),))))</f>
        <v/>
      </c>
      <c r="V297" s="13">
        <f>((((VLOOKUP(B297,Database!$A:$AS,MATCH($V$1,Database!$A$1:$AS$1,),))))-(((VLOOKUP(EDATE(B297,-12),Database!$A:$AS,MATCH($V$1,Database!$A$1:$AS$1,),)))))/(((VLOOKUP(EDATE(B297,-12),Database!$A:$AS,MATCH($V$1,Database!$A$1:$AS$1,),))))</f>
        <v/>
      </c>
    </row>
    <row r="298" customFormat="1" s="94">
      <c r="A298" s="44" t="n"/>
      <c r="B298" s="85" t="n">
        <v>41214</v>
      </c>
      <c r="C298" s="13">
        <f>((((VLOOKUP(B298,Database!$A:$AS,MATCH($C$1,Database!$A$1:$AS$1,),))))-(((VLOOKUP(EDATE(B298,-12),Database!$A:$AS,MATCH($C$1,Database!$A$1:$AS$1,),)))))/(((VLOOKUP(EDATE(B298,-12),Database!$A:$AS,MATCH($C$1,Database!$A$1:$AS$1,),))))</f>
        <v/>
      </c>
      <c r="D298" s="13">
        <f>((((VLOOKUP(B298,Database!$A:$AS,MATCH($D$1,Database!$A$1:$AS$1,),))))-(((VLOOKUP(EDATE(B298,-12),Database!$A:$AS,MATCH($D$1,Database!$A$1:$AS$1,),)))))/(((VLOOKUP(EDATE(B298,-12),Database!$A:$AS,MATCH($D$1,Database!$A$1:$AS$1,),))))</f>
        <v/>
      </c>
      <c r="E298" s="13">
        <f>((((VLOOKUP(B298,Database!$A:$AS,MATCH($E$1,Database!$A$1:$AS$1,),))))-(((VLOOKUP(EDATE(B298,-12),Database!$A:$AS,MATCH($E$1,Database!$A$1:$AS$1,),)))))/(((VLOOKUP(EDATE(B298,-12),Database!$A:$AS,MATCH($E$1,Database!$A$1:$AS$1,),))))</f>
        <v/>
      </c>
      <c r="F298" s="13">
        <f>((((VLOOKUP(B298,Database!$A:$AS,MATCH($F$1,Database!$A$1:$AS$1,),))))-(((VLOOKUP(EDATE(B298,-12),Database!$A:$AS,MATCH($F$1,Database!$A$1:$AS$1,),)))))/(((VLOOKUP(EDATE(B298,-12),Database!$A:$AS,MATCH($F$1,Database!$A$1:$AS$1,),))))</f>
        <v/>
      </c>
      <c r="G298" s="13">
        <f>((((VLOOKUP(B298,Database!$A:$AS,MATCH($G$1,Database!$A$1:$AS$1,),))))-(((VLOOKUP(EDATE(B298,-12),Database!$A:$AS,MATCH($G$1,Database!$A$1:$AS$1,),)))))/(((VLOOKUP(EDATE(B298,-12),Database!$A:$AS,MATCH($G$1,Database!$A$1:$AS$1,),))))</f>
        <v/>
      </c>
      <c r="H298" s="13">
        <f>((((VLOOKUP(B298,Database!$A:$AS,MATCH($H$1,Database!$A$1:$AS$1,),))))-(((VLOOKUP(EDATE(B298,-12),Database!$A:$AS,MATCH($H$1,Database!$A$1:$AS$1,),)))))/(((VLOOKUP(EDATE(B298,-12),Database!$A:$AS,MATCH($H$1,Database!$A$1:$AS$1,),))))</f>
        <v/>
      </c>
      <c r="I298" s="13">
        <f>((((VLOOKUP(B298,Database!$A:$AS,MATCH($I$1,Database!$A$1:$AS$1,),))))-(((VLOOKUP(EDATE(B298,-12),Database!$A:$AS,MATCH($I$1,Database!$A$1:$AS$1,),)))))/(((VLOOKUP(EDATE(B298,-12),Database!$A:$AS,MATCH($I$1,Database!$A$1:$AS$1,),))))</f>
        <v/>
      </c>
      <c r="J298" s="13">
        <f>((((VLOOKUP(B298,Database!$A:$AS,MATCH($J$1,Database!$A$1:$AS$1,),))))-(((VLOOKUP(EDATE(B298,-12),Database!$A:$AS,MATCH($J$1,Database!$A$1:$AS$1,),)))))/(((VLOOKUP(EDATE(B298,-12),Database!$A:$AS,MATCH($J$1,Database!$A$1:$AS$1,),))))</f>
        <v/>
      </c>
      <c r="K298" s="13">
        <f>((((VLOOKUP(B298,Database!$A:$AS,MATCH($K$1,Database!$A$1:$AS$1,),))))-(((VLOOKUP(EDATE(B298,-12),Database!$A:$AS,MATCH($K$1,Database!$A$1:$AS$1,),)))))/(((VLOOKUP(EDATE(B298,-12),Database!$A:$AS,MATCH($K$1,Database!$A$1:$AS$1,),))))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((((VLOOKUP(B298,Database!$A:$AS,MATCH($O$1,Database!$A$1:$AS$1,),))))-(((VLOOKUP(EDATE(B298,-12),Database!$A:$AS,MATCH($O$1,Database!$A$1:$AS$1,),)))))/(((VLOOKUP(EDATE(B298,-12),Database!$A:$AS,MATCH($O$1,Database!$A$1:$AS$1,),))))</f>
        <v/>
      </c>
      <c r="P298" s="13">
        <f>((((VLOOKUP(B298,Database!$A:$AS,MATCH($P$1,Database!$A$1:$AS$1,),))))-(((VLOOKUP(EDATE(B298,-12),Database!$A:$AS,MATCH($P$1,Database!$A$1:$AS$1,),)))))/(((VLOOKUP(EDATE(B298,-12),Database!$A:$AS,MATCH($P$1,Database!$A$1:$AS$1,),))))</f>
        <v/>
      </c>
      <c r="Q298" s="13">
        <f>((((VLOOKUP(B298,Database!$A:$AS,MATCH($Q$1,Database!$A$1:$AS$1,),))))-(((VLOOKUP(EDATE(B298,-12),Database!$A:$AS,MATCH($Q$1,Database!$A$1:$AS$1,),)))))/(((VLOOKUP(EDATE(B298,-12),Database!$A:$AS,MATCH($Q$1,Database!$A$1:$AS$1,),))))</f>
        <v/>
      </c>
      <c r="R298" s="13">
        <f>((((VLOOKUP(B298,Database!$A:$AS,MATCH($R$1,Database!$A$1:$AS$1,),))))-(((VLOOKUP(EDATE(B298,-12),Database!$A:$AS,MATCH($R$1,Database!$A$1:$AS$1,),)))))/(((VLOOKUP(EDATE(B298,-12),Database!$A:$AS,MATCH($R$1,Database!$A$1:$AS$1,),))))</f>
        <v/>
      </c>
      <c r="S298" s="13">
        <f>((((VLOOKUP(B298,Database!$A:$AS,MATCH($S$1,Database!$A$1:$AS$1,),))))-(((VLOOKUP(EDATE(B298,-12),Database!$A:$AS,MATCH($S$1,Database!$A$1:$AS$1,),)))))/(((VLOOKUP(EDATE(B298,-12),Database!$A:$AS,MATCH($S$1,Database!$A$1:$AS$1,),))))</f>
        <v/>
      </c>
      <c r="T298" s="13">
        <f>((((VLOOKUP(B298,Database!$A:$AS,MATCH($T$1,Database!$A$1:$AS$1,),))))-(((VLOOKUP(EDATE(B298,-12),Database!$A:$AS,MATCH($T$1,Database!$A$1:$AS$1,),)))))/(((VLOOKUP(EDATE(B298,-12),Database!$A:$AS,MATCH($T$1,Database!$A$1:$AS$1,),))))</f>
        <v/>
      </c>
      <c r="U298" s="13">
        <f>((((VLOOKUP(B298,Database!$A:$AS,MATCH($U$1,Database!$A$1:$AS$1,),))))-(((VLOOKUP(EDATE(B298,-12),Database!$A:$AS,MATCH($U$1,Database!$A$1:$AS$1,),)))))/(((VLOOKUP(EDATE(B298,-12),Database!$A:$AS,MATCH($U$1,Database!$A$1:$AS$1,),))))</f>
        <v/>
      </c>
      <c r="V298" s="13">
        <f>((((VLOOKUP(B298,Database!$A:$AS,MATCH($V$1,Database!$A$1:$AS$1,),))))-(((VLOOKUP(EDATE(B298,-12),Database!$A:$AS,MATCH($V$1,Database!$A$1:$AS$1,),)))))/(((VLOOKUP(EDATE(B298,-12),Database!$A:$AS,MATCH($V$1,Database!$A$1:$AS$1,),))))</f>
        <v/>
      </c>
    </row>
    <row r="299" customFormat="1" s="94">
      <c r="A299" s="44" t="n"/>
      <c r="B299" s="85" t="n">
        <v>41244</v>
      </c>
      <c r="C299" s="13">
        <f>((((VLOOKUP(B299,Database!$A:$AS,MATCH($C$1,Database!$A$1:$AS$1,),))))-(((VLOOKUP(EDATE(B299,-12),Database!$A:$AS,MATCH($C$1,Database!$A$1:$AS$1,),)))))/(((VLOOKUP(EDATE(B299,-12),Database!$A:$AS,MATCH($C$1,Database!$A$1:$AS$1,),))))</f>
        <v/>
      </c>
      <c r="D299" s="13">
        <f>((((VLOOKUP(B299,Database!$A:$AS,MATCH($D$1,Database!$A$1:$AS$1,),))))-(((VLOOKUP(EDATE(B299,-12),Database!$A:$AS,MATCH($D$1,Database!$A$1:$AS$1,),)))))/(((VLOOKUP(EDATE(B299,-12),Database!$A:$AS,MATCH($D$1,Database!$A$1:$AS$1,),))))</f>
        <v/>
      </c>
      <c r="E299" s="13">
        <f>((((VLOOKUP(B299,Database!$A:$AS,MATCH($E$1,Database!$A$1:$AS$1,),))))-(((VLOOKUP(EDATE(B299,-12),Database!$A:$AS,MATCH($E$1,Database!$A$1:$AS$1,),)))))/(((VLOOKUP(EDATE(B299,-12),Database!$A:$AS,MATCH($E$1,Database!$A$1:$AS$1,),))))</f>
        <v/>
      </c>
      <c r="F299" s="13">
        <f>((((VLOOKUP(B299,Database!$A:$AS,MATCH($F$1,Database!$A$1:$AS$1,),))))-(((VLOOKUP(EDATE(B299,-12),Database!$A:$AS,MATCH($F$1,Database!$A$1:$AS$1,),)))))/(((VLOOKUP(EDATE(B299,-12),Database!$A:$AS,MATCH($F$1,Database!$A$1:$AS$1,),))))</f>
        <v/>
      </c>
      <c r="G299" s="13">
        <f>((((VLOOKUP(B299,Database!$A:$AS,MATCH($G$1,Database!$A$1:$AS$1,),))))-(((VLOOKUP(EDATE(B299,-12),Database!$A:$AS,MATCH($G$1,Database!$A$1:$AS$1,),)))))/(((VLOOKUP(EDATE(B299,-12),Database!$A:$AS,MATCH($G$1,Database!$A$1:$AS$1,),))))</f>
        <v/>
      </c>
      <c r="H299" s="13">
        <f>((((VLOOKUP(B299,Database!$A:$AS,MATCH($H$1,Database!$A$1:$AS$1,),))))-(((VLOOKUP(EDATE(B299,-12),Database!$A:$AS,MATCH($H$1,Database!$A$1:$AS$1,),)))))/(((VLOOKUP(EDATE(B299,-12),Database!$A:$AS,MATCH($H$1,Database!$A$1:$AS$1,),))))</f>
        <v/>
      </c>
      <c r="I299" s="13">
        <f>((((VLOOKUP(B299,Database!$A:$AS,MATCH($I$1,Database!$A$1:$AS$1,),))))-(((VLOOKUP(EDATE(B299,-12),Database!$A:$AS,MATCH($I$1,Database!$A$1:$AS$1,),)))))/(((VLOOKUP(EDATE(B299,-12),Database!$A:$AS,MATCH($I$1,Database!$A$1:$AS$1,),))))</f>
        <v/>
      </c>
      <c r="J299" s="13">
        <f>((((VLOOKUP(B299,Database!$A:$AS,MATCH($J$1,Database!$A$1:$AS$1,),))))-(((VLOOKUP(EDATE(B299,-12),Database!$A:$AS,MATCH($J$1,Database!$A$1:$AS$1,),)))))/(((VLOOKUP(EDATE(B299,-12),Database!$A:$AS,MATCH($J$1,Database!$A$1:$AS$1,),))))</f>
        <v/>
      </c>
      <c r="K299" s="13">
        <f>((((VLOOKUP(B299,Database!$A:$AS,MATCH($K$1,Database!$A$1:$AS$1,),))))-(((VLOOKUP(EDATE(B299,-12),Database!$A:$AS,MATCH($K$1,Database!$A$1:$AS$1,),)))))/(((VLOOKUP(EDATE(B299,-12),Database!$A:$AS,MATCH($K$1,Database!$A$1:$AS$1,),))))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((((VLOOKUP(B299,Database!$A:$AS,MATCH($O$1,Database!$A$1:$AS$1,),))))-(((VLOOKUP(EDATE(B299,-12),Database!$A:$AS,MATCH($O$1,Database!$A$1:$AS$1,),)))))/(((VLOOKUP(EDATE(B299,-12),Database!$A:$AS,MATCH($O$1,Database!$A$1:$AS$1,),))))</f>
        <v/>
      </c>
      <c r="P299" s="13">
        <f>((((VLOOKUP(B299,Database!$A:$AS,MATCH($P$1,Database!$A$1:$AS$1,),))))-(((VLOOKUP(EDATE(B299,-12),Database!$A:$AS,MATCH($P$1,Database!$A$1:$AS$1,),)))))/(((VLOOKUP(EDATE(B299,-12),Database!$A:$AS,MATCH($P$1,Database!$A$1:$AS$1,),))))</f>
        <v/>
      </c>
      <c r="Q299" s="13">
        <f>((((VLOOKUP(B299,Database!$A:$AS,MATCH($Q$1,Database!$A$1:$AS$1,),))))-(((VLOOKUP(EDATE(B299,-12),Database!$A:$AS,MATCH($Q$1,Database!$A$1:$AS$1,),)))))/(((VLOOKUP(EDATE(B299,-12),Database!$A:$AS,MATCH($Q$1,Database!$A$1:$AS$1,),))))</f>
        <v/>
      </c>
      <c r="R299" s="13">
        <f>((((VLOOKUP(B299,Database!$A:$AS,MATCH($R$1,Database!$A$1:$AS$1,),))))-(((VLOOKUP(EDATE(B299,-12),Database!$A:$AS,MATCH($R$1,Database!$A$1:$AS$1,),)))))/(((VLOOKUP(EDATE(B299,-12),Database!$A:$AS,MATCH($R$1,Database!$A$1:$AS$1,),))))</f>
        <v/>
      </c>
      <c r="S299" s="13">
        <f>((((VLOOKUP(B299,Database!$A:$AS,MATCH($S$1,Database!$A$1:$AS$1,),))))-(((VLOOKUP(EDATE(B299,-12),Database!$A:$AS,MATCH($S$1,Database!$A$1:$AS$1,),)))))/(((VLOOKUP(EDATE(B299,-12),Database!$A:$AS,MATCH($S$1,Database!$A$1:$AS$1,),))))</f>
        <v/>
      </c>
      <c r="T299" s="13">
        <f>((((VLOOKUP(B299,Database!$A:$AS,MATCH($T$1,Database!$A$1:$AS$1,),))))-(((VLOOKUP(EDATE(B299,-12),Database!$A:$AS,MATCH($T$1,Database!$A$1:$AS$1,),)))))/(((VLOOKUP(EDATE(B299,-12),Database!$A:$AS,MATCH($T$1,Database!$A$1:$AS$1,),))))</f>
        <v/>
      </c>
      <c r="U299" s="13">
        <f>((((VLOOKUP(B299,Database!$A:$AS,MATCH($U$1,Database!$A$1:$AS$1,),))))-(((VLOOKUP(EDATE(B299,-12),Database!$A:$AS,MATCH($U$1,Database!$A$1:$AS$1,),)))))/(((VLOOKUP(EDATE(B299,-12),Database!$A:$AS,MATCH($U$1,Database!$A$1:$AS$1,),))))</f>
        <v/>
      </c>
      <c r="V299" s="13">
        <f>((((VLOOKUP(B299,Database!$A:$AS,MATCH($V$1,Database!$A$1:$AS$1,),))))-(((VLOOKUP(EDATE(B299,-12),Database!$A:$AS,MATCH($V$1,Database!$A$1:$AS$1,),)))))/(((VLOOKUP(EDATE(B299,-12),Database!$A:$AS,MATCH($V$1,Database!$A$1:$AS$1,),))))</f>
        <v/>
      </c>
    </row>
    <row r="300" customFormat="1" s="94">
      <c r="A300" s="44" t="n"/>
      <c r="B300" s="85" t="n">
        <v>41275</v>
      </c>
      <c r="C300" s="13">
        <f>((((VLOOKUP(B300,Database!$A:$AS,MATCH($C$1,Database!$A$1:$AS$1,),))))-(((VLOOKUP(EDATE(B300,-12),Database!$A:$AS,MATCH($C$1,Database!$A$1:$AS$1,),)))))/(((VLOOKUP(EDATE(B300,-12),Database!$A:$AS,MATCH($C$1,Database!$A$1:$AS$1,),))))</f>
        <v/>
      </c>
      <c r="D300" s="13">
        <f>((((VLOOKUP(B300,Database!$A:$AS,MATCH($D$1,Database!$A$1:$AS$1,),))))-(((VLOOKUP(EDATE(B300,-12),Database!$A:$AS,MATCH($D$1,Database!$A$1:$AS$1,),)))))/(((VLOOKUP(EDATE(B300,-12),Database!$A:$AS,MATCH($D$1,Database!$A$1:$AS$1,),))))</f>
        <v/>
      </c>
      <c r="E300" s="13">
        <f>((((VLOOKUP(B300,Database!$A:$AS,MATCH($E$1,Database!$A$1:$AS$1,),))))-(((VLOOKUP(EDATE(B300,-12),Database!$A:$AS,MATCH($E$1,Database!$A$1:$AS$1,),)))))/(((VLOOKUP(EDATE(B300,-12),Database!$A:$AS,MATCH($E$1,Database!$A$1:$AS$1,),))))</f>
        <v/>
      </c>
      <c r="F300" s="13">
        <f>((((VLOOKUP(B300,Database!$A:$AS,MATCH($F$1,Database!$A$1:$AS$1,),))))-(((VLOOKUP(EDATE(B300,-12),Database!$A:$AS,MATCH($F$1,Database!$A$1:$AS$1,),)))))/(((VLOOKUP(EDATE(B300,-12),Database!$A:$AS,MATCH($F$1,Database!$A$1:$AS$1,),))))</f>
        <v/>
      </c>
      <c r="G300" s="13">
        <f>((((VLOOKUP(B300,Database!$A:$AS,MATCH($G$1,Database!$A$1:$AS$1,),))))-(((VLOOKUP(EDATE(B300,-12),Database!$A:$AS,MATCH($G$1,Database!$A$1:$AS$1,),)))))/(((VLOOKUP(EDATE(B300,-12),Database!$A:$AS,MATCH($G$1,Database!$A$1:$AS$1,),))))</f>
        <v/>
      </c>
      <c r="H300" s="13">
        <f>((((VLOOKUP(B300,Database!$A:$AS,MATCH($H$1,Database!$A$1:$AS$1,),))))-(((VLOOKUP(EDATE(B300,-12),Database!$A:$AS,MATCH($H$1,Database!$A$1:$AS$1,),)))))/(((VLOOKUP(EDATE(B300,-12),Database!$A:$AS,MATCH($H$1,Database!$A$1:$AS$1,),))))</f>
        <v/>
      </c>
      <c r="I300" s="13">
        <f>((((VLOOKUP(B300,Database!$A:$AS,MATCH($I$1,Database!$A$1:$AS$1,),))))-(((VLOOKUP(EDATE(B300,-12),Database!$A:$AS,MATCH($I$1,Database!$A$1:$AS$1,),)))))/(((VLOOKUP(EDATE(B300,-12),Database!$A:$AS,MATCH($I$1,Database!$A$1:$AS$1,),))))</f>
        <v/>
      </c>
      <c r="J300" s="13">
        <f>((((VLOOKUP(B300,Database!$A:$AS,MATCH($J$1,Database!$A$1:$AS$1,),))))-(((VLOOKUP(EDATE(B300,-12),Database!$A:$AS,MATCH($J$1,Database!$A$1:$AS$1,),)))))/(((VLOOKUP(EDATE(B300,-12),Database!$A:$AS,MATCH($J$1,Database!$A$1:$AS$1,),))))</f>
        <v/>
      </c>
      <c r="K300" s="13">
        <f>((((VLOOKUP(B300,Database!$A:$AS,MATCH($K$1,Database!$A$1:$AS$1,),))))-(((VLOOKUP(EDATE(B300,-12),Database!$A:$AS,MATCH($K$1,Database!$A$1:$AS$1,),)))))/(((VLOOKUP(EDATE(B300,-12),Database!$A:$AS,MATCH($K$1,Database!$A$1:$AS$1,),))))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((((VLOOKUP(B300,Database!$A:$AS,MATCH($O$1,Database!$A$1:$AS$1,),))))-(((VLOOKUP(EDATE(B300,-12),Database!$A:$AS,MATCH($O$1,Database!$A$1:$AS$1,),)))))/(((VLOOKUP(EDATE(B300,-12),Database!$A:$AS,MATCH($O$1,Database!$A$1:$AS$1,),))))</f>
        <v/>
      </c>
      <c r="P300" s="13">
        <f>((((VLOOKUP(B300,Database!$A:$AS,MATCH($P$1,Database!$A$1:$AS$1,),))))-(((VLOOKUP(EDATE(B300,-12),Database!$A:$AS,MATCH($P$1,Database!$A$1:$AS$1,),)))))/(((VLOOKUP(EDATE(B300,-12),Database!$A:$AS,MATCH($P$1,Database!$A$1:$AS$1,),))))</f>
        <v/>
      </c>
      <c r="Q300" s="13">
        <f>((((VLOOKUP(B300,Database!$A:$AS,MATCH($Q$1,Database!$A$1:$AS$1,),))))-(((VLOOKUP(EDATE(B300,-12),Database!$A:$AS,MATCH($Q$1,Database!$A$1:$AS$1,),)))))/(((VLOOKUP(EDATE(B300,-12),Database!$A:$AS,MATCH($Q$1,Database!$A$1:$AS$1,),))))</f>
        <v/>
      </c>
      <c r="R300" s="13">
        <f>((((VLOOKUP(B300,Database!$A:$AS,MATCH($R$1,Database!$A$1:$AS$1,),))))-(((VLOOKUP(EDATE(B300,-12),Database!$A:$AS,MATCH($R$1,Database!$A$1:$AS$1,),)))))/(((VLOOKUP(EDATE(B300,-12),Database!$A:$AS,MATCH($R$1,Database!$A$1:$AS$1,),))))</f>
        <v/>
      </c>
      <c r="S300" s="13">
        <f>((((VLOOKUP(B300,Database!$A:$AS,MATCH($S$1,Database!$A$1:$AS$1,),))))-(((VLOOKUP(EDATE(B300,-12),Database!$A:$AS,MATCH($S$1,Database!$A$1:$AS$1,),)))))/(((VLOOKUP(EDATE(B300,-12),Database!$A:$AS,MATCH($S$1,Database!$A$1:$AS$1,),))))</f>
        <v/>
      </c>
      <c r="T300" s="13">
        <f>((((VLOOKUP(B300,Database!$A:$AS,MATCH($T$1,Database!$A$1:$AS$1,),))))-(((VLOOKUP(EDATE(B300,-12),Database!$A:$AS,MATCH($T$1,Database!$A$1:$AS$1,),)))))/(((VLOOKUP(EDATE(B300,-12),Database!$A:$AS,MATCH($T$1,Database!$A$1:$AS$1,),))))</f>
        <v/>
      </c>
      <c r="U300" s="13">
        <f>((((VLOOKUP(B300,Database!$A:$AS,MATCH($U$1,Database!$A$1:$AS$1,),))))-(((VLOOKUP(EDATE(B300,-12),Database!$A:$AS,MATCH($U$1,Database!$A$1:$AS$1,),)))))/(((VLOOKUP(EDATE(B300,-12),Database!$A:$AS,MATCH($U$1,Database!$A$1:$AS$1,),))))</f>
        <v/>
      </c>
      <c r="V300" s="13">
        <f>((((VLOOKUP(B300,Database!$A:$AS,MATCH($V$1,Database!$A$1:$AS$1,),))))-(((VLOOKUP(EDATE(B300,-12),Database!$A:$AS,MATCH($V$1,Database!$A$1:$AS$1,),)))))/(((VLOOKUP(EDATE(B300,-12),Database!$A:$AS,MATCH($V$1,Database!$A$1:$AS$1,),))))</f>
        <v/>
      </c>
    </row>
    <row r="301" customFormat="1" s="94">
      <c r="A301" s="44" t="n"/>
      <c r="B301" s="85" t="n">
        <v>41306</v>
      </c>
      <c r="C301" s="13">
        <f>((((VLOOKUP(B301,Database!$A:$AS,MATCH($C$1,Database!$A$1:$AS$1,),))))-(((VLOOKUP(EDATE(B301,-12),Database!$A:$AS,MATCH($C$1,Database!$A$1:$AS$1,),)))))/(((VLOOKUP(EDATE(B301,-12),Database!$A:$AS,MATCH($C$1,Database!$A$1:$AS$1,),))))</f>
        <v/>
      </c>
      <c r="D301" s="13">
        <f>((((VLOOKUP(B301,Database!$A:$AS,MATCH($D$1,Database!$A$1:$AS$1,),))))-(((VLOOKUP(EDATE(B301,-12),Database!$A:$AS,MATCH($D$1,Database!$A$1:$AS$1,),)))))/(((VLOOKUP(EDATE(B301,-12),Database!$A:$AS,MATCH($D$1,Database!$A$1:$AS$1,),))))</f>
        <v/>
      </c>
      <c r="E301" s="13">
        <f>((((VLOOKUP(B301,Database!$A:$AS,MATCH($E$1,Database!$A$1:$AS$1,),))))-(((VLOOKUP(EDATE(B301,-12),Database!$A:$AS,MATCH($E$1,Database!$A$1:$AS$1,),)))))/(((VLOOKUP(EDATE(B301,-12),Database!$A:$AS,MATCH($E$1,Database!$A$1:$AS$1,),))))</f>
        <v/>
      </c>
      <c r="F301" s="13">
        <f>((((VLOOKUP(B301,Database!$A:$AS,MATCH($F$1,Database!$A$1:$AS$1,),))))-(((VLOOKUP(EDATE(B301,-12),Database!$A:$AS,MATCH($F$1,Database!$A$1:$AS$1,),)))))/(((VLOOKUP(EDATE(B301,-12),Database!$A:$AS,MATCH($F$1,Database!$A$1:$AS$1,),))))</f>
        <v/>
      </c>
      <c r="G301" s="13">
        <f>((((VLOOKUP(B301,Database!$A:$AS,MATCH($G$1,Database!$A$1:$AS$1,),))))-(((VLOOKUP(EDATE(B301,-12),Database!$A:$AS,MATCH($G$1,Database!$A$1:$AS$1,),)))))/(((VLOOKUP(EDATE(B301,-12),Database!$A:$AS,MATCH($G$1,Database!$A$1:$AS$1,),))))</f>
        <v/>
      </c>
      <c r="H301" s="13">
        <f>((((VLOOKUP(B301,Database!$A:$AS,MATCH($H$1,Database!$A$1:$AS$1,),))))-(((VLOOKUP(EDATE(B301,-12),Database!$A:$AS,MATCH($H$1,Database!$A$1:$AS$1,),)))))/(((VLOOKUP(EDATE(B301,-12),Database!$A:$AS,MATCH($H$1,Database!$A$1:$AS$1,),))))</f>
        <v/>
      </c>
      <c r="I301" s="13">
        <f>((((VLOOKUP(B301,Database!$A:$AS,MATCH($I$1,Database!$A$1:$AS$1,),))))-(((VLOOKUP(EDATE(B301,-12),Database!$A:$AS,MATCH($I$1,Database!$A$1:$AS$1,),)))))/(((VLOOKUP(EDATE(B301,-12),Database!$A:$AS,MATCH($I$1,Database!$A$1:$AS$1,),))))</f>
        <v/>
      </c>
      <c r="J301" s="13">
        <f>((((VLOOKUP(B301,Database!$A:$AS,MATCH($J$1,Database!$A$1:$AS$1,),))))-(((VLOOKUP(EDATE(B301,-12),Database!$A:$AS,MATCH($J$1,Database!$A$1:$AS$1,),)))))/(((VLOOKUP(EDATE(B301,-12),Database!$A:$AS,MATCH($J$1,Database!$A$1:$AS$1,),))))</f>
        <v/>
      </c>
      <c r="K301" s="13">
        <f>((((VLOOKUP(B301,Database!$A:$AS,MATCH($K$1,Database!$A$1:$AS$1,),))))-(((VLOOKUP(EDATE(B301,-12),Database!$A:$AS,MATCH($K$1,Database!$A$1:$AS$1,),)))))/(((VLOOKUP(EDATE(B301,-12),Database!$A:$AS,MATCH($K$1,Database!$A$1:$AS$1,),))))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((((VLOOKUP(B301,Database!$A:$AS,MATCH($O$1,Database!$A$1:$AS$1,),))))-(((VLOOKUP(EDATE(B301,-12),Database!$A:$AS,MATCH($O$1,Database!$A$1:$AS$1,),)))))/(((VLOOKUP(EDATE(B301,-12),Database!$A:$AS,MATCH($O$1,Database!$A$1:$AS$1,),))))</f>
        <v/>
      </c>
      <c r="P301" s="13">
        <f>((((VLOOKUP(B301,Database!$A:$AS,MATCH($P$1,Database!$A$1:$AS$1,),))))-(((VLOOKUP(EDATE(B301,-12),Database!$A:$AS,MATCH($P$1,Database!$A$1:$AS$1,),)))))/(((VLOOKUP(EDATE(B301,-12),Database!$A:$AS,MATCH($P$1,Database!$A$1:$AS$1,),))))</f>
        <v/>
      </c>
      <c r="Q301" s="13">
        <f>((((VLOOKUP(B301,Database!$A:$AS,MATCH($Q$1,Database!$A$1:$AS$1,),))))-(((VLOOKUP(EDATE(B301,-12),Database!$A:$AS,MATCH($Q$1,Database!$A$1:$AS$1,),)))))/(((VLOOKUP(EDATE(B301,-12),Database!$A:$AS,MATCH($Q$1,Database!$A$1:$AS$1,),))))</f>
        <v/>
      </c>
      <c r="R301" s="13">
        <f>((((VLOOKUP(B301,Database!$A:$AS,MATCH($R$1,Database!$A$1:$AS$1,),))))-(((VLOOKUP(EDATE(B301,-12),Database!$A:$AS,MATCH($R$1,Database!$A$1:$AS$1,),)))))/(((VLOOKUP(EDATE(B301,-12),Database!$A:$AS,MATCH($R$1,Database!$A$1:$AS$1,),))))</f>
        <v/>
      </c>
      <c r="S301" s="13">
        <f>((((VLOOKUP(B301,Database!$A:$AS,MATCH($S$1,Database!$A$1:$AS$1,),))))-(((VLOOKUP(EDATE(B301,-12),Database!$A:$AS,MATCH($S$1,Database!$A$1:$AS$1,),)))))/(((VLOOKUP(EDATE(B301,-12),Database!$A:$AS,MATCH($S$1,Database!$A$1:$AS$1,),))))</f>
        <v/>
      </c>
      <c r="T301" s="13">
        <f>((((VLOOKUP(B301,Database!$A:$AS,MATCH($T$1,Database!$A$1:$AS$1,),))))-(((VLOOKUP(EDATE(B301,-12),Database!$A:$AS,MATCH($T$1,Database!$A$1:$AS$1,),)))))/(((VLOOKUP(EDATE(B301,-12),Database!$A:$AS,MATCH($T$1,Database!$A$1:$AS$1,),))))</f>
        <v/>
      </c>
      <c r="U301" s="13">
        <f>((((VLOOKUP(B301,Database!$A:$AS,MATCH($U$1,Database!$A$1:$AS$1,),))))-(((VLOOKUP(EDATE(B301,-12),Database!$A:$AS,MATCH($U$1,Database!$A$1:$AS$1,),)))))/(((VLOOKUP(EDATE(B301,-12),Database!$A:$AS,MATCH($U$1,Database!$A$1:$AS$1,),))))</f>
        <v/>
      </c>
      <c r="V301" s="13">
        <f>((((VLOOKUP(B301,Database!$A:$AS,MATCH($V$1,Database!$A$1:$AS$1,),))))-(((VLOOKUP(EDATE(B301,-12),Database!$A:$AS,MATCH($V$1,Database!$A$1:$AS$1,),)))))/(((VLOOKUP(EDATE(B301,-12),Database!$A:$AS,MATCH($V$1,Database!$A$1:$AS$1,),))))</f>
        <v/>
      </c>
    </row>
    <row r="302" customFormat="1" s="94">
      <c r="A302" s="44" t="n"/>
      <c r="B302" s="85" t="n">
        <v>41334</v>
      </c>
      <c r="C302" s="13">
        <f>((((VLOOKUP(B302,Database!$A:$AS,MATCH($C$1,Database!$A$1:$AS$1,),))))-(((VLOOKUP(EDATE(B302,-12),Database!$A:$AS,MATCH($C$1,Database!$A$1:$AS$1,),)))))/(((VLOOKUP(EDATE(B302,-12),Database!$A:$AS,MATCH($C$1,Database!$A$1:$AS$1,),))))</f>
        <v/>
      </c>
      <c r="D302" s="13">
        <f>((((VLOOKUP(B302,Database!$A:$AS,MATCH($D$1,Database!$A$1:$AS$1,),))))-(((VLOOKUP(EDATE(B302,-12),Database!$A:$AS,MATCH($D$1,Database!$A$1:$AS$1,),)))))/(((VLOOKUP(EDATE(B302,-12),Database!$A:$AS,MATCH($D$1,Database!$A$1:$AS$1,),))))</f>
        <v/>
      </c>
      <c r="E302" s="13">
        <f>((((VLOOKUP(B302,Database!$A:$AS,MATCH($E$1,Database!$A$1:$AS$1,),))))-(((VLOOKUP(EDATE(B302,-12),Database!$A:$AS,MATCH($E$1,Database!$A$1:$AS$1,),)))))/(((VLOOKUP(EDATE(B302,-12),Database!$A:$AS,MATCH($E$1,Database!$A$1:$AS$1,),))))</f>
        <v/>
      </c>
      <c r="F302" s="13">
        <f>((((VLOOKUP(B302,Database!$A:$AS,MATCH($F$1,Database!$A$1:$AS$1,),))))-(((VLOOKUP(EDATE(B302,-12),Database!$A:$AS,MATCH($F$1,Database!$A$1:$AS$1,),)))))/(((VLOOKUP(EDATE(B302,-12),Database!$A:$AS,MATCH($F$1,Database!$A$1:$AS$1,),))))</f>
        <v/>
      </c>
      <c r="G302" s="13">
        <f>((((VLOOKUP(B302,Database!$A:$AS,MATCH($G$1,Database!$A$1:$AS$1,),))))-(((VLOOKUP(EDATE(B302,-12),Database!$A:$AS,MATCH($G$1,Database!$A$1:$AS$1,),)))))/(((VLOOKUP(EDATE(B302,-12),Database!$A:$AS,MATCH($G$1,Database!$A$1:$AS$1,),))))</f>
        <v/>
      </c>
      <c r="H302" s="13">
        <f>((((VLOOKUP(B302,Database!$A:$AS,MATCH($H$1,Database!$A$1:$AS$1,),))))-(((VLOOKUP(EDATE(B302,-12),Database!$A:$AS,MATCH($H$1,Database!$A$1:$AS$1,),)))))/(((VLOOKUP(EDATE(B302,-12),Database!$A:$AS,MATCH($H$1,Database!$A$1:$AS$1,),))))</f>
        <v/>
      </c>
      <c r="I302" s="13">
        <f>((((VLOOKUP(B302,Database!$A:$AS,MATCH($I$1,Database!$A$1:$AS$1,),))))-(((VLOOKUP(EDATE(B302,-12),Database!$A:$AS,MATCH($I$1,Database!$A$1:$AS$1,),)))))/(((VLOOKUP(EDATE(B302,-12),Database!$A:$AS,MATCH($I$1,Database!$A$1:$AS$1,),))))</f>
        <v/>
      </c>
      <c r="J302" s="13">
        <f>((((VLOOKUP(B302,Database!$A:$AS,MATCH($J$1,Database!$A$1:$AS$1,),))))-(((VLOOKUP(EDATE(B302,-12),Database!$A:$AS,MATCH($J$1,Database!$A$1:$AS$1,),)))))/(((VLOOKUP(EDATE(B302,-12),Database!$A:$AS,MATCH($J$1,Database!$A$1:$AS$1,),))))</f>
        <v/>
      </c>
      <c r="K302" s="13">
        <f>((((VLOOKUP(B302,Database!$A:$AS,MATCH($K$1,Database!$A$1:$AS$1,),))))-(((VLOOKUP(EDATE(B302,-12),Database!$A:$AS,MATCH($K$1,Database!$A$1:$AS$1,),)))))/(((VLOOKUP(EDATE(B302,-12),Database!$A:$AS,MATCH($K$1,Database!$A$1:$AS$1,),))))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((((VLOOKUP(B302,Database!$A:$AS,MATCH($O$1,Database!$A$1:$AS$1,),))))-(((VLOOKUP(EDATE(B302,-12),Database!$A:$AS,MATCH($O$1,Database!$A$1:$AS$1,),)))))/(((VLOOKUP(EDATE(B302,-12),Database!$A:$AS,MATCH($O$1,Database!$A$1:$AS$1,),))))</f>
        <v/>
      </c>
      <c r="P302" s="13">
        <f>((((VLOOKUP(B302,Database!$A:$AS,MATCH($P$1,Database!$A$1:$AS$1,),))))-(((VLOOKUP(EDATE(B302,-12),Database!$A:$AS,MATCH($P$1,Database!$A$1:$AS$1,),)))))/(((VLOOKUP(EDATE(B302,-12),Database!$A:$AS,MATCH($P$1,Database!$A$1:$AS$1,),))))</f>
        <v/>
      </c>
      <c r="Q302" s="13">
        <f>((((VLOOKUP(B302,Database!$A:$AS,MATCH($Q$1,Database!$A$1:$AS$1,),))))-(((VLOOKUP(EDATE(B302,-12),Database!$A:$AS,MATCH($Q$1,Database!$A$1:$AS$1,),)))))/(((VLOOKUP(EDATE(B302,-12),Database!$A:$AS,MATCH($Q$1,Database!$A$1:$AS$1,),))))</f>
        <v/>
      </c>
      <c r="R302" s="13">
        <f>((((VLOOKUP(B302,Database!$A:$AS,MATCH($R$1,Database!$A$1:$AS$1,),))))-(((VLOOKUP(EDATE(B302,-12),Database!$A:$AS,MATCH($R$1,Database!$A$1:$AS$1,),)))))/(((VLOOKUP(EDATE(B302,-12),Database!$A:$AS,MATCH($R$1,Database!$A$1:$AS$1,),))))</f>
        <v/>
      </c>
      <c r="S302" s="13">
        <f>((((VLOOKUP(B302,Database!$A:$AS,MATCH($S$1,Database!$A$1:$AS$1,),))))-(((VLOOKUP(EDATE(B302,-12),Database!$A:$AS,MATCH($S$1,Database!$A$1:$AS$1,),)))))/(((VLOOKUP(EDATE(B302,-12),Database!$A:$AS,MATCH($S$1,Database!$A$1:$AS$1,),))))</f>
        <v/>
      </c>
      <c r="T302" s="13">
        <f>((((VLOOKUP(B302,Database!$A:$AS,MATCH($T$1,Database!$A$1:$AS$1,),))))-(((VLOOKUP(EDATE(B302,-12),Database!$A:$AS,MATCH($T$1,Database!$A$1:$AS$1,),)))))/(((VLOOKUP(EDATE(B302,-12),Database!$A:$AS,MATCH($T$1,Database!$A$1:$AS$1,),))))</f>
        <v/>
      </c>
      <c r="U302" s="13">
        <f>((((VLOOKUP(B302,Database!$A:$AS,MATCH($U$1,Database!$A$1:$AS$1,),))))-(((VLOOKUP(EDATE(B302,-12),Database!$A:$AS,MATCH($U$1,Database!$A$1:$AS$1,),)))))/(((VLOOKUP(EDATE(B302,-12),Database!$A:$AS,MATCH($U$1,Database!$A$1:$AS$1,),))))</f>
        <v/>
      </c>
      <c r="V302" s="13">
        <f>((((VLOOKUP(B302,Database!$A:$AS,MATCH($V$1,Database!$A$1:$AS$1,),))))-(((VLOOKUP(EDATE(B302,-12),Database!$A:$AS,MATCH($V$1,Database!$A$1:$AS$1,),)))))/(((VLOOKUP(EDATE(B302,-12),Database!$A:$AS,MATCH($V$1,Database!$A$1:$AS$1,),))))</f>
        <v/>
      </c>
    </row>
    <row r="303" customFormat="1" s="94">
      <c r="A303" s="44" t="n"/>
      <c r="B303" s="85" t="n">
        <v>41365</v>
      </c>
      <c r="C303" s="13">
        <f>((((VLOOKUP(B303,Database!$A:$AS,MATCH($C$1,Database!$A$1:$AS$1,),))))-(((VLOOKUP(EDATE(B303,-12),Database!$A:$AS,MATCH($C$1,Database!$A$1:$AS$1,),)))))/(((VLOOKUP(EDATE(B303,-12),Database!$A:$AS,MATCH($C$1,Database!$A$1:$AS$1,),))))</f>
        <v/>
      </c>
      <c r="D303" s="13">
        <f>((((VLOOKUP(B303,Database!$A:$AS,MATCH($D$1,Database!$A$1:$AS$1,),))))-(((VLOOKUP(EDATE(B303,-12),Database!$A:$AS,MATCH($D$1,Database!$A$1:$AS$1,),)))))/(((VLOOKUP(EDATE(B303,-12),Database!$A:$AS,MATCH($D$1,Database!$A$1:$AS$1,),))))</f>
        <v/>
      </c>
      <c r="E303" s="13">
        <f>((((VLOOKUP(B303,Database!$A:$AS,MATCH($E$1,Database!$A$1:$AS$1,),))))-(((VLOOKUP(EDATE(B303,-12),Database!$A:$AS,MATCH($E$1,Database!$A$1:$AS$1,),)))))/(((VLOOKUP(EDATE(B303,-12),Database!$A:$AS,MATCH($E$1,Database!$A$1:$AS$1,),))))</f>
        <v/>
      </c>
      <c r="F303" s="13">
        <f>((((VLOOKUP(B303,Database!$A:$AS,MATCH($F$1,Database!$A$1:$AS$1,),))))-(((VLOOKUP(EDATE(B303,-12),Database!$A:$AS,MATCH($F$1,Database!$A$1:$AS$1,),)))))/(((VLOOKUP(EDATE(B303,-12),Database!$A:$AS,MATCH($F$1,Database!$A$1:$AS$1,),))))</f>
        <v/>
      </c>
      <c r="G303" s="13">
        <f>((((VLOOKUP(B303,Database!$A:$AS,MATCH($G$1,Database!$A$1:$AS$1,),))))-(((VLOOKUP(EDATE(B303,-12),Database!$A:$AS,MATCH($G$1,Database!$A$1:$AS$1,),)))))/(((VLOOKUP(EDATE(B303,-12),Database!$A:$AS,MATCH($G$1,Database!$A$1:$AS$1,),))))</f>
        <v/>
      </c>
      <c r="H303" s="13">
        <f>((((VLOOKUP(B303,Database!$A:$AS,MATCH($H$1,Database!$A$1:$AS$1,),))))-(((VLOOKUP(EDATE(B303,-12),Database!$A:$AS,MATCH($H$1,Database!$A$1:$AS$1,),)))))/(((VLOOKUP(EDATE(B303,-12),Database!$A:$AS,MATCH($H$1,Database!$A$1:$AS$1,),))))</f>
        <v/>
      </c>
      <c r="I303" s="13">
        <f>((((VLOOKUP(B303,Database!$A:$AS,MATCH($I$1,Database!$A$1:$AS$1,),))))-(((VLOOKUP(EDATE(B303,-12),Database!$A:$AS,MATCH($I$1,Database!$A$1:$AS$1,),)))))/(((VLOOKUP(EDATE(B303,-12),Database!$A:$AS,MATCH($I$1,Database!$A$1:$AS$1,),))))</f>
        <v/>
      </c>
      <c r="J303" s="13">
        <f>((((VLOOKUP(B303,Database!$A:$AS,MATCH($J$1,Database!$A$1:$AS$1,),))))-(((VLOOKUP(EDATE(B303,-12),Database!$A:$AS,MATCH($J$1,Database!$A$1:$AS$1,),)))))/(((VLOOKUP(EDATE(B303,-12),Database!$A:$AS,MATCH($J$1,Database!$A$1:$AS$1,),))))</f>
        <v/>
      </c>
      <c r="K303" s="13">
        <f>((((VLOOKUP(B303,Database!$A:$AS,MATCH($K$1,Database!$A$1:$AS$1,),))))-(((VLOOKUP(EDATE(B303,-12),Database!$A:$AS,MATCH($K$1,Database!$A$1:$AS$1,),)))))/(((VLOOKUP(EDATE(B303,-12),Database!$A:$AS,MATCH($K$1,Database!$A$1:$AS$1,),))))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((((VLOOKUP(B303,Database!$A:$AS,MATCH($O$1,Database!$A$1:$AS$1,),))))-(((VLOOKUP(EDATE(B303,-12),Database!$A:$AS,MATCH($O$1,Database!$A$1:$AS$1,),)))))/(((VLOOKUP(EDATE(B303,-12),Database!$A:$AS,MATCH($O$1,Database!$A$1:$AS$1,),))))</f>
        <v/>
      </c>
      <c r="P303" s="13">
        <f>((((VLOOKUP(B303,Database!$A:$AS,MATCH($P$1,Database!$A$1:$AS$1,),))))-(((VLOOKUP(EDATE(B303,-12),Database!$A:$AS,MATCH($P$1,Database!$A$1:$AS$1,),)))))/(((VLOOKUP(EDATE(B303,-12),Database!$A:$AS,MATCH($P$1,Database!$A$1:$AS$1,),))))</f>
        <v/>
      </c>
      <c r="Q303" s="13">
        <f>((((VLOOKUP(B303,Database!$A:$AS,MATCH($Q$1,Database!$A$1:$AS$1,),))))-(((VLOOKUP(EDATE(B303,-12),Database!$A:$AS,MATCH($Q$1,Database!$A$1:$AS$1,),)))))/(((VLOOKUP(EDATE(B303,-12),Database!$A:$AS,MATCH($Q$1,Database!$A$1:$AS$1,),))))</f>
        <v/>
      </c>
      <c r="R303" s="13">
        <f>((((VLOOKUP(B303,Database!$A:$AS,MATCH($R$1,Database!$A$1:$AS$1,),))))-(((VLOOKUP(EDATE(B303,-12),Database!$A:$AS,MATCH($R$1,Database!$A$1:$AS$1,),)))))/(((VLOOKUP(EDATE(B303,-12),Database!$A:$AS,MATCH($R$1,Database!$A$1:$AS$1,),))))</f>
        <v/>
      </c>
      <c r="S303" s="13">
        <f>((((VLOOKUP(B303,Database!$A:$AS,MATCH($S$1,Database!$A$1:$AS$1,),))))-(((VLOOKUP(EDATE(B303,-12),Database!$A:$AS,MATCH($S$1,Database!$A$1:$AS$1,),)))))/(((VLOOKUP(EDATE(B303,-12),Database!$A:$AS,MATCH($S$1,Database!$A$1:$AS$1,),))))</f>
        <v/>
      </c>
      <c r="T303" s="13">
        <f>((((VLOOKUP(B303,Database!$A:$AS,MATCH($T$1,Database!$A$1:$AS$1,),))))-(((VLOOKUP(EDATE(B303,-12),Database!$A:$AS,MATCH($T$1,Database!$A$1:$AS$1,),)))))/(((VLOOKUP(EDATE(B303,-12),Database!$A:$AS,MATCH($T$1,Database!$A$1:$AS$1,),))))</f>
        <v/>
      </c>
      <c r="U303" s="13">
        <f>((((VLOOKUP(B303,Database!$A:$AS,MATCH($U$1,Database!$A$1:$AS$1,),))))-(((VLOOKUP(EDATE(B303,-12),Database!$A:$AS,MATCH($U$1,Database!$A$1:$AS$1,),)))))/(((VLOOKUP(EDATE(B303,-12),Database!$A:$AS,MATCH($U$1,Database!$A$1:$AS$1,),))))</f>
        <v/>
      </c>
      <c r="V303" s="13">
        <f>((((VLOOKUP(B303,Database!$A:$AS,MATCH($V$1,Database!$A$1:$AS$1,),))))-(((VLOOKUP(EDATE(B303,-12),Database!$A:$AS,MATCH($V$1,Database!$A$1:$AS$1,),)))))/(((VLOOKUP(EDATE(B303,-12),Database!$A:$AS,MATCH($V$1,Database!$A$1:$AS$1,),))))</f>
        <v/>
      </c>
    </row>
    <row r="304" customFormat="1" s="94">
      <c r="A304" s="44" t="n"/>
      <c r="B304" s="85" t="n">
        <v>41395</v>
      </c>
      <c r="C304" s="13">
        <f>((((VLOOKUP(B304,Database!$A:$AS,MATCH($C$1,Database!$A$1:$AS$1,),))))-(((VLOOKUP(EDATE(B304,-12),Database!$A:$AS,MATCH($C$1,Database!$A$1:$AS$1,),)))))/(((VLOOKUP(EDATE(B304,-12),Database!$A:$AS,MATCH($C$1,Database!$A$1:$AS$1,),))))</f>
        <v/>
      </c>
      <c r="D304" s="13">
        <f>((((VLOOKUP(B304,Database!$A:$AS,MATCH($D$1,Database!$A$1:$AS$1,),))))-(((VLOOKUP(EDATE(B304,-12),Database!$A:$AS,MATCH($D$1,Database!$A$1:$AS$1,),)))))/(((VLOOKUP(EDATE(B304,-12),Database!$A:$AS,MATCH($D$1,Database!$A$1:$AS$1,),))))</f>
        <v/>
      </c>
      <c r="E304" s="13">
        <f>((((VLOOKUP(B304,Database!$A:$AS,MATCH($E$1,Database!$A$1:$AS$1,),))))-(((VLOOKUP(EDATE(B304,-12),Database!$A:$AS,MATCH($E$1,Database!$A$1:$AS$1,),)))))/(((VLOOKUP(EDATE(B304,-12),Database!$A:$AS,MATCH($E$1,Database!$A$1:$AS$1,),))))</f>
        <v/>
      </c>
      <c r="F304" s="13">
        <f>((((VLOOKUP(B304,Database!$A:$AS,MATCH($F$1,Database!$A$1:$AS$1,),))))-(((VLOOKUP(EDATE(B304,-12),Database!$A:$AS,MATCH($F$1,Database!$A$1:$AS$1,),)))))/(((VLOOKUP(EDATE(B304,-12),Database!$A:$AS,MATCH($F$1,Database!$A$1:$AS$1,),))))</f>
        <v/>
      </c>
      <c r="G304" s="13">
        <f>((((VLOOKUP(B304,Database!$A:$AS,MATCH($G$1,Database!$A$1:$AS$1,),))))-(((VLOOKUP(EDATE(B304,-12),Database!$A:$AS,MATCH($G$1,Database!$A$1:$AS$1,),)))))/(((VLOOKUP(EDATE(B304,-12),Database!$A:$AS,MATCH($G$1,Database!$A$1:$AS$1,),))))</f>
        <v/>
      </c>
      <c r="H304" s="13">
        <f>((((VLOOKUP(B304,Database!$A:$AS,MATCH($H$1,Database!$A$1:$AS$1,),))))-(((VLOOKUP(EDATE(B304,-12),Database!$A:$AS,MATCH($H$1,Database!$A$1:$AS$1,),)))))/(((VLOOKUP(EDATE(B304,-12),Database!$A:$AS,MATCH($H$1,Database!$A$1:$AS$1,),))))</f>
        <v/>
      </c>
      <c r="I304" s="13">
        <f>((((VLOOKUP(B304,Database!$A:$AS,MATCH($I$1,Database!$A$1:$AS$1,),))))-(((VLOOKUP(EDATE(B304,-12),Database!$A:$AS,MATCH($I$1,Database!$A$1:$AS$1,),)))))/(((VLOOKUP(EDATE(B304,-12),Database!$A:$AS,MATCH($I$1,Database!$A$1:$AS$1,),))))</f>
        <v/>
      </c>
      <c r="J304" s="13">
        <f>((((VLOOKUP(B304,Database!$A:$AS,MATCH($J$1,Database!$A$1:$AS$1,),))))-(((VLOOKUP(EDATE(B304,-12),Database!$A:$AS,MATCH($J$1,Database!$A$1:$AS$1,),)))))/(((VLOOKUP(EDATE(B304,-12),Database!$A:$AS,MATCH($J$1,Database!$A$1:$AS$1,),))))</f>
        <v/>
      </c>
      <c r="K304" s="13">
        <f>((((VLOOKUP(B304,Database!$A:$AS,MATCH($K$1,Database!$A$1:$AS$1,),))))-(((VLOOKUP(EDATE(B304,-12),Database!$A:$AS,MATCH($K$1,Database!$A$1:$AS$1,),)))))/(((VLOOKUP(EDATE(B304,-12),Database!$A:$AS,MATCH($K$1,Database!$A$1:$AS$1,),))))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((((VLOOKUP(B304,Database!$A:$AS,MATCH($O$1,Database!$A$1:$AS$1,),))))-(((VLOOKUP(EDATE(B304,-12),Database!$A:$AS,MATCH($O$1,Database!$A$1:$AS$1,),)))))/(((VLOOKUP(EDATE(B304,-12),Database!$A:$AS,MATCH($O$1,Database!$A$1:$AS$1,),))))</f>
        <v/>
      </c>
      <c r="P304" s="13">
        <f>((((VLOOKUP(B304,Database!$A:$AS,MATCH($P$1,Database!$A$1:$AS$1,),))))-(((VLOOKUP(EDATE(B304,-12),Database!$A:$AS,MATCH($P$1,Database!$A$1:$AS$1,),)))))/(((VLOOKUP(EDATE(B304,-12),Database!$A:$AS,MATCH($P$1,Database!$A$1:$AS$1,),))))</f>
        <v/>
      </c>
      <c r="Q304" s="13">
        <f>((((VLOOKUP(B304,Database!$A:$AS,MATCH($Q$1,Database!$A$1:$AS$1,),))))-(((VLOOKUP(EDATE(B304,-12),Database!$A:$AS,MATCH($Q$1,Database!$A$1:$AS$1,),)))))/(((VLOOKUP(EDATE(B304,-12),Database!$A:$AS,MATCH($Q$1,Database!$A$1:$AS$1,),))))</f>
        <v/>
      </c>
      <c r="R304" s="13">
        <f>((((VLOOKUP(B304,Database!$A:$AS,MATCH($R$1,Database!$A$1:$AS$1,),))))-(((VLOOKUP(EDATE(B304,-12),Database!$A:$AS,MATCH($R$1,Database!$A$1:$AS$1,),)))))/(((VLOOKUP(EDATE(B304,-12),Database!$A:$AS,MATCH($R$1,Database!$A$1:$AS$1,),))))</f>
        <v/>
      </c>
      <c r="S304" s="13">
        <f>((((VLOOKUP(B304,Database!$A:$AS,MATCH($S$1,Database!$A$1:$AS$1,),))))-(((VLOOKUP(EDATE(B304,-12),Database!$A:$AS,MATCH($S$1,Database!$A$1:$AS$1,),)))))/(((VLOOKUP(EDATE(B304,-12),Database!$A:$AS,MATCH($S$1,Database!$A$1:$AS$1,),))))</f>
        <v/>
      </c>
      <c r="T304" s="13">
        <f>((((VLOOKUP(B304,Database!$A:$AS,MATCH($T$1,Database!$A$1:$AS$1,),))))-(((VLOOKUP(EDATE(B304,-12),Database!$A:$AS,MATCH($T$1,Database!$A$1:$AS$1,),)))))/(((VLOOKUP(EDATE(B304,-12),Database!$A:$AS,MATCH($T$1,Database!$A$1:$AS$1,),))))</f>
        <v/>
      </c>
      <c r="U304" s="13">
        <f>((((VLOOKUP(B304,Database!$A:$AS,MATCH($U$1,Database!$A$1:$AS$1,),))))-(((VLOOKUP(EDATE(B304,-12),Database!$A:$AS,MATCH($U$1,Database!$A$1:$AS$1,),)))))/(((VLOOKUP(EDATE(B304,-12),Database!$A:$AS,MATCH($U$1,Database!$A$1:$AS$1,),))))</f>
        <v/>
      </c>
      <c r="V304" s="13">
        <f>((((VLOOKUP(B304,Database!$A:$AS,MATCH($V$1,Database!$A$1:$AS$1,),))))-(((VLOOKUP(EDATE(B304,-12),Database!$A:$AS,MATCH($V$1,Database!$A$1:$AS$1,),)))))/(((VLOOKUP(EDATE(B304,-12),Database!$A:$AS,MATCH($V$1,Database!$A$1:$AS$1,),))))</f>
        <v/>
      </c>
    </row>
    <row r="305" customFormat="1" s="94">
      <c r="A305" s="44" t="n"/>
      <c r="B305" s="85" t="n">
        <v>41426</v>
      </c>
      <c r="C305" s="13">
        <f>((((VLOOKUP(B305,Database!$A:$AS,MATCH($C$1,Database!$A$1:$AS$1,),))))-(((VLOOKUP(EDATE(B305,-12),Database!$A:$AS,MATCH($C$1,Database!$A$1:$AS$1,),)))))/(((VLOOKUP(EDATE(B305,-12),Database!$A:$AS,MATCH($C$1,Database!$A$1:$AS$1,),))))</f>
        <v/>
      </c>
      <c r="D305" s="13">
        <f>((((VLOOKUP(B305,Database!$A:$AS,MATCH($D$1,Database!$A$1:$AS$1,),))))-(((VLOOKUP(EDATE(B305,-12),Database!$A:$AS,MATCH($D$1,Database!$A$1:$AS$1,),)))))/(((VLOOKUP(EDATE(B305,-12),Database!$A:$AS,MATCH($D$1,Database!$A$1:$AS$1,),))))</f>
        <v/>
      </c>
      <c r="E305" s="13">
        <f>((((VLOOKUP(B305,Database!$A:$AS,MATCH($E$1,Database!$A$1:$AS$1,),))))-(((VLOOKUP(EDATE(B305,-12),Database!$A:$AS,MATCH($E$1,Database!$A$1:$AS$1,),)))))/(((VLOOKUP(EDATE(B305,-12),Database!$A:$AS,MATCH($E$1,Database!$A$1:$AS$1,),))))</f>
        <v/>
      </c>
      <c r="F305" s="13">
        <f>((((VLOOKUP(B305,Database!$A:$AS,MATCH($F$1,Database!$A$1:$AS$1,),))))-(((VLOOKUP(EDATE(B305,-12),Database!$A:$AS,MATCH($F$1,Database!$A$1:$AS$1,),)))))/(((VLOOKUP(EDATE(B305,-12),Database!$A:$AS,MATCH($F$1,Database!$A$1:$AS$1,),))))</f>
        <v/>
      </c>
      <c r="G305" s="13">
        <f>((((VLOOKUP(B305,Database!$A:$AS,MATCH($G$1,Database!$A$1:$AS$1,),))))-(((VLOOKUP(EDATE(B305,-12),Database!$A:$AS,MATCH($G$1,Database!$A$1:$AS$1,),)))))/(((VLOOKUP(EDATE(B305,-12),Database!$A:$AS,MATCH($G$1,Database!$A$1:$AS$1,),))))</f>
        <v/>
      </c>
      <c r="H305" s="13">
        <f>((((VLOOKUP(B305,Database!$A:$AS,MATCH($H$1,Database!$A$1:$AS$1,),))))-(((VLOOKUP(EDATE(B305,-12),Database!$A:$AS,MATCH($H$1,Database!$A$1:$AS$1,),)))))/(((VLOOKUP(EDATE(B305,-12),Database!$A:$AS,MATCH($H$1,Database!$A$1:$AS$1,),))))</f>
        <v/>
      </c>
      <c r="I305" s="13">
        <f>((((VLOOKUP(B305,Database!$A:$AS,MATCH($I$1,Database!$A$1:$AS$1,),))))-(((VLOOKUP(EDATE(B305,-12),Database!$A:$AS,MATCH($I$1,Database!$A$1:$AS$1,),)))))/(((VLOOKUP(EDATE(B305,-12),Database!$A:$AS,MATCH($I$1,Database!$A$1:$AS$1,),))))</f>
        <v/>
      </c>
      <c r="J305" s="13">
        <f>((((VLOOKUP(B305,Database!$A:$AS,MATCH($J$1,Database!$A$1:$AS$1,),))))-(((VLOOKUP(EDATE(B305,-12),Database!$A:$AS,MATCH($J$1,Database!$A$1:$AS$1,),)))))/(((VLOOKUP(EDATE(B305,-12),Database!$A:$AS,MATCH($J$1,Database!$A$1:$AS$1,),))))</f>
        <v/>
      </c>
      <c r="K305" s="13">
        <f>((((VLOOKUP(B305,Database!$A:$AS,MATCH($K$1,Database!$A$1:$AS$1,),))))-(((VLOOKUP(EDATE(B305,-12),Database!$A:$AS,MATCH($K$1,Database!$A$1:$AS$1,),)))))/(((VLOOKUP(EDATE(B305,-12),Database!$A:$AS,MATCH($K$1,Database!$A$1:$AS$1,),))))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((((VLOOKUP(B305,Database!$A:$AS,MATCH($O$1,Database!$A$1:$AS$1,),))))-(((VLOOKUP(EDATE(B305,-12),Database!$A:$AS,MATCH($O$1,Database!$A$1:$AS$1,),)))))/(((VLOOKUP(EDATE(B305,-12),Database!$A:$AS,MATCH($O$1,Database!$A$1:$AS$1,),))))</f>
        <v/>
      </c>
      <c r="P305" s="13">
        <f>((((VLOOKUP(B305,Database!$A:$AS,MATCH($P$1,Database!$A$1:$AS$1,),))))-(((VLOOKUP(EDATE(B305,-12),Database!$A:$AS,MATCH($P$1,Database!$A$1:$AS$1,),)))))/(((VLOOKUP(EDATE(B305,-12),Database!$A:$AS,MATCH($P$1,Database!$A$1:$AS$1,),))))</f>
        <v/>
      </c>
      <c r="Q305" s="13">
        <f>((((VLOOKUP(B305,Database!$A:$AS,MATCH($Q$1,Database!$A$1:$AS$1,),))))-(((VLOOKUP(EDATE(B305,-12),Database!$A:$AS,MATCH($Q$1,Database!$A$1:$AS$1,),)))))/(((VLOOKUP(EDATE(B305,-12),Database!$A:$AS,MATCH($Q$1,Database!$A$1:$AS$1,),))))</f>
        <v/>
      </c>
      <c r="R305" s="13">
        <f>((((VLOOKUP(B305,Database!$A:$AS,MATCH($R$1,Database!$A$1:$AS$1,),))))-(((VLOOKUP(EDATE(B305,-12),Database!$A:$AS,MATCH($R$1,Database!$A$1:$AS$1,),)))))/(((VLOOKUP(EDATE(B305,-12),Database!$A:$AS,MATCH($R$1,Database!$A$1:$AS$1,),))))</f>
        <v/>
      </c>
      <c r="S305" s="13">
        <f>((((VLOOKUP(B305,Database!$A:$AS,MATCH($S$1,Database!$A$1:$AS$1,),))))-(((VLOOKUP(EDATE(B305,-12),Database!$A:$AS,MATCH($S$1,Database!$A$1:$AS$1,),)))))/(((VLOOKUP(EDATE(B305,-12),Database!$A:$AS,MATCH($S$1,Database!$A$1:$AS$1,),))))</f>
        <v/>
      </c>
      <c r="T305" s="13">
        <f>((((VLOOKUP(B305,Database!$A:$AS,MATCH($T$1,Database!$A$1:$AS$1,),))))-(((VLOOKUP(EDATE(B305,-12),Database!$A:$AS,MATCH($T$1,Database!$A$1:$AS$1,),)))))/(((VLOOKUP(EDATE(B305,-12),Database!$A:$AS,MATCH($T$1,Database!$A$1:$AS$1,),))))</f>
        <v/>
      </c>
      <c r="U305" s="13">
        <f>((((VLOOKUP(B305,Database!$A:$AS,MATCH($U$1,Database!$A$1:$AS$1,),))))-(((VLOOKUP(EDATE(B305,-12),Database!$A:$AS,MATCH($U$1,Database!$A$1:$AS$1,),)))))/(((VLOOKUP(EDATE(B305,-12),Database!$A:$AS,MATCH($U$1,Database!$A$1:$AS$1,),))))</f>
        <v/>
      </c>
      <c r="V305" s="13">
        <f>((((VLOOKUP(B305,Database!$A:$AS,MATCH($V$1,Database!$A$1:$AS$1,),))))-(((VLOOKUP(EDATE(B305,-12),Database!$A:$AS,MATCH($V$1,Database!$A$1:$AS$1,),)))))/(((VLOOKUP(EDATE(B305,-12),Database!$A:$AS,MATCH($V$1,Database!$A$1:$AS$1,),))))</f>
        <v/>
      </c>
    </row>
    <row r="306" customFormat="1" s="94">
      <c r="A306" s="44" t="n"/>
      <c r="B306" s="85" t="n">
        <v>41456</v>
      </c>
      <c r="C306" s="13">
        <f>((((VLOOKUP(B306,Database!$A:$AS,MATCH($C$1,Database!$A$1:$AS$1,),))))-(((VLOOKUP(EDATE(B306,-12),Database!$A:$AS,MATCH($C$1,Database!$A$1:$AS$1,),)))))/(((VLOOKUP(EDATE(B306,-12),Database!$A:$AS,MATCH($C$1,Database!$A$1:$AS$1,),))))</f>
        <v/>
      </c>
      <c r="D306" s="13">
        <f>((((VLOOKUP(B306,Database!$A:$AS,MATCH($D$1,Database!$A$1:$AS$1,),))))-(((VLOOKUP(EDATE(B306,-12),Database!$A:$AS,MATCH($D$1,Database!$A$1:$AS$1,),)))))/(((VLOOKUP(EDATE(B306,-12),Database!$A:$AS,MATCH($D$1,Database!$A$1:$AS$1,),))))</f>
        <v/>
      </c>
      <c r="E306" s="13">
        <f>((((VLOOKUP(B306,Database!$A:$AS,MATCH($E$1,Database!$A$1:$AS$1,),))))-(((VLOOKUP(EDATE(B306,-12),Database!$A:$AS,MATCH($E$1,Database!$A$1:$AS$1,),)))))/(((VLOOKUP(EDATE(B306,-12),Database!$A:$AS,MATCH($E$1,Database!$A$1:$AS$1,),))))</f>
        <v/>
      </c>
      <c r="F306" s="13">
        <f>((((VLOOKUP(B306,Database!$A:$AS,MATCH($F$1,Database!$A$1:$AS$1,),))))-(((VLOOKUP(EDATE(B306,-12),Database!$A:$AS,MATCH($F$1,Database!$A$1:$AS$1,),)))))/(((VLOOKUP(EDATE(B306,-12),Database!$A:$AS,MATCH($F$1,Database!$A$1:$AS$1,),))))</f>
        <v/>
      </c>
      <c r="G306" s="13">
        <f>((((VLOOKUP(B306,Database!$A:$AS,MATCH($G$1,Database!$A$1:$AS$1,),))))-(((VLOOKUP(EDATE(B306,-12),Database!$A:$AS,MATCH($G$1,Database!$A$1:$AS$1,),)))))/(((VLOOKUP(EDATE(B306,-12),Database!$A:$AS,MATCH($G$1,Database!$A$1:$AS$1,),))))</f>
        <v/>
      </c>
      <c r="H306" s="13">
        <f>((((VLOOKUP(B306,Database!$A:$AS,MATCH($H$1,Database!$A$1:$AS$1,),))))-(((VLOOKUP(EDATE(B306,-12),Database!$A:$AS,MATCH($H$1,Database!$A$1:$AS$1,),)))))/(((VLOOKUP(EDATE(B306,-12),Database!$A:$AS,MATCH($H$1,Database!$A$1:$AS$1,),))))</f>
        <v/>
      </c>
      <c r="I306" s="13">
        <f>((((VLOOKUP(B306,Database!$A:$AS,MATCH($I$1,Database!$A$1:$AS$1,),))))-(((VLOOKUP(EDATE(B306,-12),Database!$A:$AS,MATCH($I$1,Database!$A$1:$AS$1,),)))))/(((VLOOKUP(EDATE(B306,-12),Database!$A:$AS,MATCH($I$1,Database!$A$1:$AS$1,),))))</f>
        <v/>
      </c>
      <c r="J306" s="13">
        <f>((((VLOOKUP(B306,Database!$A:$AS,MATCH($J$1,Database!$A$1:$AS$1,),))))-(((VLOOKUP(EDATE(B306,-12),Database!$A:$AS,MATCH($J$1,Database!$A$1:$AS$1,),)))))/(((VLOOKUP(EDATE(B306,-12),Database!$A:$AS,MATCH($J$1,Database!$A$1:$AS$1,),))))</f>
        <v/>
      </c>
      <c r="K306" s="13">
        <f>((((VLOOKUP(B306,Database!$A:$AS,MATCH($K$1,Database!$A$1:$AS$1,),))))-(((VLOOKUP(EDATE(B306,-12),Database!$A:$AS,MATCH($K$1,Database!$A$1:$AS$1,),)))))/(((VLOOKUP(EDATE(B306,-12),Database!$A:$AS,MATCH($K$1,Database!$A$1:$AS$1,),))))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((((VLOOKUP(B306,Database!$A:$AS,MATCH($O$1,Database!$A$1:$AS$1,),))))-(((VLOOKUP(EDATE(B306,-12),Database!$A:$AS,MATCH($O$1,Database!$A$1:$AS$1,),)))))/(((VLOOKUP(EDATE(B306,-12),Database!$A:$AS,MATCH($O$1,Database!$A$1:$AS$1,),))))</f>
        <v/>
      </c>
      <c r="P306" s="13">
        <f>((((VLOOKUP(B306,Database!$A:$AS,MATCH($P$1,Database!$A$1:$AS$1,),))))-(((VLOOKUP(EDATE(B306,-12),Database!$A:$AS,MATCH($P$1,Database!$A$1:$AS$1,),)))))/(((VLOOKUP(EDATE(B306,-12),Database!$A:$AS,MATCH($P$1,Database!$A$1:$AS$1,),))))</f>
        <v/>
      </c>
      <c r="Q306" s="13">
        <f>((((VLOOKUP(B306,Database!$A:$AS,MATCH($Q$1,Database!$A$1:$AS$1,),))))-(((VLOOKUP(EDATE(B306,-12),Database!$A:$AS,MATCH($Q$1,Database!$A$1:$AS$1,),)))))/(((VLOOKUP(EDATE(B306,-12),Database!$A:$AS,MATCH($Q$1,Database!$A$1:$AS$1,),))))</f>
        <v/>
      </c>
      <c r="R306" s="13">
        <f>((((VLOOKUP(B306,Database!$A:$AS,MATCH($R$1,Database!$A$1:$AS$1,),))))-(((VLOOKUP(EDATE(B306,-12),Database!$A:$AS,MATCH($R$1,Database!$A$1:$AS$1,),)))))/(((VLOOKUP(EDATE(B306,-12),Database!$A:$AS,MATCH($R$1,Database!$A$1:$AS$1,),))))</f>
        <v/>
      </c>
      <c r="S306" s="13">
        <f>((((VLOOKUP(B306,Database!$A:$AS,MATCH($S$1,Database!$A$1:$AS$1,),))))-(((VLOOKUP(EDATE(B306,-12),Database!$A:$AS,MATCH($S$1,Database!$A$1:$AS$1,),)))))/(((VLOOKUP(EDATE(B306,-12),Database!$A:$AS,MATCH($S$1,Database!$A$1:$AS$1,),))))</f>
        <v/>
      </c>
      <c r="T306" s="13">
        <f>((((VLOOKUP(B306,Database!$A:$AS,MATCH($T$1,Database!$A$1:$AS$1,),))))-(((VLOOKUP(EDATE(B306,-12),Database!$A:$AS,MATCH($T$1,Database!$A$1:$AS$1,),)))))/(((VLOOKUP(EDATE(B306,-12),Database!$A:$AS,MATCH($T$1,Database!$A$1:$AS$1,),))))</f>
        <v/>
      </c>
      <c r="U306" s="13">
        <f>((((VLOOKUP(B306,Database!$A:$AS,MATCH($U$1,Database!$A$1:$AS$1,),))))-(((VLOOKUP(EDATE(B306,-12),Database!$A:$AS,MATCH($U$1,Database!$A$1:$AS$1,),)))))/(((VLOOKUP(EDATE(B306,-12),Database!$A:$AS,MATCH($U$1,Database!$A$1:$AS$1,),))))</f>
        <v/>
      </c>
      <c r="V306" s="13">
        <f>((((VLOOKUP(B306,Database!$A:$AS,MATCH($V$1,Database!$A$1:$AS$1,),))))-(((VLOOKUP(EDATE(B306,-12),Database!$A:$AS,MATCH($V$1,Database!$A$1:$AS$1,),)))))/(((VLOOKUP(EDATE(B306,-12),Database!$A:$AS,MATCH($V$1,Database!$A$1:$AS$1,),))))</f>
        <v/>
      </c>
    </row>
    <row r="307" customFormat="1" s="94">
      <c r="A307" s="44" t="n"/>
      <c r="B307" s="85" t="n">
        <v>41487</v>
      </c>
      <c r="C307" s="13">
        <f>((((VLOOKUP(B307,Database!$A:$AS,MATCH($C$1,Database!$A$1:$AS$1,),))))-(((VLOOKUP(EDATE(B307,-12),Database!$A:$AS,MATCH($C$1,Database!$A$1:$AS$1,),)))))/(((VLOOKUP(EDATE(B307,-12),Database!$A:$AS,MATCH($C$1,Database!$A$1:$AS$1,),))))</f>
        <v/>
      </c>
      <c r="D307" s="13">
        <f>((((VLOOKUP(B307,Database!$A:$AS,MATCH($D$1,Database!$A$1:$AS$1,),))))-(((VLOOKUP(EDATE(B307,-12),Database!$A:$AS,MATCH($D$1,Database!$A$1:$AS$1,),)))))/(((VLOOKUP(EDATE(B307,-12),Database!$A:$AS,MATCH($D$1,Database!$A$1:$AS$1,),))))</f>
        <v/>
      </c>
      <c r="E307" s="13">
        <f>((((VLOOKUP(B307,Database!$A:$AS,MATCH($E$1,Database!$A$1:$AS$1,),))))-(((VLOOKUP(EDATE(B307,-12),Database!$A:$AS,MATCH($E$1,Database!$A$1:$AS$1,),)))))/(((VLOOKUP(EDATE(B307,-12),Database!$A:$AS,MATCH($E$1,Database!$A$1:$AS$1,),))))</f>
        <v/>
      </c>
      <c r="F307" s="13">
        <f>((((VLOOKUP(B307,Database!$A:$AS,MATCH($F$1,Database!$A$1:$AS$1,),))))-(((VLOOKUP(EDATE(B307,-12),Database!$A:$AS,MATCH($F$1,Database!$A$1:$AS$1,),)))))/(((VLOOKUP(EDATE(B307,-12),Database!$A:$AS,MATCH($F$1,Database!$A$1:$AS$1,),))))</f>
        <v/>
      </c>
      <c r="G307" s="13">
        <f>((((VLOOKUP(B307,Database!$A:$AS,MATCH($G$1,Database!$A$1:$AS$1,),))))-(((VLOOKUP(EDATE(B307,-12),Database!$A:$AS,MATCH($G$1,Database!$A$1:$AS$1,),)))))/(((VLOOKUP(EDATE(B307,-12),Database!$A:$AS,MATCH($G$1,Database!$A$1:$AS$1,),))))</f>
        <v/>
      </c>
      <c r="H307" s="13">
        <f>((((VLOOKUP(B307,Database!$A:$AS,MATCH($H$1,Database!$A$1:$AS$1,),))))-(((VLOOKUP(EDATE(B307,-12),Database!$A:$AS,MATCH($H$1,Database!$A$1:$AS$1,),)))))/(((VLOOKUP(EDATE(B307,-12),Database!$A:$AS,MATCH($H$1,Database!$A$1:$AS$1,),))))</f>
        <v/>
      </c>
      <c r="I307" s="13">
        <f>((((VLOOKUP(B307,Database!$A:$AS,MATCH($I$1,Database!$A$1:$AS$1,),))))-(((VLOOKUP(EDATE(B307,-12),Database!$A:$AS,MATCH($I$1,Database!$A$1:$AS$1,),)))))/(((VLOOKUP(EDATE(B307,-12),Database!$A:$AS,MATCH($I$1,Database!$A$1:$AS$1,),))))</f>
        <v/>
      </c>
      <c r="J307" s="13">
        <f>((((VLOOKUP(B307,Database!$A:$AS,MATCH($J$1,Database!$A$1:$AS$1,),))))-(((VLOOKUP(EDATE(B307,-12),Database!$A:$AS,MATCH($J$1,Database!$A$1:$AS$1,),)))))/(((VLOOKUP(EDATE(B307,-12),Database!$A:$AS,MATCH($J$1,Database!$A$1:$AS$1,),))))</f>
        <v/>
      </c>
      <c r="K307" s="13">
        <f>((((VLOOKUP(B307,Database!$A:$AS,MATCH($K$1,Database!$A$1:$AS$1,),))))-(((VLOOKUP(EDATE(B307,-12),Database!$A:$AS,MATCH($K$1,Database!$A$1:$AS$1,),)))))/(((VLOOKUP(EDATE(B307,-12),Database!$A:$AS,MATCH($K$1,Database!$A$1:$AS$1,),))))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((((VLOOKUP(B307,Database!$A:$AS,MATCH($O$1,Database!$A$1:$AS$1,),))))-(((VLOOKUP(EDATE(B307,-12),Database!$A:$AS,MATCH($O$1,Database!$A$1:$AS$1,),)))))/(((VLOOKUP(EDATE(B307,-12),Database!$A:$AS,MATCH($O$1,Database!$A$1:$AS$1,),))))</f>
        <v/>
      </c>
      <c r="P307" s="13">
        <f>((((VLOOKUP(B307,Database!$A:$AS,MATCH($P$1,Database!$A$1:$AS$1,),))))-(((VLOOKUP(EDATE(B307,-12),Database!$A:$AS,MATCH($P$1,Database!$A$1:$AS$1,),)))))/(((VLOOKUP(EDATE(B307,-12),Database!$A:$AS,MATCH($P$1,Database!$A$1:$AS$1,),))))</f>
        <v/>
      </c>
      <c r="Q307" s="13">
        <f>((((VLOOKUP(B307,Database!$A:$AS,MATCH($Q$1,Database!$A$1:$AS$1,),))))-(((VLOOKUP(EDATE(B307,-12),Database!$A:$AS,MATCH($Q$1,Database!$A$1:$AS$1,),)))))/(((VLOOKUP(EDATE(B307,-12),Database!$A:$AS,MATCH($Q$1,Database!$A$1:$AS$1,),))))</f>
        <v/>
      </c>
      <c r="R307" s="13">
        <f>((((VLOOKUP(B307,Database!$A:$AS,MATCH($R$1,Database!$A$1:$AS$1,),))))-(((VLOOKUP(EDATE(B307,-12),Database!$A:$AS,MATCH($R$1,Database!$A$1:$AS$1,),)))))/(((VLOOKUP(EDATE(B307,-12),Database!$A:$AS,MATCH($R$1,Database!$A$1:$AS$1,),))))</f>
        <v/>
      </c>
      <c r="S307" s="13">
        <f>((((VLOOKUP(B307,Database!$A:$AS,MATCH($S$1,Database!$A$1:$AS$1,),))))-(((VLOOKUP(EDATE(B307,-12),Database!$A:$AS,MATCH($S$1,Database!$A$1:$AS$1,),)))))/(((VLOOKUP(EDATE(B307,-12),Database!$A:$AS,MATCH($S$1,Database!$A$1:$AS$1,),))))</f>
        <v/>
      </c>
      <c r="T307" s="13">
        <f>((((VLOOKUP(B307,Database!$A:$AS,MATCH($T$1,Database!$A$1:$AS$1,),))))-(((VLOOKUP(EDATE(B307,-12),Database!$A:$AS,MATCH($T$1,Database!$A$1:$AS$1,),)))))/(((VLOOKUP(EDATE(B307,-12),Database!$A:$AS,MATCH($T$1,Database!$A$1:$AS$1,),))))</f>
        <v/>
      </c>
      <c r="U307" s="13">
        <f>((((VLOOKUP(B307,Database!$A:$AS,MATCH($U$1,Database!$A$1:$AS$1,),))))-(((VLOOKUP(EDATE(B307,-12),Database!$A:$AS,MATCH($U$1,Database!$A$1:$AS$1,),)))))/(((VLOOKUP(EDATE(B307,-12),Database!$A:$AS,MATCH($U$1,Database!$A$1:$AS$1,),))))</f>
        <v/>
      </c>
      <c r="V307" s="13">
        <f>((((VLOOKUP(B307,Database!$A:$AS,MATCH($V$1,Database!$A$1:$AS$1,),))))-(((VLOOKUP(EDATE(B307,-12),Database!$A:$AS,MATCH($V$1,Database!$A$1:$AS$1,),)))))/(((VLOOKUP(EDATE(B307,-12),Database!$A:$AS,MATCH($V$1,Database!$A$1:$AS$1,),))))</f>
        <v/>
      </c>
    </row>
    <row r="308" customFormat="1" s="94">
      <c r="A308" s="44" t="n"/>
      <c r="B308" s="85" t="n">
        <v>41518</v>
      </c>
      <c r="C308" s="13">
        <f>((((VLOOKUP(B308,Database!$A:$AS,MATCH($C$1,Database!$A$1:$AS$1,),))))-(((VLOOKUP(EDATE(B308,-12),Database!$A:$AS,MATCH($C$1,Database!$A$1:$AS$1,),)))))/(((VLOOKUP(EDATE(B308,-12),Database!$A:$AS,MATCH($C$1,Database!$A$1:$AS$1,),))))</f>
        <v/>
      </c>
      <c r="D308" s="13">
        <f>((((VLOOKUP(B308,Database!$A:$AS,MATCH($D$1,Database!$A$1:$AS$1,),))))-(((VLOOKUP(EDATE(B308,-12),Database!$A:$AS,MATCH($D$1,Database!$A$1:$AS$1,),)))))/(((VLOOKUP(EDATE(B308,-12),Database!$A:$AS,MATCH($D$1,Database!$A$1:$AS$1,),))))</f>
        <v/>
      </c>
      <c r="E308" s="13">
        <f>((((VLOOKUP(B308,Database!$A:$AS,MATCH($E$1,Database!$A$1:$AS$1,),))))-(((VLOOKUP(EDATE(B308,-12),Database!$A:$AS,MATCH($E$1,Database!$A$1:$AS$1,),)))))/(((VLOOKUP(EDATE(B308,-12),Database!$A:$AS,MATCH($E$1,Database!$A$1:$AS$1,),))))</f>
        <v/>
      </c>
      <c r="F308" s="13">
        <f>((((VLOOKUP(B308,Database!$A:$AS,MATCH($F$1,Database!$A$1:$AS$1,),))))-(((VLOOKUP(EDATE(B308,-12),Database!$A:$AS,MATCH($F$1,Database!$A$1:$AS$1,),)))))/(((VLOOKUP(EDATE(B308,-12),Database!$A:$AS,MATCH($F$1,Database!$A$1:$AS$1,),))))</f>
        <v/>
      </c>
      <c r="G308" s="13">
        <f>((((VLOOKUP(B308,Database!$A:$AS,MATCH($G$1,Database!$A$1:$AS$1,),))))-(((VLOOKUP(EDATE(B308,-12),Database!$A:$AS,MATCH($G$1,Database!$A$1:$AS$1,),)))))/(((VLOOKUP(EDATE(B308,-12),Database!$A:$AS,MATCH($G$1,Database!$A$1:$AS$1,),))))</f>
        <v/>
      </c>
      <c r="H308" s="13">
        <f>((((VLOOKUP(B308,Database!$A:$AS,MATCH($H$1,Database!$A$1:$AS$1,),))))-(((VLOOKUP(EDATE(B308,-12),Database!$A:$AS,MATCH($H$1,Database!$A$1:$AS$1,),)))))/(((VLOOKUP(EDATE(B308,-12),Database!$A:$AS,MATCH($H$1,Database!$A$1:$AS$1,),))))</f>
        <v/>
      </c>
      <c r="I308" s="13">
        <f>((((VLOOKUP(B308,Database!$A:$AS,MATCH($I$1,Database!$A$1:$AS$1,),))))-(((VLOOKUP(EDATE(B308,-12),Database!$A:$AS,MATCH($I$1,Database!$A$1:$AS$1,),)))))/(((VLOOKUP(EDATE(B308,-12),Database!$A:$AS,MATCH($I$1,Database!$A$1:$AS$1,),))))</f>
        <v/>
      </c>
      <c r="J308" s="13">
        <f>((((VLOOKUP(B308,Database!$A:$AS,MATCH($J$1,Database!$A$1:$AS$1,),))))-(((VLOOKUP(EDATE(B308,-12),Database!$A:$AS,MATCH($J$1,Database!$A$1:$AS$1,),)))))/(((VLOOKUP(EDATE(B308,-12),Database!$A:$AS,MATCH($J$1,Database!$A$1:$AS$1,),))))</f>
        <v/>
      </c>
      <c r="K308" s="13">
        <f>((((VLOOKUP(B308,Database!$A:$AS,MATCH($K$1,Database!$A$1:$AS$1,),))))-(((VLOOKUP(EDATE(B308,-12),Database!$A:$AS,MATCH($K$1,Database!$A$1:$AS$1,),)))))/(((VLOOKUP(EDATE(B308,-12),Database!$A:$AS,MATCH($K$1,Database!$A$1:$AS$1,),))))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((((VLOOKUP(B308,Database!$A:$AS,MATCH($O$1,Database!$A$1:$AS$1,),))))-(((VLOOKUP(EDATE(B308,-12),Database!$A:$AS,MATCH($O$1,Database!$A$1:$AS$1,),)))))/(((VLOOKUP(EDATE(B308,-12),Database!$A:$AS,MATCH($O$1,Database!$A$1:$AS$1,),))))</f>
        <v/>
      </c>
      <c r="P308" s="13">
        <f>((((VLOOKUP(B308,Database!$A:$AS,MATCH($P$1,Database!$A$1:$AS$1,),))))-(((VLOOKUP(EDATE(B308,-12),Database!$A:$AS,MATCH($P$1,Database!$A$1:$AS$1,),)))))/(((VLOOKUP(EDATE(B308,-12),Database!$A:$AS,MATCH($P$1,Database!$A$1:$AS$1,),))))</f>
        <v/>
      </c>
      <c r="Q308" s="13">
        <f>((((VLOOKUP(B308,Database!$A:$AS,MATCH($Q$1,Database!$A$1:$AS$1,),))))-(((VLOOKUP(EDATE(B308,-12),Database!$A:$AS,MATCH($Q$1,Database!$A$1:$AS$1,),)))))/(((VLOOKUP(EDATE(B308,-12),Database!$A:$AS,MATCH($Q$1,Database!$A$1:$AS$1,),))))</f>
        <v/>
      </c>
      <c r="R308" s="13">
        <f>((((VLOOKUP(B308,Database!$A:$AS,MATCH($R$1,Database!$A$1:$AS$1,),))))-(((VLOOKUP(EDATE(B308,-12),Database!$A:$AS,MATCH($R$1,Database!$A$1:$AS$1,),)))))/(((VLOOKUP(EDATE(B308,-12),Database!$A:$AS,MATCH($R$1,Database!$A$1:$AS$1,),))))</f>
        <v/>
      </c>
      <c r="S308" s="13">
        <f>((((VLOOKUP(B308,Database!$A:$AS,MATCH($S$1,Database!$A$1:$AS$1,),))))-(((VLOOKUP(EDATE(B308,-12),Database!$A:$AS,MATCH($S$1,Database!$A$1:$AS$1,),)))))/(((VLOOKUP(EDATE(B308,-12),Database!$A:$AS,MATCH($S$1,Database!$A$1:$AS$1,),))))</f>
        <v/>
      </c>
      <c r="T308" s="13">
        <f>((((VLOOKUP(B308,Database!$A:$AS,MATCH($T$1,Database!$A$1:$AS$1,),))))-(((VLOOKUP(EDATE(B308,-12),Database!$A:$AS,MATCH($T$1,Database!$A$1:$AS$1,),)))))/(((VLOOKUP(EDATE(B308,-12),Database!$A:$AS,MATCH($T$1,Database!$A$1:$AS$1,),))))</f>
        <v/>
      </c>
      <c r="U308" s="13">
        <f>((((VLOOKUP(B308,Database!$A:$AS,MATCH($U$1,Database!$A$1:$AS$1,),))))-(((VLOOKUP(EDATE(B308,-12),Database!$A:$AS,MATCH($U$1,Database!$A$1:$AS$1,),)))))/(((VLOOKUP(EDATE(B308,-12),Database!$A:$AS,MATCH($U$1,Database!$A$1:$AS$1,),))))</f>
        <v/>
      </c>
      <c r="V308" s="13">
        <f>((((VLOOKUP(B308,Database!$A:$AS,MATCH($V$1,Database!$A$1:$AS$1,),))))-(((VLOOKUP(EDATE(B308,-12),Database!$A:$AS,MATCH($V$1,Database!$A$1:$AS$1,),)))))/(((VLOOKUP(EDATE(B308,-12),Database!$A:$AS,MATCH($V$1,Database!$A$1:$AS$1,),))))</f>
        <v/>
      </c>
    </row>
    <row r="309" customFormat="1" s="94">
      <c r="A309" s="44" t="n"/>
      <c r="B309" s="85" t="n">
        <v>41548</v>
      </c>
      <c r="C309" s="13">
        <f>((((VLOOKUP(B309,Database!$A:$AS,MATCH($C$1,Database!$A$1:$AS$1,),))))-(((VLOOKUP(EDATE(B309,-12),Database!$A:$AS,MATCH($C$1,Database!$A$1:$AS$1,),)))))/(((VLOOKUP(EDATE(B309,-12),Database!$A:$AS,MATCH($C$1,Database!$A$1:$AS$1,),))))</f>
        <v/>
      </c>
      <c r="D309" s="13">
        <f>((((VLOOKUP(B309,Database!$A:$AS,MATCH($D$1,Database!$A$1:$AS$1,),))))-(((VLOOKUP(EDATE(B309,-12),Database!$A:$AS,MATCH($D$1,Database!$A$1:$AS$1,),)))))/(((VLOOKUP(EDATE(B309,-12),Database!$A:$AS,MATCH($D$1,Database!$A$1:$AS$1,),))))</f>
        <v/>
      </c>
      <c r="E309" s="13">
        <f>((((VLOOKUP(B309,Database!$A:$AS,MATCH($E$1,Database!$A$1:$AS$1,),))))-(((VLOOKUP(EDATE(B309,-12),Database!$A:$AS,MATCH($E$1,Database!$A$1:$AS$1,),)))))/(((VLOOKUP(EDATE(B309,-12),Database!$A:$AS,MATCH($E$1,Database!$A$1:$AS$1,),))))</f>
        <v/>
      </c>
      <c r="F309" s="13">
        <f>((((VLOOKUP(B309,Database!$A:$AS,MATCH($F$1,Database!$A$1:$AS$1,),))))-(((VLOOKUP(EDATE(B309,-12),Database!$A:$AS,MATCH($F$1,Database!$A$1:$AS$1,),)))))/(((VLOOKUP(EDATE(B309,-12),Database!$A:$AS,MATCH($F$1,Database!$A$1:$AS$1,),))))</f>
        <v/>
      </c>
      <c r="G309" s="13">
        <f>((((VLOOKUP(B309,Database!$A:$AS,MATCH($G$1,Database!$A$1:$AS$1,),))))-(((VLOOKUP(EDATE(B309,-12),Database!$A:$AS,MATCH($G$1,Database!$A$1:$AS$1,),)))))/(((VLOOKUP(EDATE(B309,-12),Database!$A:$AS,MATCH($G$1,Database!$A$1:$AS$1,),))))</f>
        <v/>
      </c>
      <c r="H309" s="13">
        <f>((((VLOOKUP(B309,Database!$A:$AS,MATCH($H$1,Database!$A$1:$AS$1,),))))-(((VLOOKUP(EDATE(B309,-12),Database!$A:$AS,MATCH($H$1,Database!$A$1:$AS$1,),)))))/(((VLOOKUP(EDATE(B309,-12),Database!$A:$AS,MATCH($H$1,Database!$A$1:$AS$1,),))))</f>
        <v/>
      </c>
      <c r="I309" s="13">
        <f>((((VLOOKUP(B309,Database!$A:$AS,MATCH($I$1,Database!$A$1:$AS$1,),))))-(((VLOOKUP(EDATE(B309,-12),Database!$A:$AS,MATCH($I$1,Database!$A$1:$AS$1,),)))))/(((VLOOKUP(EDATE(B309,-12),Database!$A:$AS,MATCH($I$1,Database!$A$1:$AS$1,),))))</f>
        <v/>
      </c>
      <c r="J309" s="13">
        <f>((((VLOOKUP(B309,Database!$A:$AS,MATCH($J$1,Database!$A$1:$AS$1,),))))-(((VLOOKUP(EDATE(B309,-12),Database!$A:$AS,MATCH($J$1,Database!$A$1:$AS$1,),)))))/(((VLOOKUP(EDATE(B309,-12),Database!$A:$AS,MATCH($J$1,Database!$A$1:$AS$1,),))))</f>
        <v/>
      </c>
      <c r="K309" s="13">
        <f>((((VLOOKUP(B309,Database!$A:$AS,MATCH($K$1,Database!$A$1:$AS$1,),))))-(((VLOOKUP(EDATE(B309,-12),Database!$A:$AS,MATCH($K$1,Database!$A$1:$AS$1,),)))))/(((VLOOKUP(EDATE(B309,-12),Database!$A:$AS,MATCH($K$1,Database!$A$1:$AS$1,),))))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((((VLOOKUP(B309,Database!$A:$AS,MATCH($O$1,Database!$A$1:$AS$1,),))))-(((VLOOKUP(EDATE(B309,-12),Database!$A:$AS,MATCH($O$1,Database!$A$1:$AS$1,),)))))/(((VLOOKUP(EDATE(B309,-12),Database!$A:$AS,MATCH($O$1,Database!$A$1:$AS$1,),))))</f>
        <v/>
      </c>
      <c r="P309" s="13">
        <f>((((VLOOKUP(B309,Database!$A:$AS,MATCH($P$1,Database!$A$1:$AS$1,),))))-(((VLOOKUP(EDATE(B309,-12),Database!$A:$AS,MATCH($P$1,Database!$A$1:$AS$1,),)))))/(((VLOOKUP(EDATE(B309,-12),Database!$A:$AS,MATCH($P$1,Database!$A$1:$AS$1,),))))</f>
        <v/>
      </c>
      <c r="Q309" s="13">
        <f>((((VLOOKUP(B309,Database!$A:$AS,MATCH($Q$1,Database!$A$1:$AS$1,),))))-(((VLOOKUP(EDATE(B309,-12),Database!$A:$AS,MATCH($Q$1,Database!$A$1:$AS$1,),)))))/(((VLOOKUP(EDATE(B309,-12),Database!$A:$AS,MATCH($Q$1,Database!$A$1:$AS$1,),))))</f>
        <v/>
      </c>
      <c r="R309" s="13">
        <f>((((VLOOKUP(B309,Database!$A:$AS,MATCH($R$1,Database!$A$1:$AS$1,),))))-(((VLOOKUP(EDATE(B309,-12),Database!$A:$AS,MATCH($R$1,Database!$A$1:$AS$1,),)))))/(((VLOOKUP(EDATE(B309,-12),Database!$A:$AS,MATCH($R$1,Database!$A$1:$AS$1,),))))</f>
        <v/>
      </c>
      <c r="S309" s="13">
        <f>((((VLOOKUP(B309,Database!$A:$AS,MATCH($S$1,Database!$A$1:$AS$1,),))))-(((VLOOKUP(EDATE(B309,-12),Database!$A:$AS,MATCH($S$1,Database!$A$1:$AS$1,),)))))/(((VLOOKUP(EDATE(B309,-12),Database!$A:$AS,MATCH($S$1,Database!$A$1:$AS$1,),))))</f>
        <v/>
      </c>
      <c r="T309" s="13">
        <f>((((VLOOKUP(B309,Database!$A:$AS,MATCH($T$1,Database!$A$1:$AS$1,),))))-(((VLOOKUP(EDATE(B309,-12),Database!$A:$AS,MATCH($T$1,Database!$A$1:$AS$1,),)))))/(((VLOOKUP(EDATE(B309,-12),Database!$A:$AS,MATCH($T$1,Database!$A$1:$AS$1,),))))</f>
        <v/>
      </c>
      <c r="U309" s="13">
        <f>((((VLOOKUP(B309,Database!$A:$AS,MATCH($U$1,Database!$A$1:$AS$1,),))))-(((VLOOKUP(EDATE(B309,-12),Database!$A:$AS,MATCH($U$1,Database!$A$1:$AS$1,),)))))/(((VLOOKUP(EDATE(B309,-12),Database!$A:$AS,MATCH($U$1,Database!$A$1:$AS$1,),))))</f>
        <v/>
      </c>
      <c r="V309" s="13">
        <f>((((VLOOKUP(B309,Database!$A:$AS,MATCH($V$1,Database!$A$1:$AS$1,),))))-(((VLOOKUP(EDATE(B309,-12),Database!$A:$AS,MATCH($V$1,Database!$A$1:$AS$1,),)))))/(((VLOOKUP(EDATE(B309,-12),Database!$A:$AS,MATCH($V$1,Database!$A$1:$AS$1,),))))</f>
        <v/>
      </c>
    </row>
    <row r="310" customFormat="1" s="94">
      <c r="A310" s="44" t="n"/>
      <c r="B310" s="85" t="n">
        <v>41579</v>
      </c>
      <c r="C310" s="13">
        <f>((((VLOOKUP(B310,Database!$A:$AS,MATCH($C$1,Database!$A$1:$AS$1,),))))-(((VLOOKUP(EDATE(B310,-12),Database!$A:$AS,MATCH($C$1,Database!$A$1:$AS$1,),)))))/(((VLOOKUP(EDATE(B310,-12),Database!$A:$AS,MATCH($C$1,Database!$A$1:$AS$1,),))))</f>
        <v/>
      </c>
      <c r="D310" s="13">
        <f>((((VLOOKUP(B310,Database!$A:$AS,MATCH($D$1,Database!$A$1:$AS$1,),))))-(((VLOOKUP(EDATE(B310,-12),Database!$A:$AS,MATCH($D$1,Database!$A$1:$AS$1,),)))))/(((VLOOKUP(EDATE(B310,-12),Database!$A:$AS,MATCH($D$1,Database!$A$1:$AS$1,),))))</f>
        <v/>
      </c>
      <c r="E310" s="13">
        <f>((((VLOOKUP(B310,Database!$A:$AS,MATCH($E$1,Database!$A$1:$AS$1,),))))-(((VLOOKUP(EDATE(B310,-12),Database!$A:$AS,MATCH($E$1,Database!$A$1:$AS$1,),)))))/(((VLOOKUP(EDATE(B310,-12),Database!$A:$AS,MATCH($E$1,Database!$A$1:$AS$1,),))))</f>
        <v/>
      </c>
      <c r="F310" s="13">
        <f>((((VLOOKUP(B310,Database!$A:$AS,MATCH($F$1,Database!$A$1:$AS$1,),))))-(((VLOOKUP(EDATE(B310,-12),Database!$A:$AS,MATCH($F$1,Database!$A$1:$AS$1,),)))))/(((VLOOKUP(EDATE(B310,-12),Database!$A:$AS,MATCH($F$1,Database!$A$1:$AS$1,),))))</f>
        <v/>
      </c>
      <c r="G310" s="13">
        <f>((((VLOOKUP(B310,Database!$A:$AS,MATCH($G$1,Database!$A$1:$AS$1,),))))-(((VLOOKUP(EDATE(B310,-12),Database!$A:$AS,MATCH($G$1,Database!$A$1:$AS$1,),)))))/(((VLOOKUP(EDATE(B310,-12),Database!$A:$AS,MATCH($G$1,Database!$A$1:$AS$1,),))))</f>
        <v/>
      </c>
      <c r="H310" s="13">
        <f>((((VLOOKUP(B310,Database!$A:$AS,MATCH($H$1,Database!$A$1:$AS$1,),))))-(((VLOOKUP(EDATE(B310,-12),Database!$A:$AS,MATCH($H$1,Database!$A$1:$AS$1,),)))))/(((VLOOKUP(EDATE(B310,-12),Database!$A:$AS,MATCH($H$1,Database!$A$1:$AS$1,),))))</f>
        <v/>
      </c>
      <c r="I310" s="13">
        <f>((((VLOOKUP(B310,Database!$A:$AS,MATCH($I$1,Database!$A$1:$AS$1,),))))-(((VLOOKUP(EDATE(B310,-12),Database!$A:$AS,MATCH($I$1,Database!$A$1:$AS$1,),)))))/(((VLOOKUP(EDATE(B310,-12),Database!$A:$AS,MATCH($I$1,Database!$A$1:$AS$1,),))))</f>
        <v/>
      </c>
      <c r="J310" s="13">
        <f>((((VLOOKUP(B310,Database!$A:$AS,MATCH($J$1,Database!$A$1:$AS$1,),))))-(((VLOOKUP(EDATE(B310,-12),Database!$A:$AS,MATCH($J$1,Database!$A$1:$AS$1,),)))))/(((VLOOKUP(EDATE(B310,-12),Database!$A:$AS,MATCH($J$1,Database!$A$1:$AS$1,),))))</f>
        <v/>
      </c>
      <c r="K310" s="13">
        <f>((((VLOOKUP(B310,Database!$A:$AS,MATCH($K$1,Database!$A$1:$AS$1,),))))-(((VLOOKUP(EDATE(B310,-12),Database!$A:$AS,MATCH($K$1,Database!$A$1:$AS$1,),)))))/(((VLOOKUP(EDATE(B310,-12),Database!$A:$AS,MATCH($K$1,Database!$A$1:$AS$1,),))))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((((VLOOKUP(B310,Database!$A:$AS,MATCH($O$1,Database!$A$1:$AS$1,),))))-(((VLOOKUP(EDATE(B310,-12),Database!$A:$AS,MATCH($O$1,Database!$A$1:$AS$1,),)))))/(((VLOOKUP(EDATE(B310,-12),Database!$A:$AS,MATCH($O$1,Database!$A$1:$AS$1,),))))</f>
        <v/>
      </c>
      <c r="P310" s="13">
        <f>((((VLOOKUP(B310,Database!$A:$AS,MATCH($P$1,Database!$A$1:$AS$1,),))))-(((VLOOKUP(EDATE(B310,-12),Database!$A:$AS,MATCH($P$1,Database!$A$1:$AS$1,),)))))/(((VLOOKUP(EDATE(B310,-12),Database!$A:$AS,MATCH($P$1,Database!$A$1:$AS$1,),))))</f>
        <v/>
      </c>
      <c r="Q310" s="13">
        <f>((((VLOOKUP(B310,Database!$A:$AS,MATCH($Q$1,Database!$A$1:$AS$1,),))))-(((VLOOKUP(EDATE(B310,-12),Database!$A:$AS,MATCH($Q$1,Database!$A$1:$AS$1,),)))))/(((VLOOKUP(EDATE(B310,-12),Database!$A:$AS,MATCH($Q$1,Database!$A$1:$AS$1,),))))</f>
        <v/>
      </c>
      <c r="R310" s="13">
        <f>((((VLOOKUP(B310,Database!$A:$AS,MATCH($R$1,Database!$A$1:$AS$1,),))))-(((VLOOKUP(EDATE(B310,-12),Database!$A:$AS,MATCH($R$1,Database!$A$1:$AS$1,),)))))/(((VLOOKUP(EDATE(B310,-12),Database!$A:$AS,MATCH($R$1,Database!$A$1:$AS$1,),))))</f>
        <v/>
      </c>
      <c r="S310" s="13">
        <f>((((VLOOKUP(B310,Database!$A:$AS,MATCH($S$1,Database!$A$1:$AS$1,),))))-(((VLOOKUP(EDATE(B310,-12),Database!$A:$AS,MATCH($S$1,Database!$A$1:$AS$1,),)))))/(((VLOOKUP(EDATE(B310,-12),Database!$A:$AS,MATCH($S$1,Database!$A$1:$AS$1,),))))</f>
        <v/>
      </c>
      <c r="T310" s="13">
        <f>((((VLOOKUP(B310,Database!$A:$AS,MATCH($T$1,Database!$A$1:$AS$1,),))))-(((VLOOKUP(EDATE(B310,-12),Database!$A:$AS,MATCH($T$1,Database!$A$1:$AS$1,),)))))/(((VLOOKUP(EDATE(B310,-12),Database!$A:$AS,MATCH($T$1,Database!$A$1:$AS$1,),))))</f>
        <v/>
      </c>
      <c r="U310" s="13">
        <f>((((VLOOKUP(B310,Database!$A:$AS,MATCH($U$1,Database!$A$1:$AS$1,),))))-(((VLOOKUP(EDATE(B310,-12),Database!$A:$AS,MATCH($U$1,Database!$A$1:$AS$1,),)))))/(((VLOOKUP(EDATE(B310,-12),Database!$A:$AS,MATCH($U$1,Database!$A$1:$AS$1,),))))</f>
        <v/>
      </c>
      <c r="V310" s="13">
        <f>((((VLOOKUP(B310,Database!$A:$AS,MATCH($V$1,Database!$A$1:$AS$1,),))))-(((VLOOKUP(EDATE(B310,-12),Database!$A:$AS,MATCH($V$1,Database!$A$1:$AS$1,),)))))/(((VLOOKUP(EDATE(B310,-12),Database!$A:$AS,MATCH($V$1,Database!$A$1:$AS$1,),))))</f>
        <v/>
      </c>
    </row>
    <row r="311" customFormat="1" s="94">
      <c r="A311" s="44" t="n"/>
      <c r="B311" s="85" t="n">
        <v>41609</v>
      </c>
      <c r="C311" s="13">
        <f>((((VLOOKUP(B311,Database!$A:$AS,MATCH($C$1,Database!$A$1:$AS$1,),))))-(((VLOOKUP(EDATE(B311,-12),Database!$A:$AS,MATCH($C$1,Database!$A$1:$AS$1,),)))))/(((VLOOKUP(EDATE(B311,-12),Database!$A:$AS,MATCH($C$1,Database!$A$1:$AS$1,),))))</f>
        <v/>
      </c>
      <c r="D311" s="13">
        <f>((((VLOOKUP(B311,Database!$A:$AS,MATCH($D$1,Database!$A$1:$AS$1,),))))-(((VLOOKUP(EDATE(B311,-12),Database!$A:$AS,MATCH($D$1,Database!$A$1:$AS$1,),)))))/(((VLOOKUP(EDATE(B311,-12),Database!$A:$AS,MATCH($D$1,Database!$A$1:$AS$1,),))))</f>
        <v/>
      </c>
      <c r="E311" s="13">
        <f>((((VLOOKUP(B311,Database!$A:$AS,MATCH($E$1,Database!$A$1:$AS$1,),))))-(((VLOOKUP(EDATE(B311,-12),Database!$A:$AS,MATCH($E$1,Database!$A$1:$AS$1,),)))))/(((VLOOKUP(EDATE(B311,-12),Database!$A:$AS,MATCH($E$1,Database!$A$1:$AS$1,),))))</f>
        <v/>
      </c>
      <c r="F311" s="13">
        <f>((((VLOOKUP(B311,Database!$A:$AS,MATCH($F$1,Database!$A$1:$AS$1,),))))-(((VLOOKUP(EDATE(B311,-12),Database!$A:$AS,MATCH($F$1,Database!$A$1:$AS$1,),)))))/(((VLOOKUP(EDATE(B311,-12),Database!$A:$AS,MATCH($F$1,Database!$A$1:$AS$1,),))))</f>
        <v/>
      </c>
      <c r="G311" s="13">
        <f>((((VLOOKUP(B311,Database!$A:$AS,MATCH($G$1,Database!$A$1:$AS$1,),))))-(((VLOOKUP(EDATE(B311,-12),Database!$A:$AS,MATCH($G$1,Database!$A$1:$AS$1,),)))))/(((VLOOKUP(EDATE(B311,-12),Database!$A:$AS,MATCH($G$1,Database!$A$1:$AS$1,),))))</f>
        <v/>
      </c>
      <c r="H311" s="13">
        <f>((((VLOOKUP(B311,Database!$A:$AS,MATCH($H$1,Database!$A$1:$AS$1,),))))-(((VLOOKUP(EDATE(B311,-12),Database!$A:$AS,MATCH($H$1,Database!$A$1:$AS$1,),)))))/(((VLOOKUP(EDATE(B311,-12),Database!$A:$AS,MATCH($H$1,Database!$A$1:$AS$1,),))))</f>
        <v/>
      </c>
      <c r="I311" s="13">
        <f>((((VLOOKUP(B311,Database!$A:$AS,MATCH($I$1,Database!$A$1:$AS$1,),))))-(((VLOOKUP(EDATE(B311,-12),Database!$A:$AS,MATCH($I$1,Database!$A$1:$AS$1,),)))))/(((VLOOKUP(EDATE(B311,-12),Database!$A:$AS,MATCH($I$1,Database!$A$1:$AS$1,),))))</f>
        <v/>
      </c>
      <c r="J311" s="13">
        <f>((((VLOOKUP(B311,Database!$A:$AS,MATCH($J$1,Database!$A$1:$AS$1,),))))-(((VLOOKUP(EDATE(B311,-12),Database!$A:$AS,MATCH($J$1,Database!$A$1:$AS$1,),)))))/(((VLOOKUP(EDATE(B311,-12),Database!$A:$AS,MATCH($J$1,Database!$A$1:$AS$1,),))))</f>
        <v/>
      </c>
      <c r="K311" s="13">
        <f>((((VLOOKUP(B311,Database!$A:$AS,MATCH($K$1,Database!$A$1:$AS$1,),))))-(((VLOOKUP(EDATE(B311,-12),Database!$A:$AS,MATCH($K$1,Database!$A$1:$AS$1,),)))))/(((VLOOKUP(EDATE(B311,-12),Database!$A:$AS,MATCH($K$1,Database!$A$1:$AS$1,),))))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((((VLOOKUP(B311,Database!$A:$AS,MATCH($O$1,Database!$A$1:$AS$1,),))))-(((VLOOKUP(EDATE(B311,-12),Database!$A:$AS,MATCH($O$1,Database!$A$1:$AS$1,),)))))/(((VLOOKUP(EDATE(B311,-12),Database!$A:$AS,MATCH($O$1,Database!$A$1:$AS$1,),))))</f>
        <v/>
      </c>
      <c r="P311" s="13">
        <f>((((VLOOKUP(B311,Database!$A:$AS,MATCH($P$1,Database!$A$1:$AS$1,),))))-(((VLOOKUP(EDATE(B311,-12),Database!$A:$AS,MATCH($P$1,Database!$A$1:$AS$1,),)))))/(((VLOOKUP(EDATE(B311,-12),Database!$A:$AS,MATCH($P$1,Database!$A$1:$AS$1,),))))</f>
        <v/>
      </c>
      <c r="Q311" s="13">
        <f>((((VLOOKUP(B311,Database!$A:$AS,MATCH($Q$1,Database!$A$1:$AS$1,),))))-(((VLOOKUP(EDATE(B311,-12),Database!$A:$AS,MATCH($Q$1,Database!$A$1:$AS$1,),)))))/(((VLOOKUP(EDATE(B311,-12),Database!$A:$AS,MATCH($Q$1,Database!$A$1:$AS$1,),))))</f>
        <v/>
      </c>
      <c r="R311" s="13">
        <f>((((VLOOKUP(B311,Database!$A:$AS,MATCH($R$1,Database!$A$1:$AS$1,),))))-(((VLOOKUP(EDATE(B311,-12),Database!$A:$AS,MATCH($R$1,Database!$A$1:$AS$1,),)))))/(((VLOOKUP(EDATE(B311,-12),Database!$A:$AS,MATCH($R$1,Database!$A$1:$AS$1,),))))</f>
        <v/>
      </c>
      <c r="S311" s="13">
        <f>((((VLOOKUP(B311,Database!$A:$AS,MATCH($S$1,Database!$A$1:$AS$1,),))))-(((VLOOKUP(EDATE(B311,-12),Database!$A:$AS,MATCH($S$1,Database!$A$1:$AS$1,),)))))/(((VLOOKUP(EDATE(B311,-12),Database!$A:$AS,MATCH($S$1,Database!$A$1:$AS$1,),))))</f>
        <v/>
      </c>
      <c r="T311" s="13">
        <f>((((VLOOKUP(B311,Database!$A:$AS,MATCH($T$1,Database!$A$1:$AS$1,),))))-(((VLOOKUP(EDATE(B311,-12),Database!$A:$AS,MATCH($T$1,Database!$A$1:$AS$1,),)))))/(((VLOOKUP(EDATE(B311,-12),Database!$A:$AS,MATCH($T$1,Database!$A$1:$AS$1,),))))</f>
        <v/>
      </c>
      <c r="U311" s="13">
        <f>((((VLOOKUP(B311,Database!$A:$AS,MATCH($U$1,Database!$A$1:$AS$1,),))))-(((VLOOKUP(EDATE(B311,-12),Database!$A:$AS,MATCH($U$1,Database!$A$1:$AS$1,),)))))/(((VLOOKUP(EDATE(B311,-12),Database!$A:$AS,MATCH($U$1,Database!$A$1:$AS$1,),))))</f>
        <v/>
      </c>
      <c r="V311" s="13">
        <f>((((VLOOKUP(B311,Database!$A:$AS,MATCH($V$1,Database!$A$1:$AS$1,),))))-(((VLOOKUP(EDATE(B311,-12),Database!$A:$AS,MATCH($V$1,Database!$A$1:$AS$1,),)))))/(((VLOOKUP(EDATE(B311,-12),Database!$A:$AS,MATCH($V$1,Database!$A$1:$AS$1,),))))</f>
        <v/>
      </c>
    </row>
    <row r="312" customFormat="1" s="94">
      <c r="A312" s="44" t="n"/>
      <c r="B312" s="85" t="n">
        <v>41640</v>
      </c>
      <c r="C312" s="13">
        <f>((((VLOOKUP(B312,Database!$A:$AS,MATCH($C$1,Database!$A$1:$AS$1,),))))-(((VLOOKUP(EDATE(B312,-12),Database!$A:$AS,MATCH($C$1,Database!$A$1:$AS$1,),)))))/(((VLOOKUP(EDATE(B312,-12),Database!$A:$AS,MATCH($C$1,Database!$A$1:$AS$1,),))))</f>
        <v/>
      </c>
      <c r="D312" s="13">
        <f>((((VLOOKUP(B312,Database!$A:$AS,MATCH($D$1,Database!$A$1:$AS$1,),))))-(((VLOOKUP(EDATE(B312,-12),Database!$A:$AS,MATCH($D$1,Database!$A$1:$AS$1,),)))))/(((VLOOKUP(EDATE(B312,-12),Database!$A:$AS,MATCH($D$1,Database!$A$1:$AS$1,),))))</f>
        <v/>
      </c>
      <c r="E312" s="13">
        <f>((((VLOOKUP(B312,Database!$A:$AS,MATCH($E$1,Database!$A$1:$AS$1,),))))-(((VLOOKUP(EDATE(B312,-12),Database!$A:$AS,MATCH($E$1,Database!$A$1:$AS$1,),)))))/(((VLOOKUP(EDATE(B312,-12),Database!$A:$AS,MATCH($E$1,Database!$A$1:$AS$1,),))))</f>
        <v/>
      </c>
      <c r="F312" s="13">
        <f>((((VLOOKUP(B312,Database!$A:$AS,MATCH($F$1,Database!$A$1:$AS$1,),))))-(((VLOOKUP(EDATE(B312,-12),Database!$A:$AS,MATCH($F$1,Database!$A$1:$AS$1,),)))))/(((VLOOKUP(EDATE(B312,-12),Database!$A:$AS,MATCH($F$1,Database!$A$1:$AS$1,),))))</f>
        <v/>
      </c>
      <c r="G312" s="13">
        <f>((((VLOOKUP(B312,Database!$A:$AS,MATCH($G$1,Database!$A$1:$AS$1,),))))-(((VLOOKUP(EDATE(B312,-12),Database!$A:$AS,MATCH($G$1,Database!$A$1:$AS$1,),)))))/(((VLOOKUP(EDATE(B312,-12),Database!$A:$AS,MATCH($G$1,Database!$A$1:$AS$1,),))))</f>
        <v/>
      </c>
      <c r="H312" s="13">
        <f>((((VLOOKUP(B312,Database!$A:$AS,MATCH($H$1,Database!$A$1:$AS$1,),))))-(((VLOOKUP(EDATE(B312,-12),Database!$A:$AS,MATCH($H$1,Database!$A$1:$AS$1,),)))))/(((VLOOKUP(EDATE(B312,-12),Database!$A:$AS,MATCH($H$1,Database!$A$1:$AS$1,),))))</f>
        <v/>
      </c>
      <c r="I312" s="13">
        <f>((((VLOOKUP(B312,Database!$A:$AS,MATCH($I$1,Database!$A$1:$AS$1,),))))-(((VLOOKUP(EDATE(B312,-12),Database!$A:$AS,MATCH($I$1,Database!$A$1:$AS$1,),)))))/(((VLOOKUP(EDATE(B312,-12),Database!$A:$AS,MATCH($I$1,Database!$A$1:$AS$1,),))))</f>
        <v/>
      </c>
      <c r="J312" s="13">
        <f>((((VLOOKUP(B312,Database!$A:$AS,MATCH($J$1,Database!$A$1:$AS$1,),))))-(((VLOOKUP(EDATE(B312,-12),Database!$A:$AS,MATCH($J$1,Database!$A$1:$AS$1,),)))))/(((VLOOKUP(EDATE(B312,-12),Database!$A:$AS,MATCH($J$1,Database!$A$1:$AS$1,),))))</f>
        <v/>
      </c>
      <c r="K312" s="13">
        <f>((((VLOOKUP(B312,Database!$A:$AS,MATCH($K$1,Database!$A$1:$AS$1,),))))-(((VLOOKUP(EDATE(B312,-12),Database!$A:$AS,MATCH($K$1,Database!$A$1:$AS$1,),)))))/(((VLOOKUP(EDATE(B312,-12),Database!$A:$AS,MATCH($K$1,Database!$A$1:$AS$1,),))))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((((VLOOKUP(B312,Database!$A:$AS,MATCH($O$1,Database!$A$1:$AS$1,),))))-(((VLOOKUP(EDATE(B312,-12),Database!$A:$AS,MATCH($O$1,Database!$A$1:$AS$1,),)))))/(((VLOOKUP(EDATE(B312,-12),Database!$A:$AS,MATCH($O$1,Database!$A$1:$AS$1,),))))</f>
        <v/>
      </c>
      <c r="P312" s="13">
        <f>((((VLOOKUP(B312,Database!$A:$AS,MATCH($P$1,Database!$A$1:$AS$1,),))))-(((VLOOKUP(EDATE(B312,-12),Database!$A:$AS,MATCH($P$1,Database!$A$1:$AS$1,),)))))/(((VLOOKUP(EDATE(B312,-12),Database!$A:$AS,MATCH($P$1,Database!$A$1:$AS$1,),))))</f>
        <v/>
      </c>
      <c r="Q312" s="13">
        <f>((((VLOOKUP(B312,Database!$A:$AS,MATCH($Q$1,Database!$A$1:$AS$1,),))))-(((VLOOKUP(EDATE(B312,-12),Database!$A:$AS,MATCH($Q$1,Database!$A$1:$AS$1,),)))))/(((VLOOKUP(EDATE(B312,-12),Database!$A:$AS,MATCH($Q$1,Database!$A$1:$AS$1,),))))</f>
        <v/>
      </c>
      <c r="R312" s="13">
        <f>((((VLOOKUP(B312,Database!$A:$AS,MATCH($R$1,Database!$A$1:$AS$1,),))))-(((VLOOKUP(EDATE(B312,-12),Database!$A:$AS,MATCH($R$1,Database!$A$1:$AS$1,),)))))/(((VLOOKUP(EDATE(B312,-12),Database!$A:$AS,MATCH($R$1,Database!$A$1:$AS$1,),))))</f>
        <v/>
      </c>
      <c r="S312" s="13">
        <f>((((VLOOKUP(B312,Database!$A:$AS,MATCH($S$1,Database!$A$1:$AS$1,),))))-(((VLOOKUP(EDATE(B312,-12),Database!$A:$AS,MATCH($S$1,Database!$A$1:$AS$1,),)))))/(((VLOOKUP(EDATE(B312,-12),Database!$A:$AS,MATCH($S$1,Database!$A$1:$AS$1,),))))</f>
        <v/>
      </c>
      <c r="T312" s="13">
        <f>((((VLOOKUP(B312,Database!$A:$AS,MATCH($T$1,Database!$A$1:$AS$1,),))))-(((VLOOKUP(EDATE(B312,-12),Database!$A:$AS,MATCH($T$1,Database!$A$1:$AS$1,),)))))/(((VLOOKUP(EDATE(B312,-12),Database!$A:$AS,MATCH($T$1,Database!$A$1:$AS$1,),))))</f>
        <v/>
      </c>
      <c r="U312" s="13">
        <f>((((VLOOKUP(B312,Database!$A:$AS,MATCH($U$1,Database!$A$1:$AS$1,),))))-(((VLOOKUP(EDATE(B312,-12),Database!$A:$AS,MATCH($U$1,Database!$A$1:$AS$1,),)))))/(((VLOOKUP(EDATE(B312,-12),Database!$A:$AS,MATCH($U$1,Database!$A$1:$AS$1,),))))</f>
        <v/>
      </c>
      <c r="V312" s="13">
        <f>((((VLOOKUP(B312,Database!$A:$AS,MATCH($V$1,Database!$A$1:$AS$1,),))))-(((VLOOKUP(EDATE(B312,-12),Database!$A:$AS,MATCH($V$1,Database!$A$1:$AS$1,),)))))/(((VLOOKUP(EDATE(B312,-12),Database!$A:$AS,MATCH($V$1,Database!$A$1:$AS$1,),))))</f>
        <v/>
      </c>
    </row>
    <row r="313" customFormat="1" s="94">
      <c r="A313" s="44" t="n"/>
      <c r="B313" s="85" t="n">
        <v>41671</v>
      </c>
      <c r="C313" s="13">
        <f>((((VLOOKUP(B313,Database!$A:$AS,MATCH($C$1,Database!$A$1:$AS$1,),))))-(((VLOOKUP(EDATE(B313,-12),Database!$A:$AS,MATCH($C$1,Database!$A$1:$AS$1,),)))))/(((VLOOKUP(EDATE(B313,-12),Database!$A:$AS,MATCH($C$1,Database!$A$1:$AS$1,),))))</f>
        <v/>
      </c>
      <c r="D313" s="13">
        <f>((((VLOOKUP(B313,Database!$A:$AS,MATCH($D$1,Database!$A$1:$AS$1,),))))-(((VLOOKUP(EDATE(B313,-12),Database!$A:$AS,MATCH($D$1,Database!$A$1:$AS$1,),)))))/(((VLOOKUP(EDATE(B313,-12),Database!$A:$AS,MATCH($D$1,Database!$A$1:$AS$1,),))))</f>
        <v/>
      </c>
      <c r="E313" s="13">
        <f>((((VLOOKUP(B313,Database!$A:$AS,MATCH($E$1,Database!$A$1:$AS$1,),))))-(((VLOOKUP(EDATE(B313,-12),Database!$A:$AS,MATCH($E$1,Database!$A$1:$AS$1,),)))))/(((VLOOKUP(EDATE(B313,-12),Database!$A:$AS,MATCH($E$1,Database!$A$1:$AS$1,),))))</f>
        <v/>
      </c>
      <c r="F313" s="13">
        <f>((((VLOOKUP(B313,Database!$A:$AS,MATCH($F$1,Database!$A$1:$AS$1,),))))-(((VLOOKUP(EDATE(B313,-12),Database!$A:$AS,MATCH($F$1,Database!$A$1:$AS$1,),)))))/(((VLOOKUP(EDATE(B313,-12),Database!$A:$AS,MATCH($F$1,Database!$A$1:$AS$1,),))))</f>
        <v/>
      </c>
      <c r="G313" s="13">
        <f>((((VLOOKUP(B313,Database!$A:$AS,MATCH($G$1,Database!$A$1:$AS$1,),))))-(((VLOOKUP(EDATE(B313,-12),Database!$A:$AS,MATCH($G$1,Database!$A$1:$AS$1,),)))))/(((VLOOKUP(EDATE(B313,-12),Database!$A:$AS,MATCH($G$1,Database!$A$1:$AS$1,),))))</f>
        <v/>
      </c>
      <c r="H313" s="13">
        <f>((((VLOOKUP(B313,Database!$A:$AS,MATCH($H$1,Database!$A$1:$AS$1,),))))-(((VLOOKUP(EDATE(B313,-12),Database!$A:$AS,MATCH($H$1,Database!$A$1:$AS$1,),)))))/(((VLOOKUP(EDATE(B313,-12),Database!$A:$AS,MATCH($H$1,Database!$A$1:$AS$1,),))))</f>
        <v/>
      </c>
      <c r="I313" s="13">
        <f>((((VLOOKUP(B313,Database!$A:$AS,MATCH($I$1,Database!$A$1:$AS$1,),))))-(((VLOOKUP(EDATE(B313,-12),Database!$A:$AS,MATCH($I$1,Database!$A$1:$AS$1,),)))))/(((VLOOKUP(EDATE(B313,-12),Database!$A:$AS,MATCH($I$1,Database!$A$1:$AS$1,),))))</f>
        <v/>
      </c>
      <c r="J313" s="13">
        <f>((((VLOOKUP(B313,Database!$A:$AS,MATCH($J$1,Database!$A$1:$AS$1,),))))-(((VLOOKUP(EDATE(B313,-12),Database!$A:$AS,MATCH($J$1,Database!$A$1:$AS$1,),)))))/(((VLOOKUP(EDATE(B313,-12),Database!$A:$AS,MATCH($J$1,Database!$A$1:$AS$1,),))))</f>
        <v/>
      </c>
      <c r="K313" s="13">
        <f>((((VLOOKUP(B313,Database!$A:$AS,MATCH($K$1,Database!$A$1:$AS$1,),))))-(((VLOOKUP(EDATE(B313,-12),Database!$A:$AS,MATCH($K$1,Database!$A$1:$AS$1,),)))))/(((VLOOKUP(EDATE(B313,-12),Database!$A:$AS,MATCH($K$1,Database!$A$1:$AS$1,),))))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((((VLOOKUP(B313,Database!$A:$AS,MATCH($O$1,Database!$A$1:$AS$1,),))))-(((VLOOKUP(EDATE(B313,-12),Database!$A:$AS,MATCH($O$1,Database!$A$1:$AS$1,),)))))/(((VLOOKUP(EDATE(B313,-12),Database!$A:$AS,MATCH($O$1,Database!$A$1:$AS$1,),))))</f>
        <v/>
      </c>
      <c r="P313" s="13">
        <f>((((VLOOKUP(B313,Database!$A:$AS,MATCH($P$1,Database!$A$1:$AS$1,),))))-(((VLOOKUP(EDATE(B313,-12),Database!$A:$AS,MATCH($P$1,Database!$A$1:$AS$1,),)))))/(((VLOOKUP(EDATE(B313,-12),Database!$A:$AS,MATCH($P$1,Database!$A$1:$AS$1,),))))</f>
        <v/>
      </c>
      <c r="Q313" s="13">
        <f>((((VLOOKUP(B313,Database!$A:$AS,MATCH($Q$1,Database!$A$1:$AS$1,),))))-(((VLOOKUP(EDATE(B313,-12),Database!$A:$AS,MATCH($Q$1,Database!$A$1:$AS$1,),)))))/(((VLOOKUP(EDATE(B313,-12),Database!$A:$AS,MATCH($Q$1,Database!$A$1:$AS$1,),))))</f>
        <v/>
      </c>
      <c r="R313" s="13">
        <f>((((VLOOKUP(B313,Database!$A:$AS,MATCH($R$1,Database!$A$1:$AS$1,),))))-(((VLOOKUP(EDATE(B313,-12),Database!$A:$AS,MATCH($R$1,Database!$A$1:$AS$1,),)))))/(((VLOOKUP(EDATE(B313,-12),Database!$A:$AS,MATCH($R$1,Database!$A$1:$AS$1,),))))</f>
        <v/>
      </c>
      <c r="S313" s="13">
        <f>((((VLOOKUP(B313,Database!$A:$AS,MATCH($S$1,Database!$A$1:$AS$1,),))))-(((VLOOKUP(EDATE(B313,-12),Database!$A:$AS,MATCH($S$1,Database!$A$1:$AS$1,),)))))/(((VLOOKUP(EDATE(B313,-12),Database!$A:$AS,MATCH($S$1,Database!$A$1:$AS$1,),))))</f>
        <v/>
      </c>
      <c r="T313" s="13">
        <f>((((VLOOKUP(B313,Database!$A:$AS,MATCH($T$1,Database!$A$1:$AS$1,),))))-(((VLOOKUP(EDATE(B313,-12),Database!$A:$AS,MATCH($T$1,Database!$A$1:$AS$1,),)))))/(((VLOOKUP(EDATE(B313,-12),Database!$A:$AS,MATCH($T$1,Database!$A$1:$AS$1,),))))</f>
        <v/>
      </c>
      <c r="U313" s="13">
        <f>((((VLOOKUP(B313,Database!$A:$AS,MATCH($U$1,Database!$A$1:$AS$1,),))))-(((VLOOKUP(EDATE(B313,-12),Database!$A:$AS,MATCH($U$1,Database!$A$1:$AS$1,),)))))/(((VLOOKUP(EDATE(B313,-12),Database!$A:$AS,MATCH($U$1,Database!$A$1:$AS$1,),))))</f>
        <v/>
      </c>
      <c r="V313" s="13">
        <f>((((VLOOKUP(B313,Database!$A:$AS,MATCH($V$1,Database!$A$1:$AS$1,),))))-(((VLOOKUP(EDATE(B313,-12),Database!$A:$AS,MATCH($V$1,Database!$A$1:$AS$1,),)))))/(((VLOOKUP(EDATE(B313,-12),Database!$A:$AS,MATCH($V$1,Database!$A$1:$AS$1,),))))</f>
        <v/>
      </c>
    </row>
    <row r="314" customFormat="1" s="94">
      <c r="A314" s="44" t="n"/>
      <c r="B314" s="85" t="n">
        <v>41699</v>
      </c>
      <c r="C314" s="13">
        <f>((((VLOOKUP(B314,Database!$A:$AS,MATCH($C$1,Database!$A$1:$AS$1,),))))-(((VLOOKUP(EDATE(B314,-12),Database!$A:$AS,MATCH($C$1,Database!$A$1:$AS$1,),)))))/(((VLOOKUP(EDATE(B314,-12),Database!$A:$AS,MATCH($C$1,Database!$A$1:$AS$1,),))))</f>
        <v/>
      </c>
      <c r="D314" s="13">
        <f>((((VLOOKUP(B314,Database!$A:$AS,MATCH($D$1,Database!$A$1:$AS$1,),))))-(((VLOOKUP(EDATE(B314,-12),Database!$A:$AS,MATCH($D$1,Database!$A$1:$AS$1,),)))))/(((VLOOKUP(EDATE(B314,-12),Database!$A:$AS,MATCH($D$1,Database!$A$1:$AS$1,),))))</f>
        <v/>
      </c>
      <c r="E314" s="13">
        <f>((((VLOOKUP(B314,Database!$A:$AS,MATCH($E$1,Database!$A$1:$AS$1,),))))-(((VLOOKUP(EDATE(B314,-12),Database!$A:$AS,MATCH($E$1,Database!$A$1:$AS$1,),)))))/(((VLOOKUP(EDATE(B314,-12),Database!$A:$AS,MATCH($E$1,Database!$A$1:$AS$1,),))))</f>
        <v/>
      </c>
      <c r="F314" s="13">
        <f>((((VLOOKUP(B314,Database!$A:$AS,MATCH($F$1,Database!$A$1:$AS$1,),))))-(((VLOOKUP(EDATE(B314,-12),Database!$A:$AS,MATCH($F$1,Database!$A$1:$AS$1,),)))))/(((VLOOKUP(EDATE(B314,-12),Database!$A:$AS,MATCH($F$1,Database!$A$1:$AS$1,),))))</f>
        <v/>
      </c>
      <c r="G314" s="13">
        <f>((((VLOOKUP(B314,Database!$A:$AS,MATCH($G$1,Database!$A$1:$AS$1,),))))-(((VLOOKUP(EDATE(B314,-12),Database!$A:$AS,MATCH($G$1,Database!$A$1:$AS$1,),)))))/(((VLOOKUP(EDATE(B314,-12),Database!$A:$AS,MATCH($G$1,Database!$A$1:$AS$1,),))))</f>
        <v/>
      </c>
      <c r="H314" s="13">
        <f>((((VLOOKUP(B314,Database!$A:$AS,MATCH($H$1,Database!$A$1:$AS$1,),))))-(((VLOOKUP(EDATE(B314,-12),Database!$A:$AS,MATCH($H$1,Database!$A$1:$AS$1,),)))))/(((VLOOKUP(EDATE(B314,-12),Database!$A:$AS,MATCH($H$1,Database!$A$1:$AS$1,),))))</f>
        <v/>
      </c>
      <c r="I314" s="13">
        <f>((((VLOOKUP(B314,Database!$A:$AS,MATCH($I$1,Database!$A$1:$AS$1,),))))-(((VLOOKUP(EDATE(B314,-12),Database!$A:$AS,MATCH($I$1,Database!$A$1:$AS$1,),)))))/(((VLOOKUP(EDATE(B314,-12),Database!$A:$AS,MATCH($I$1,Database!$A$1:$AS$1,),))))</f>
        <v/>
      </c>
      <c r="J314" s="13">
        <f>((((VLOOKUP(B314,Database!$A:$AS,MATCH($J$1,Database!$A$1:$AS$1,),))))-(((VLOOKUP(EDATE(B314,-12),Database!$A:$AS,MATCH($J$1,Database!$A$1:$AS$1,),)))))/(((VLOOKUP(EDATE(B314,-12),Database!$A:$AS,MATCH($J$1,Database!$A$1:$AS$1,),))))</f>
        <v/>
      </c>
      <c r="K314" s="13">
        <f>((((VLOOKUP(B314,Database!$A:$AS,MATCH($K$1,Database!$A$1:$AS$1,),))))-(((VLOOKUP(EDATE(B314,-12),Database!$A:$AS,MATCH($K$1,Database!$A$1:$AS$1,),)))))/(((VLOOKUP(EDATE(B314,-12),Database!$A:$AS,MATCH($K$1,Database!$A$1:$AS$1,),))))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((((VLOOKUP(B314,Database!$A:$AS,MATCH($O$1,Database!$A$1:$AS$1,),))))-(((VLOOKUP(EDATE(B314,-12),Database!$A:$AS,MATCH($O$1,Database!$A$1:$AS$1,),)))))/(((VLOOKUP(EDATE(B314,-12),Database!$A:$AS,MATCH($O$1,Database!$A$1:$AS$1,),))))</f>
        <v/>
      </c>
      <c r="P314" s="13">
        <f>((((VLOOKUP(B314,Database!$A:$AS,MATCH($P$1,Database!$A$1:$AS$1,),))))-(((VLOOKUP(EDATE(B314,-12),Database!$A:$AS,MATCH($P$1,Database!$A$1:$AS$1,),)))))/(((VLOOKUP(EDATE(B314,-12),Database!$A:$AS,MATCH($P$1,Database!$A$1:$AS$1,),))))</f>
        <v/>
      </c>
      <c r="Q314" s="13">
        <f>((((VLOOKUP(B314,Database!$A:$AS,MATCH($Q$1,Database!$A$1:$AS$1,),))))-(((VLOOKUP(EDATE(B314,-12),Database!$A:$AS,MATCH($Q$1,Database!$A$1:$AS$1,),)))))/(((VLOOKUP(EDATE(B314,-12),Database!$A:$AS,MATCH($Q$1,Database!$A$1:$AS$1,),))))</f>
        <v/>
      </c>
      <c r="R314" s="13">
        <f>((((VLOOKUP(B314,Database!$A:$AS,MATCH($R$1,Database!$A$1:$AS$1,),))))-(((VLOOKUP(EDATE(B314,-12),Database!$A:$AS,MATCH($R$1,Database!$A$1:$AS$1,),)))))/(((VLOOKUP(EDATE(B314,-12),Database!$A:$AS,MATCH($R$1,Database!$A$1:$AS$1,),))))</f>
        <v/>
      </c>
      <c r="S314" s="13">
        <f>((((VLOOKUP(B314,Database!$A:$AS,MATCH($S$1,Database!$A$1:$AS$1,),))))-(((VLOOKUP(EDATE(B314,-12),Database!$A:$AS,MATCH($S$1,Database!$A$1:$AS$1,),)))))/(((VLOOKUP(EDATE(B314,-12),Database!$A:$AS,MATCH($S$1,Database!$A$1:$AS$1,),))))</f>
        <v/>
      </c>
      <c r="T314" s="13">
        <f>((((VLOOKUP(B314,Database!$A:$AS,MATCH($T$1,Database!$A$1:$AS$1,),))))-(((VLOOKUP(EDATE(B314,-12),Database!$A:$AS,MATCH($T$1,Database!$A$1:$AS$1,),)))))/(((VLOOKUP(EDATE(B314,-12),Database!$A:$AS,MATCH($T$1,Database!$A$1:$AS$1,),))))</f>
        <v/>
      </c>
      <c r="U314" s="13">
        <f>((((VLOOKUP(B314,Database!$A:$AS,MATCH($U$1,Database!$A$1:$AS$1,),))))-(((VLOOKUP(EDATE(B314,-12),Database!$A:$AS,MATCH($U$1,Database!$A$1:$AS$1,),)))))/(((VLOOKUP(EDATE(B314,-12),Database!$A:$AS,MATCH($U$1,Database!$A$1:$AS$1,),))))</f>
        <v/>
      </c>
      <c r="V314" s="13">
        <f>((((VLOOKUP(B314,Database!$A:$AS,MATCH($V$1,Database!$A$1:$AS$1,),))))-(((VLOOKUP(EDATE(B314,-12),Database!$A:$AS,MATCH($V$1,Database!$A$1:$AS$1,),)))))/(((VLOOKUP(EDATE(B314,-12),Database!$A:$AS,MATCH($V$1,Database!$A$1:$AS$1,),))))</f>
        <v/>
      </c>
    </row>
    <row r="315" customFormat="1" s="94">
      <c r="A315" s="44" t="n"/>
      <c r="B315" s="85" t="n">
        <v>41730</v>
      </c>
      <c r="C315" s="13">
        <f>((((VLOOKUP(B315,Database!$A:$AS,MATCH($C$1,Database!$A$1:$AS$1,),))))-(((VLOOKUP(EDATE(B315,-12),Database!$A:$AS,MATCH($C$1,Database!$A$1:$AS$1,),)))))/(((VLOOKUP(EDATE(B315,-12),Database!$A:$AS,MATCH($C$1,Database!$A$1:$AS$1,),))))</f>
        <v/>
      </c>
      <c r="D315" s="13">
        <f>((((VLOOKUP(B315,Database!$A:$AS,MATCH($D$1,Database!$A$1:$AS$1,),))))-(((VLOOKUP(EDATE(B315,-12),Database!$A:$AS,MATCH($D$1,Database!$A$1:$AS$1,),)))))/(((VLOOKUP(EDATE(B315,-12),Database!$A:$AS,MATCH($D$1,Database!$A$1:$AS$1,),))))</f>
        <v/>
      </c>
      <c r="E315" s="13">
        <f>((((VLOOKUP(B315,Database!$A:$AS,MATCH($E$1,Database!$A$1:$AS$1,),))))-(((VLOOKUP(EDATE(B315,-12),Database!$A:$AS,MATCH($E$1,Database!$A$1:$AS$1,),)))))/(((VLOOKUP(EDATE(B315,-12),Database!$A:$AS,MATCH($E$1,Database!$A$1:$AS$1,),))))</f>
        <v/>
      </c>
      <c r="F315" s="13">
        <f>((((VLOOKUP(B315,Database!$A:$AS,MATCH($F$1,Database!$A$1:$AS$1,),))))-(((VLOOKUP(EDATE(B315,-12),Database!$A:$AS,MATCH($F$1,Database!$A$1:$AS$1,),)))))/(((VLOOKUP(EDATE(B315,-12),Database!$A:$AS,MATCH($F$1,Database!$A$1:$AS$1,),))))</f>
        <v/>
      </c>
      <c r="G315" s="13">
        <f>((((VLOOKUP(B315,Database!$A:$AS,MATCH($G$1,Database!$A$1:$AS$1,),))))-(((VLOOKUP(EDATE(B315,-12),Database!$A:$AS,MATCH($G$1,Database!$A$1:$AS$1,),)))))/(((VLOOKUP(EDATE(B315,-12),Database!$A:$AS,MATCH($G$1,Database!$A$1:$AS$1,),))))</f>
        <v/>
      </c>
      <c r="H315" s="13">
        <f>((((VLOOKUP(B315,Database!$A:$AS,MATCH($H$1,Database!$A$1:$AS$1,),))))-(((VLOOKUP(EDATE(B315,-12),Database!$A:$AS,MATCH($H$1,Database!$A$1:$AS$1,),)))))/(((VLOOKUP(EDATE(B315,-12),Database!$A:$AS,MATCH($H$1,Database!$A$1:$AS$1,),))))</f>
        <v/>
      </c>
      <c r="I315" s="13">
        <f>((((VLOOKUP(B315,Database!$A:$AS,MATCH($I$1,Database!$A$1:$AS$1,),))))-(((VLOOKUP(EDATE(B315,-12),Database!$A:$AS,MATCH($I$1,Database!$A$1:$AS$1,),)))))/(((VLOOKUP(EDATE(B315,-12),Database!$A:$AS,MATCH($I$1,Database!$A$1:$AS$1,),))))</f>
        <v/>
      </c>
      <c r="J315" s="13">
        <f>((((VLOOKUP(B315,Database!$A:$AS,MATCH($J$1,Database!$A$1:$AS$1,),))))-(((VLOOKUP(EDATE(B315,-12),Database!$A:$AS,MATCH($J$1,Database!$A$1:$AS$1,),)))))/(((VLOOKUP(EDATE(B315,-12),Database!$A:$AS,MATCH($J$1,Database!$A$1:$AS$1,),))))</f>
        <v/>
      </c>
      <c r="K315" s="13">
        <f>((((VLOOKUP(B315,Database!$A:$AS,MATCH($K$1,Database!$A$1:$AS$1,),))))-(((VLOOKUP(EDATE(B315,-12),Database!$A:$AS,MATCH($K$1,Database!$A$1:$AS$1,),)))))/(((VLOOKUP(EDATE(B315,-12),Database!$A:$AS,MATCH($K$1,Database!$A$1:$AS$1,),))))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((((VLOOKUP(B315,Database!$A:$AS,MATCH($O$1,Database!$A$1:$AS$1,),))))-(((VLOOKUP(EDATE(B315,-12),Database!$A:$AS,MATCH($O$1,Database!$A$1:$AS$1,),)))))/(((VLOOKUP(EDATE(B315,-12),Database!$A:$AS,MATCH($O$1,Database!$A$1:$AS$1,),))))</f>
        <v/>
      </c>
      <c r="P315" s="13">
        <f>((((VLOOKUP(B315,Database!$A:$AS,MATCH($P$1,Database!$A$1:$AS$1,),))))-(((VLOOKUP(EDATE(B315,-12),Database!$A:$AS,MATCH($P$1,Database!$A$1:$AS$1,),)))))/(((VLOOKUP(EDATE(B315,-12),Database!$A:$AS,MATCH($P$1,Database!$A$1:$AS$1,),))))</f>
        <v/>
      </c>
      <c r="Q315" s="13">
        <f>((((VLOOKUP(B315,Database!$A:$AS,MATCH($Q$1,Database!$A$1:$AS$1,),))))-(((VLOOKUP(EDATE(B315,-12),Database!$A:$AS,MATCH($Q$1,Database!$A$1:$AS$1,),)))))/(((VLOOKUP(EDATE(B315,-12),Database!$A:$AS,MATCH($Q$1,Database!$A$1:$AS$1,),))))</f>
        <v/>
      </c>
      <c r="R315" s="13">
        <f>((((VLOOKUP(B315,Database!$A:$AS,MATCH($R$1,Database!$A$1:$AS$1,),))))-(((VLOOKUP(EDATE(B315,-12),Database!$A:$AS,MATCH($R$1,Database!$A$1:$AS$1,),)))))/(((VLOOKUP(EDATE(B315,-12),Database!$A:$AS,MATCH($R$1,Database!$A$1:$AS$1,),))))</f>
        <v/>
      </c>
      <c r="S315" s="13">
        <f>((((VLOOKUP(B315,Database!$A:$AS,MATCH($S$1,Database!$A$1:$AS$1,),))))-(((VLOOKUP(EDATE(B315,-12),Database!$A:$AS,MATCH($S$1,Database!$A$1:$AS$1,),)))))/(((VLOOKUP(EDATE(B315,-12),Database!$A:$AS,MATCH($S$1,Database!$A$1:$AS$1,),))))</f>
        <v/>
      </c>
      <c r="T315" s="13">
        <f>((((VLOOKUP(B315,Database!$A:$AS,MATCH($T$1,Database!$A$1:$AS$1,),))))-(((VLOOKUP(EDATE(B315,-12),Database!$A:$AS,MATCH($T$1,Database!$A$1:$AS$1,),)))))/(((VLOOKUP(EDATE(B315,-12),Database!$A:$AS,MATCH($T$1,Database!$A$1:$AS$1,),))))</f>
        <v/>
      </c>
      <c r="U315" s="13">
        <f>((((VLOOKUP(B315,Database!$A:$AS,MATCH($U$1,Database!$A$1:$AS$1,),))))-(((VLOOKUP(EDATE(B315,-12),Database!$A:$AS,MATCH($U$1,Database!$A$1:$AS$1,),)))))/(((VLOOKUP(EDATE(B315,-12),Database!$A:$AS,MATCH($U$1,Database!$A$1:$AS$1,),))))</f>
        <v/>
      </c>
      <c r="V315" s="13">
        <f>((((VLOOKUP(B315,Database!$A:$AS,MATCH($V$1,Database!$A$1:$AS$1,),))))-(((VLOOKUP(EDATE(B315,-12),Database!$A:$AS,MATCH($V$1,Database!$A$1:$AS$1,),)))))/(((VLOOKUP(EDATE(B315,-12),Database!$A:$AS,MATCH($V$1,Database!$A$1:$AS$1,),))))</f>
        <v/>
      </c>
    </row>
    <row r="316" customFormat="1" s="94">
      <c r="A316" s="44" t="n"/>
      <c r="B316" s="85" t="n">
        <v>41760</v>
      </c>
      <c r="C316" s="13">
        <f>((((VLOOKUP(B316,Database!$A:$AS,MATCH($C$1,Database!$A$1:$AS$1,),))))-(((VLOOKUP(EDATE(B316,-12),Database!$A:$AS,MATCH($C$1,Database!$A$1:$AS$1,),)))))/(((VLOOKUP(EDATE(B316,-12),Database!$A:$AS,MATCH($C$1,Database!$A$1:$AS$1,),))))</f>
        <v/>
      </c>
      <c r="D316" s="13">
        <f>((((VLOOKUP(B316,Database!$A:$AS,MATCH($D$1,Database!$A$1:$AS$1,),))))-(((VLOOKUP(EDATE(B316,-12),Database!$A:$AS,MATCH($D$1,Database!$A$1:$AS$1,),)))))/(((VLOOKUP(EDATE(B316,-12),Database!$A:$AS,MATCH($D$1,Database!$A$1:$AS$1,),))))</f>
        <v/>
      </c>
      <c r="E316" s="13">
        <f>((((VLOOKUP(B316,Database!$A:$AS,MATCH($E$1,Database!$A$1:$AS$1,),))))-(((VLOOKUP(EDATE(B316,-12),Database!$A:$AS,MATCH($E$1,Database!$A$1:$AS$1,),)))))/(((VLOOKUP(EDATE(B316,-12),Database!$A:$AS,MATCH($E$1,Database!$A$1:$AS$1,),))))</f>
        <v/>
      </c>
      <c r="F316" s="13">
        <f>((((VLOOKUP(B316,Database!$A:$AS,MATCH($F$1,Database!$A$1:$AS$1,),))))-(((VLOOKUP(EDATE(B316,-12),Database!$A:$AS,MATCH($F$1,Database!$A$1:$AS$1,),)))))/(((VLOOKUP(EDATE(B316,-12),Database!$A:$AS,MATCH($F$1,Database!$A$1:$AS$1,),))))</f>
        <v/>
      </c>
      <c r="G316" s="13">
        <f>((((VLOOKUP(B316,Database!$A:$AS,MATCH($G$1,Database!$A$1:$AS$1,),))))-(((VLOOKUP(EDATE(B316,-12),Database!$A:$AS,MATCH($G$1,Database!$A$1:$AS$1,),)))))/(((VLOOKUP(EDATE(B316,-12),Database!$A:$AS,MATCH($G$1,Database!$A$1:$AS$1,),))))</f>
        <v/>
      </c>
      <c r="H316" s="13">
        <f>((((VLOOKUP(B316,Database!$A:$AS,MATCH($H$1,Database!$A$1:$AS$1,),))))-(((VLOOKUP(EDATE(B316,-12),Database!$A:$AS,MATCH($H$1,Database!$A$1:$AS$1,),)))))/(((VLOOKUP(EDATE(B316,-12),Database!$A:$AS,MATCH($H$1,Database!$A$1:$AS$1,),))))</f>
        <v/>
      </c>
      <c r="I316" s="13">
        <f>((((VLOOKUP(B316,Database!$A:$AS,MATCH($I$1,Database!$A$1:$AS$1,),))))-(((VLOOKUP(EDATE(B316,-12),Database!$A:$AS,MATCH($I$1,Database!$A$1:$AS$1,),)))))/(((VLOOKUP(EDATE(B316,-12),Database!$A:$AS,MATCH($I$1,Database!$A$1:$AS$1,),))))</f>
        <v/>
      </c>
      <c r="J316" s="13">
        <f>((((VLOOKUP(B316,Database!$A:$AS,MATCH($J$1,Database!$A$1:$AS$1,),))))-(((VLOOKUP(EDATE(B316,-12),Database!$A:$AS,MATCH($J$1,Database!$A$1:$AS$1,),)))))/(((VLOOKUP(EDATE(B316,-12),Database!$A:$AS,MATCH($J$1,Database!$A$1:$AS$1,),))))</f>
        <v/>
      </c>
      <c r="K316" s="13">
        <f>((((VLOOKUP(B316,Database!$A:$AS,MATCH($K$1,Database!$A$1:$AS$1,),))))-(((VLOOKUP(EDATE(B316,-12),Database!$A:$AS,MATCH($K$1,Database!$A$1:$AS$1,),)))))/(((VLOOKUP(EDATE(B316,-12),Database!$A:$AS,MATCH($K$1,Database!$A$1:$AS$1,),))))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((((VLOOKUP(B316,Database!$A:$AS,MATCH($O$1,Database!$A$1:$AS$1,),))))-(((VLOOKUP(EDATE(B316,-12),Database!$A:$AS,MATCH($O$1,Database!$A$1:$AS$1,),)))))/(((VLOOKUP(EDATE(B316,-12),Database!$A:$AS,MATCH($O$1,Database!$A$1:$AS$1,),))))</f>
        <v/>
      </c>
      <c r="P316" s="13">
        <f>((((VLOOKUP(B316,Database!$A:$AS,MATCH($P$1,Database!$A$1:$AS$1,),))))-(((VLOOKUP(EDATE(B316,-12),Database!$A:$AS,MATCH($P$1,Database!$A$1:$AS$1,),)))))/(((VLOOKUP(EDATE(B316,-12),Database!$A:$AS,MATCH($P$1,Database!$A$1:$AS$1,),))))</f>
        <v/>
      </c>
      <c r="Q316" s="13">
        <f>((((VLOOKUP(B316,Database!$A:$AS,MATCH($Q$1,Database!$A$1:$AS$1,),))))-(((VLOOKUP(EDATE(B316,-12),Database!$A:$AS,MATCH($Q$1,Database!$A$1:$AS$1,),)))))/(((VLOOKUP(EDATE(B316,-12),Database!$A:$AS,MATCH($Q$1,Database!$A$1:$AS$1,),))))</f>
        <v/>
      </c>
      <c r="R316" s="13">
        <f>((((VLOOKUP(B316,Database!$A:$AS,MATCH($R$1,Database!$A$1:$AS$1,),))))-(((VLOOKUP(EDATE(B316,-12),Database!$A:$AS,MATCH($R$1,Database!$A$1:$AS$1,),)))))/(((VLOOKUP(EDATE(B316,-12),Database!$A:$AS,MATCH($R$1,Database!$A$1:$AS$1,),))))</f>
        <v/>
      </c>
      <c r="S316" s="13">
        <f>((((VLOOKUP(B316,Database!$A:$AS,MATCH($S$1,Database!$A$1:$AS$1,),))))-(((VLOOKUP(EDATE(B316,-12),Database!$A:$AS,MATCH($S$1,Database!$A$1:$AS$1,),)))))/(((VLOOKUP(EDATE(B316,-12),Database!$A:$AS,MATCH($S$1,Database!$A$1:$AS$1,),))))</f>
        <v/>
      </c>
      <c r="T316" s="13">
        <f>((((VLOOKUP(B316,Database!$A:$AS,MATCH($T$1,Database!$A$1:$AS$1,),))))-(((VLOOKUP(EDATE(B316,-12),Database!$A:$AS,MATCH($T$1,Database!$A$1:$AS$1,),)))))/(((VLOOKUP(EDATE(B316,-12),Database!$A:$AS,MATCH($T$1,Database!$A$1:$AS$1,),))))</f>
        <v/>
      </c>
      <c r="U316" s="13">
        <f>((((VLOOKUP(B316,Database!$A:$AS,MATCH($U$1,Database!$A$1:$AS$1,),))))-(((VLOOKUP(EDATE(B316,-12),Database!$A:$AS,MATCH($U$1,Database!$A$1:$AS$1,),)))))/(((VLOOKUP(EDATE(B316,-12),Database!$A:$AS,MATCH($U$1,Database!$A$1:$AS$1,),))))</f>
        <v/>
      </c>
      <c r="V316" s="13">
        <f>((((VLOOKUP(B316,Database!$A:$AS,MATCH($V$1,Database!$A$1:$AS$1,),))))-(((VLOOKUP(EDATE(B316,-12),Database!$A:$AS,MATCH($V$1,Database!$A$1:$AS$1,),)))))/(((VLOOKUP(EDATE(B316,-12),Database!$A:$AS,MATCH($V$1,Database!$A$1:$AS$1,),))))</f>
        <v/>
      </c>
    </row>
    <row r="317" customFormat="1" s="94">
      <c r="A317" s="44" t="n"/>
      <c r="B317" s="85" t="n">
        <v>41791</v>
      </c>
      <c r="C317" s="13">
        <f>((((VLOOKUP(B317,Database!$A:$AS,MATCH($C$1,Database!$A$1:$AS$1,),))))-(((VLOOKUP(EDATE(B317,-12),Database!$A:$AS,MATCH($C$1,Database!$A$1:$AS$1,),)))))/(((VLOOKUP(EDATE(B317,-12),Database!$A:$AS,MATCH($C$1,Database!$A$1:$AS$1,),))))</f>
        <v/>
      </c>
      <c r="D317" s="13">
        <f>((((VLOOKUP(B317,Database!$A:$AS,MATCH($D$1,Database!$A$1:$AS$1,),))))-(((VLOOKUP(EDATE(B317,-12),Database!$A:$AS,MATCH($D$1,Database!$A$1:$AS$1,),)))))/(((VLOOKUP(EDATE(B317,-12),Database!$A:$AS,MATCH($D$1,Database!$A$1:$AS$1,),))))</f>
        <v/>
      </c>
      <c r="E317" s="13">
        <f>((((VLOOKUP(B317,Database!$A:$AS,MATCH($E$1,Database!$A$1:$AS$1,),))))-(((VLOOKUP(EDATE(B317,-12),Database!$A:$AS,MATCH($E$1,Database!$A$1:$AS$1,),)))))/(((VLOOKUP(EDATE(B317,-12),Database!$A:$AS,MATCH($E$1,Database!$A$1:$AS$1,),))))</f>
        <v/>
      </c>
      <c r="F317" s="13">
        <f>((((VLOOKUP(B317,Database!$A:$AS,MATCH($F$1,Database!$A$1:$AS$1,),))))-(((VLOOKUP(EDATE(B317,-12),Database!$A:$AS,MATCH($F$1,Database!$A$1:$AS$1,),)))))/(((VLOOKUP(EDATE(B317,-12),Database!$A:$AS,MATCH($F$1,Database!$A$1:$AS$1,),))))</f>
        <v/>
      </c>
      <c r="G317" s="13">
        <f>((((VLOOKUP(B317,Database!$A:$AS,MATCH($G$1,Database!$A$1:$AS$1,),))))-(((VLOOKUP(EDATE(B317,-12),Database!$A:$AS,MATCH($G$1,Database!$A$1:$AS$1,),)))))/(((VLOOKUP(EDATE(B317,-12),Database!$A:$AS,MATCH($G$1,Database!$A$1:$AS$1,),))))</f>
        <v/>
      </c>
      <c r="H317" s="13">
        <f>((((VLOOKUP(B317,Database!$A:$AS,MATCH($H$1,Database!$A$1:$AS$1,),))))-(((VLOOKUP(EDATE(B317,-12),Database!$A:$AS,MATCH($H$1,Database!$A$1:$AS$1,),)))))/(((VLOOKUP(EDATE(B317,-12),Database!$A:$AS,MATCH($H$1,Database!$A$1:$AS$1,),))))</f>
        <v/>
      </c>
      <c r="I317" s="13">
        <f>((((VLOOKUP(B317,Database!$A:$AS,MATCH($I$1,Database!$A$1:$AS$1,),))))-(((VLOOKUP(EDATE(B317,-12),Database!$A:$AS,MATCH($I$1,Database!$A$1:$AS$1,),)))))/(((VLOOKUP(EDATE(B317,-12),Database!$A:$AS,MATCH($I$1,Database!$A$1:$AS$1,),))))</f>
        <v/>
      </c>
      <c r="J317" s="13">
        <f>((((VLOOKUP(B317,Database!$A:$AS,MATCH($J$1,Database!$A$1:$AS$1,),))))-(((VLOOKUP(EDATE(B317,-12),Database!$A:$AS,MATCH($J$1,Database!$A$1:$AS$1,),)))))/(((VLOOKUP(EDATE(B317,-12),Database!$A:$AS,MATCH($J$1,Database!$A$1:$AS$1,),))))</f>
        <v/>
      </c>
      <c r="K317" s="13">
        <f>((((VLOOKUP(B317,Database!$A:$AS,MATCH($K$1,Database!$A$1:$AS$1,),))))-(((VLOOKUP(EDATE(B317,-12),Database!$A:$AS,MATCH($K$1,Database!$A$1:$AS$1,),)))))/(((VLOOKUP(EDATE(B317,-12),Database!$A:$AS,MATCH($K$1,Database!$A$1:$AS$1,),))))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((((VLOOKUP(B317,Database!$A:$AS,MATCH($O$1,Database!$A$1:$AS$1,),))))-(((VLOOKUP(EDATE(B317,-12),Database!$A:$AS,MATCH($O$1,Database!$A$1:$AS$1,),)))))/(((VLOOKUP(EDATE(B317,-12),Database!$A:$AS,MATCH($O$1,Database!$A$1:$AS$1,),))))</f>
        <v/>
      </c>
      <c r="P317" s="13">
        <f>((((VLOOKUP(B317,Database!$A:$AS,MATCH($P$1,Database!$A$1:$AS$1,),))))-(((VLOOKUP(EDATE(B317,-12),Database!$A:$AS,MATCH($P$1,Database!$A$1:$AS$1,),)))))/(((VLOOKUP(EDATE(B317,-12),Database!$A:$AS,MATCH($P$1,Database!$A$1:$AS$1,),))))</f>
        <v/>
      </c>
      <c r="Q317" s="13">
        <f>((((VLOOKUP(B317,Database!$A:$AS,MATCH($Q$1,Database!$A$1:$AS$1,),))))-(((VLOOKUP(EDATE(B317,-12),Database!$A:$AS,MATCH($Q$1,Database!$A$1:$AS$1,),)))))/(((VLOOKUP(EDATE(B317,-12),Database!$A:$AS,MATCH($Q$1,Database!$A$1:$AS$1,),))))</f>
        <v/>
      </c>
      <c r="R317" s="13">
        <f>((((VLOOKUP(B317,Database!$A:$AS,MATCH($R$1,Database!$A$1:$AS$1,),))))-(((VLOOKUP(EDATE(B317,-12),Database!$A:$AS,MATCH($R$1,Database!$A$1:$AS$1,),)))))/(((VLOOKUP(EDATE(B317,-12),Database!$A:$AS,MATCH($R$1,Database!$A$1:$AS$1,),))))</f>
        <v/>
      </c>
      <c r="S317" s="13">
        <f>((((VLOOKUP(B317,Database!$A:$AS,MATCH($S$1,Database!$A$1:$AS$1,),))))-(((VLOOKUP(EDATE(B317,-12),Database!$A:$AS,MATCH($S$1,Database!$A$1:$AS$1,),)))))/(((VLOOKUP(EDATE(B317,-12),Database!$A:$AS,MATCH($S$1,Database!$A$1:$AS$1,),))))</f>
        <v/>
      </c>
      <c r="T317" s="13">
        <f>((((VLOOKUP(B317,Database!$A:$AS,MATCH($T$1,Database!$A$1:$AS$1,),))))-(((VLOOKUP(EDATE(B317,-12),Database!$A:$AS,MATCH($T$1,Database!$A$1:$AS$1,),)))))/(((VLOOKUP(EDATE(B317,-12),Database!$A:$AS,MATCH($T$1,Database!$A$1:$AS$1,),))))</f>
        <v/>
      </c>
      <c r="U317" s="13">
        <f>((((VLOOKUP(B317,Database!$A:$AS,MATCH($U$1,Database!$A$1:$AS$1,),))))-(((VLOOKUP(EDATE(B317,-12),Database!$A:$AS,MATCH($U$1,Database!$A$1:$AS$1,),)))))/(((VLOOKUP(EDATE(B317,-12),Database!$A:$AS,MATCH($U$1,Database!$A$1:$AS$1,),))))</f>
        <v/>
      </c>
      <c r="V317" s="13">
        <f>((((VLOOKUP(B317,Database!$A:$AS,MATCH($V$1,Database!$A$1:$AS$1,),))))-(((VLOOKUP(EDATE(B317,-12),Database!$A:$AS,MATCH($V$1,Database!$A$1:$AS$1,),)))))/(((VLOOKUP(EDATE(B317,-12),Database!$A:$AS,MATCH($V$1,Database!$A$1:$AS$1,),))))</f>
        <v/>
      </c>
    </row>
    <row r="318" customFormat="1" s="94">
      <c r="A318" s="44" t="n"/>
      <c r="B318" s="85" t="n">
        <v>41821</v>
      </c>
      <c r="C318" s="13">
        <f>((((VLOOKUP(B318,Database!$A:$AS,MATCH($C$1,Database!$A$1:$AS$1,),))))-(((VLOOKUP(EDATE(B318,-12),Database!$A:$AS,MATCH($C$1,Database!$A$1:$AS$1,),)))))/(((VLOOKUP(EDATE(B318,-12),Database!$A:$AS,MATCH($C$1,Database!$A$1:$AS$1,),))))</f>
        <v/>
      </c>
      <c r="D318" s="13">
        <f>((((VLOOKUP(B318,Database!$A:$AS,MATCH($D$1,Database!$A$1:$AS$1,),))))-(((VLOOKUP(EDATE(B318,-12),Database!$A:$AS,MATCH($D$1,Database!$A$1:$AS$1,),)))))/(((VLOOKUP(EDATE(B318,-12),Database!$A:$AS,MATCH($D$1,Database!$A$1:$AS$1,),))))</f>
        <v/>
      </c>
      <c r="E318" s="13">
        <f>((((VLOOKUP(B318,Database!$A:$AS,MATCH($E$1,Database!$A$1:$AS$1,),))))-(((VLOOKUP(EDATE(B318,-12),Database!$A:$AS,MATCH($E$1,Database!$A$1:$AS$1,),)))))/(((VLOOKUP(EDATE(B318,-12),Database!$A:$AS,MATCH($E$1,Database!$A$1:$AS$1,),))))</f>
        <v/>
      </c>
      <c r="F318" s="13">
        <f>((((VLOOKUP(B318,Database!$A:$AS,MATCH($F$1,Database!$A$1:$AS$1,),))))-(((VLOOKUP(EDATE(B318,-12),Database!$A:$AS,MATCH($F$1,Database!$A$1:$AS$1,),)))))/(((VLOOKUP(EDATE(B318,-12),Database!$A:$AS,MATCH($F$1,Database!$A$1:$AS$1,),))))</f>
        <v/>
      </c>
      <c r="G318" s="13">
        <f>((((VLOOKUP(B318,Database!$A:$AS,MATCH($G$1,Database!$A$1:$AS$1,),))))-(((VLOOKUP(EDATE(B318,-12),Database!$A:$AS,MATCH($G$1,Database!$A$1:$AS$1,),)))))/(((VLOOKUP(EDATE(B318,-12),Database!$A:$AS,MATCH($G$1,Database!$A$1:$AS$1,),))))</f>
        <v/>
      </c>
      <c r="H318" s="13">
        <f>((((VLOOKUP(B318,Database!$A:$AS,MATCH($H$1,Database!$A$1:$AS$1,),))))-(((VLOOKUP(EDATE(B318,-12),Database!$A:$AS,MATCH($H$1,Database!$A$1:$AS$1,),)))))/(((VLOOKUP(EDATE(B318,-12),Database!$A:$AS,MATCH($H$1,Database!$A$1:$AS$1,),))))</f>
        <v/>
      </c>
      <c r="I318" s="13">
        <f>((((VLOOKUP(B318,Database!$A:$AS,MATCH($I$1,Database!$A$1:$AS$1,),))))-(((VLOOKUP(EDATE(B318,-12),Database!$A:$AS,MATCH($I$1,Database!$A$1:$AS$1,),)))))/(((VLOOKUP(EDATE(B318,-12),Database!$A:$AS,MATCH($I$1,Database!$A$1:$AS$1,),))))</f>
        <v/>
      </c>
      <c r="J318" s="13">
        <f>((((VLOOKUP(B318,Database!$A:$AS,MATCH($J$1,Database!$A$1:$AS$1,),))))-(((VLOOKUP(EDATE(B318,-12),Database!$A:$AS,MATCH($J$1,Database!$A$1:$AS$1,),)))))/(((VLOOKUP(EDATE(B318,-12),Database!$A:$AS,MATCH($J$1,Database!$A$1:$AS$1,),))))</f>
        <v/>
      </c>
      <c r="K318" s="13">
        <f>((((VLOOKUP(B318,Database!$A:$AS,MATCH($K$1,Database!$A$1:$AS$1,),))))-(((VLOOKUP(EDATE(B318,-12),Database!$A:$AS,MATCH($K$1,Database!$A$1:$AS$1,),)))))/(((VLOOKUP(EDATE(B318,-12),Database!$A:$AS,MATCH($K$1,Database!$A$1:$AS$1,),))))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((((VLOOKUP(B318,Database!$A:$AS,MATCH($O$1,Database!$A$1:$AS$1,),))))-(((VLOOKUP(EDATE(B318,-12),Database!$A:$AS,MATCH($O$1,Database!$A$1:$AS$1,),)))))/(((VLOOKUP(EDATE(B318,-12),Database!$A:$AS,MATCH($O$1,Database!$A$1:$AS$1,),))))</f>
        <v/>
      </c>
      <c r="P318" s="13">
        <f>((((VLOOKUP(B318,Database!$A:$AS,MATCH($P$1,Database!$A$1:$AS$1,),))))-(((VLOOKUP(EDATE(B318,-12),Database!$A:$AS,MATCH($P$1,Database!$A$1:$AS$1,),)))))/(((VLOOKUP(EDATE(B318,-12),Database!$A:$AS,MATCH($P$1,Database!$A$1:$AS$1,),))))</f>
        <v/>
      </c>
      <c r="Q318" s="13">
        <f>((((VLOOKUP(B318,Database!$A:$AS,MATCH($Q$1,Database!$A$1:$AS$1,),))))-(((VLOOKUP(EDATE(B318,-12),Database!$A:$AS,MATCH($Q$1,Database!$A$1:$AS$1,),)))))/(((VLOOKUP(EDATE(B318,-12),Database!$A:$AS,MATCH($Q$1,Database!$A$1:$AS$1,),))))</f>
        <v/>
      </c>
      <c r="R318" s="13">
        <f>((((VLOOKUP(B318,Database!$A:$AS,MATCH($R$1,Database!$A$1:$AS$1,),))))-(((VLOOKUP(EDATE(B318,-12),Database!$A:$AS,MATCH($R$1,Database!$A$1:$AS$1,),)))))/(((VLOOKUP(EDATE(B318,-12),Database!$A:$AS,MATCH($R$1,Database!$A$1:$AS$1,),))))</f>
        <v/>
      </c>
      <c r="S318" s="13">
        <f>((((VLOOKUP(B318,Database!$A:$AS,MATCH($S$1,Database!$A$1:$AS$1,),))))-(((VLOOKUP(EDATE(B318,-12),Database!$A:$AS,MATCH($S$1,Database!$A$1:$AS$1,),)))))/(((VLOOKUP(EDATE(B318,-12),Database!$A:$AS,MATCH($S$1,Database!$A$1:$AS$1,),))))</f>
        <v/>
      </c>
      <c r="T318" s="13">
        <f>((((VLOOKUP(B318,Database!$A:$AS,MATCH($T$1,Database!$A$1:$AS$1,),))))-(((VLOOKUP(EDATE(B318,-12),Database!$A:$AS,MATCH($T$1,Database!$A$1:$AS$1,),)))))/(((VLOOKUP(EDATE(B318,-12),Database!$A:$AS,MATCH($T$1,Database!$A$1:$AS$1,),))))</f>
        <v/>
      </c>
      <c r="U318" s="13">
        <f>((((VLOOKUP(B318,Database!$A:$AS,MATCH($U$1,Database!$A$1:$AS$1,),))))-(((VLOOKUP(EDATE(B318,-12),Database!$A:$AS,MATCH($U$1,Database!$A$1:$AS$1,),)))))/(((VLOOKUP(EDATE(B318,-12),Database!$A:$AS,MATCH($U$1,Database!$A$1:$AS$1,),))))</f>
        <v/>
      </c>
      <c r="V318" s="13">
        <f>((((VLOOKUP(B318,Database!$A:$AS,MATCH($V$1,Database!$A$1:$AS$1,),))))-(((VLOOKUP(EDATE(B318,-12),Database!$A:$AS,MATCH($V$1,Database!$A$1:$AS$1,),)))))/(((VLOOKUP(EDATE(B318,-12),Database!$A:$AS,MATCH($V$1,Database!$A$1:$AS$1,),))))</f>
        <v/>
      </c>
    </row>
    <row r="319" customFormat="1" s="94">
      <c r="A319" s="44" t="n"/>
      <c r="B319" s="85" t="n">
        <v>41852</v>
      </c>
      <c r="C319" s="13">
        <f>((((VLOOKUP(B319,Database!$A:$AS,MATCH($C$1,Database!$A$1:$AS$1,),))))-(((VLOOKUP(EDATE(B319,-12),Database!$A:$AS,MATCH($C$1,Database!$A$1:$AS$1,),)))))/(((VLOOKUP(EDATE(B319,-12),Database!$A:$AS,MATCH($C$1,Database!$A$1:$AS$1,),))))</f>
        <v/>
      </c>
      <c r="D319" s="13">
        <f>((((VLOOKUP(B319,Database!$A:$AS,MATCH($D$1,Database!$A$1:$AS$1,),))))-(((VLOOKUP(EDATE(B319,-12),Database!$A:$AS,MATCH($D$1,Database!$A$1:$AS$1,),)))))/(((VLOOKUP(EDATE(B319,-12),Database!$A:$AS,MATCH($D$1,Database!$A$1:$AS$1,),))))</f>
        <v/>
      </c>
      <c r="E319" s="13">
        <f>((((VLOOKUP(B319,Database!$A:$AS,MATCH($E$1,Database!$A$1:$AS$1,),))))-(((VLOOKUP(EDATE(B319,-12),Database!$A:$AS,MATCH($E$1,Database!$A$1:$AS$1,),)))))/(((VLOOKUP(EDATE(B319,-12),Database!$A:$AS,MATCH($E$1,Database!$A$1:$AS$1,),))))</f>
        <v/>
      </c>
      <c r="F319" s="13">
        <f>((((VLOOKUP(B319,Database!$A:$AS,MATCH($F$1,Database!$A$1:$AS$1,),))))-(((VLOOKUP(EDATE(B319,-12),Database!$A:$AS,MATCH($F$1,Database!$A$1:$AS$1,),)))))/(((VLOOKUP(EDATE(B319,-12),Database!$A:$AS,MATCH($F$1,Database!$A$1:$AS$1,),))))</f>
        <v/>
      </c>
      <c r="G319" s="13">
        <f>((((VLOOKUP(B319,Database!$A:$AS,MATCH($G$1,Database!$A$1:$AS$1,),))))-(((VLOOKUP(EDATE(B319,-12),Database!$A:$AS,MATCH($G$1,Database!$A$1:$AS$1,),)))))/(((VLOOKUP(EDATE(B319,-12),Database!$A:$AS,MATCH($G$1,Database!$A$1:$AS$1,),))))</f>
        <v/>
      </c>
      <c r="H319" s="13">
        <f>((((VLOOKUP(B319,Database!$A:$AS,MATCH($H$1,Database!$A$1:$AS$1,),))))-(((VLOOKUP(EDATE(B319,-12),Database!$A:$AS,MATCH($H$1,Database!$A$1:$AS$1,),)))))/(((VLOOKUP(EDATE(B319,-12),Database!$A:$AS,MATCH($H$1,Database!$A$1:$AS$1,),))))</f>
        <v/>
      </c>
      <c r="I319" s="13">
        <f>((((VLOOKUP(B319,Database!$A:$AS,MATCH($I$1,Database!$A$1:$AS$1,),))))-(((VLOOKUP(EDATE(B319,-12),Database!$A:$AS,MATCH($I$1,Database!$A$1:$AS$1,),)))))/(((VLOOKUP(EDATE(B319,-12),Database!$A:$AS,MATCH($I$1,Database!$A$1:$AS$1,),))))</f>
        <v/>
      </c>
      <c r="J319" s="13">
        <f>((((VLOOKUP(B319,Database!$A:$AS,MATCH($J$1,Database!$A$1:$AS$1,),))))-(((VLOOKUP(EDATE(B319,-12),Database!$A:$AS,MATCH($J$1,Database!$A$1:$AS$1,),)))))/(((VLOOKUP(EDATE(B319,-12),Database!$A:$AS,MATCH($J$1,Database!$A$1:$AS$1,),))))</f>
        <v/>
      </c>
      <c r="K319" s="13">
        <f>((((VLOOKUP(B319,Database!$A:$AS,MATCH($K$1,Database!$A$1:$AS$1,),))))-(((VLOOKUP(EDATE(B319,-12),Database!$A:$AS,MATCH($K$1,Database!$A$1:$AS$1,),)))))/(((VLOOKUP(EDATE(B319,-12),Database!$A:$AS,MATCH($K$1,Database!$A$1:$AS$1,),))))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((((VLOOKUP(B319,Database!$A:$AS,MATCH($O$1,Database!$A$1:$AS$1,),))))-(((VLOOKUP(EDATE(B319,-12),Database!$A:$AS,MATCH($O$1,Database!$A$1:$AS$1,),)))))/(((VLOOKUP(EDATE(B319,-12),Database!$A:$AS,MATCH($O$1,Database!$A$1:$AS$1,),))))</f>
        <v/>
      </c>
      <c r="P319" s="13">
        <f>((((VLOOKUP(B319,Database!$A:$AS,MATCH($P$1,Database!$A$1:$AS$1,),))))-(((VLOOKUP(EDATE(B319,-12),Database!$A:$AS,MATCH($P$1,Database!$A$1:$AS$1,),)))))/(((VLOOKUP(EDATE(B319,-12),Database!$A:$AS,MATCH($P$1,Database!$A$1:$AS$1,),))))</f>
        <v/>
      </c>
      <c r="Q319" s="13">
        <f>((((VLOOKUP(B319,Database!$A:$AS,MATCH($Q$1,Database!$A$1:$AS$1,),))))-(((VLOOKUP(EDATE(B319,-12),Database!$A:$AS,MATCH($Q$1,Database!$A$1:$AS$1,),)))))/(((VLOOKUP(EDATE(B319,-12),Database!$A:$AS,MATCH($Q$1,Database!$A$1:$AS$1,),))))</f>
        <v/>
      </c>
      <c r="R319" s="13">
        <f>((((VLOOKUP(B319,Database!$A:$AS,MATCH($R$1,Database!$A$1:$AS$1,),))))-(((VLOOKUP(EDATE(B319,-12),Database!$A:$AS,MATCH($R$1,Database!$A$1:$AS$1,),)))))/(((VLOOKUP(EDATE(B319,-12),Database!$A:$AS,MATCH($R$1,Database!$A$1:$AS$1,),))))</f>
        <v/>
      </c>
      <c r="S319" s="13">
        <f>((((VLOOKUP(B319,Database!$A:$AS,MATCH($S$1,Database!$A$1:$AS$1,),))))-(((VLOOKUP(EDATE(B319,-12),Database!$A:$AS,MATCH($S$1,Database!$A$1:$AS$1,),)))))/(((VLOOKUP(EDATE(B319,-12),Database!$A:$AS,MATCH($S$1,Database!$A$1:$AS$1,),))))</f>
        <v/>
      </c>
      <c r="T319" s="13">
        <f>((((VLOOKUP(B319,Database!$A:$AS,MATCH($T$1,Database!$A$1:$AS$1,),))))-(((VLOOKUP(EDATE(B319,-12),Database!$A:$AS,MATCH($T$1,Database!$A$1:$AS$1,),)))))/(((VLOOKUP(EDATE(B319,-12),Database!$A:$AS,MATCH($T$1,Database!$A$1:$AS$1,),))))</f>
        <v/>
      </c>
      <c r="U319" s="13">
        <f>((((VLOOKUP(B319,Database!$A:$AS,MATCH($U$1,Database!$A$1:$AS$1,),))))-(((VLOOKUP(EDATE(B319,-12),Database!$A:$AS,MATCH($U$1,Database!$A$1:$AS$1,),)))))/(((VLOOKUP(EDATE(B319,-12),Database!$A:$AS,MATCH($U$1,Database!$A$1:$AS$1,),))))</f>
        <v/>
      </c>
      <c r="V319" s="13">
        <f>((((VLOOKUP(B319,Database!$A:$AS,MATCH($V$1,Database!$A$1:$AS$1,),))))-(((VLOOKUP(EDATE(B319,-12),Database!$A:$AS,MATCH($V$1,Database!$A$1:$AS$1,),)))))/(((VLOOKUP(EDATE(B319,-12),Database!$A:$AS,MATCH($V$1,Database!$A$1:$AS$1,),))))</f>
        <v/>
      </c>
    </row>
    <row r="320" customFormat="1" s="94">
      <c r="A320" s="44" t="n"/>
      <c r="B320" s="85" t="n">
        <v>41883</v>
      </c>
      <c r="C320" s="13">
        <f>((((VLOOKUP(B320,Database!$A:$AS,MATCH($C$1,Database!$A$1:$AS$1,),))))-(((VLOOKUP(EDATE(B320,-12),Database!$A:$AS,MATCH($C$1,Database!$A$1:$AS$1,),)))))/(((VLOOKUP(EDATE(B320,-12),Database!$A:$AS,MATCH($C$1,Database!$A$1:$AS$1,),))))</f>
        <v/>
      </c>
      <c r="D320" s="13">
        <f>((((VLOOKUP(B320,Database!$A:$AS,MATCH($D$1,Database!$A$1:$AS$1,),))))-(((VLOOKUP(EDATE(B320,-12),Database!$A:$AS,MATCH($D$1,Database!$A$1:$AS$1,),)))))/(((VLOOKUP(EDATE(B320,-12),Database!$A:$AS,MATCH($D$1,Database!$A$1:$AS$1,),))))</f>
        <v/>
      </c>
      <c r="E320" s="13">
        <f>((((VLOOKUP(B320,Database!$A:$AS,MATCH($E$1,Database!$A$1:$AS$1,),))))-(((VLOOKUP(EDATE(B320,-12),Database!$A:$AS,MATCH($E$1,Database!$A$1:$AS$1,),)))))/(((VLOOKUP(EDATE(B320,-12),Database!$A:$AS,MATCH($E$1,Database!$A$1:$AS$1,),))))</f>
        <v/>
      </c>
      <c r="F320" s="13">
        <f>((((VLOOKUP(B320,Database!$A:$AS,MATCH($F$1,Database!$A$1:$AS$1,),))))-(((VLOOKUP(EDATE(B320,-12),Database!$A:$AS,MATCH($F$1,Database!$A$1:$AS$1,),)))))/(((VLOOKUP(EDATE(B320,-12),Database!$A:$AS,MATCH($F$1,Database!$A$1:$AS$1,),))))</f>
        <v/>
      </c>
      <c r="G320" s="13">
        <f>((((VLOOKUP(B320,Database!$A:$AS,MATCH($G$1,Database!$A$1:$AS$1,),))))-(((VLOOKUP(EDATE(B320,-12),Database!$A:$AS,MATCH($G$1,Database!$A$1:$AS$1,),)))))/(((VLOOKUP(EDATE(B320,-12),Database!$A:$AS,MATCH($G$1,Database!$A$1:$AS$1,),))))</f>
        <v/>
      </c>
      <c r="H320" s="13">
        <f>((((VLOOKUP(B320,Database!$A:$AS,MATCH($H$1,Database!$A$1:$AS$1,),))))-(((VLOOKUP(EDATE(B320,-12),Database!$A:$AS,MATCH($H$1,Database!$A$1:$AS$1,),)))))/(((VLOOKUP(EDATE(B320,-12),Database!$A:$AS,MATCH($H$1,Database!$A$1:$AS$1,),))))</f>
        <v/>
      </c>
      <c r="I320" s="13">
        <f>((((VLOOKUP(B320,Database!$A:$AS,MATCH($I$1,Database!$A$1:$AS$1,),))))-(((VLOOKUP(EDATE(B320,-12),Database!$A:$AS,MATCH($I$1,Database!$A$1:$AS$1,),)))))/(((VLOOKUP(EDATE(B320,-12),Database!$A:$AS,MATCH($I$1,Database!$A$1:$AS$1,),))))</f>
        <v/>
      </c>
      <c r="J320" s="13">
        <f>((((VLOOKUP(B320,Database!$A:$AS,MATCH($J$1,Database!$A$1:$AS$1,),))))-(((VLOOKUP(EDATE(B320,-12),Database!$A:$AS,MATCH($J$1,Database!$A$1:$AS$1,),)))))/(((VLOOKUP(EDATE(B320,-12),Database!$A:$AS,MATCH($J$1,Database!$A$1:$AS$1,),))))</f>
        <v/>
      </c>
      <c r="K320" s="13">
        <f>((((VLOOKUP(B320,Database!$A:$AS,MATCH($K$1,Database!$A$1:$AS$1,),))))-(((VLOOKUP(EDATE(B320,-12),Database!$A:$AS,MATCH($K$1,Database!$A$1:$AS$1,),)))))/(((VLOOKUP(EDATE(B320,-12),Database!$A:$AS,MATCH($K$1,Database!$A$1:$AS$1,),))))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((((VLOOKUP(B320,Database!$A:$AS,MATCH($O$1,Database!$A$1:$AS$1,),))))-(((VLOOKUP(EDATE(B320,-12),Database!$A:$AS,MATCH($O$1,Database!$A$1:$AS$1,),)))))/(((VLOOKUP(EDATE(B320,-12),Database!$A:$AS,MATCH($O$1,Database!$A$1:$AS$1,),))))</f>
        <v/>
      </c>
      <c r="P320" s="13">
        <f>((((VLOOKUP(B320,Database!$A:$AS,MATCH($P$1,Database!$A$1:$AS$1,),))))-(((VLOOKUP(EDATE(B320,-12),Database!$A:$AS,MATCH($P$1,Database!$A$1:$AS$1,),)))))/(((VLOOKUP(EDATE(B320,-12),Database!$A:$AS,MATCH($P$1,Database!$A$1:$AS$1,),))))</f>
        <v/>
      </c>
      <c r="Q320" s="13">
        <f>((((VLOOKUP(B320,Database!$A:$AS,MATCH($Q$1,Database!$A$1:$AS$1,),))))-(((VLOOKUP(EDATE(B320,-12),Database!$A:$AS,MATCH($Q$1,Database!$A$1:$AS$1,),)))))/(((VLOOKUP(EDATE(B320,-12),Database!$A:$AS,MATCH($Q$1,Database!$A$1:$AS$1,),))))</f>
        <v/>
      </c>
      <c r="R320" s="13">
        <f>((((VLOOKUP(B320,Database!$A:$AS,MATCH($R$1,Database!$A$1:$AS$1,),))))-(((VLOOKUP(EDATE(B320,-12),Database!$A:$AS,MATCH($R$1,Database!$A$1:$AS$1,),)))))/(((VLOOKUP(EDATE(B320,-12),Database!$A:$AS,MATCH($R$1,Database!$A$1:$AS$1,),))))</f>
        <v/>
      </c>
      <c r="S320" s="13">
        <f>((((VLOOKUP(B320,Database!$A:$AS,MATCH($S$1,Database!$A$1:$AS$1,),))))-(((VLOOKUP(EDATE(B320,-12),Database!$A:$AS,MATCH($S$1,Database!$A$1:$AS$1,),)))))/(((VLOOKUP(EDATE(B320,-12),Database!$A:$AS,MATCH($S$1,Database!$A$1:$AS$1,),))))</f>
        <v/>
      </c>
      <c r="T320" s="13">
        <f>((((VLOOKUP(B320,Database!$A:$AS,MATCH($T$1,Database!$A$1:$AS$1,),))))-(((VLOOKUP(EDATE(B320,-12),Database!$A:$AS,MATCH($T$1,Database!$A$1:$AS$1,),)))))/(((VLOOKUP(EDATE(B320,-12),Database!$A:$AS,MATCH($T$1,Database!$A$1:$AS$1,),))))</f>
        <v/>
      </c>
      <c r="U320" s="13">
        <f>((((VLOOKUP(B320,Database!$A:$AS,MATCH($U$1,Database!$A$1:$AS$1,),))))-(((VLOOKUP(EDATE(B320,-12),Database!$A:$AS,MATCH($U$1,Database!$A$1:$AS$1,),)))))/(((VLOOKUP(EDATE(B320,-12),Database!$A:$AS,MATCH($U$1,Database!$A$1:$AS$1,),))))</f>
        <v/>
      </c>
      <c r="V320" s="13">
        <f>((((VLOOKUP(B320,Database!$A:$AS,MATCH($V$1,Database!$A$1:$AS$1,),))))-(((VLOOKUP(EDATE(B320,-12),Database!$A:$AS,MATCH($V$1,Database!$A$1:$AS$1,),)))))/(((VLOOKUP(EDATE(B320,-12),Database!$A:$AS,MATCH($V$1,Database!$A$1:$AS$1,),))))</f>
        <v/>
      </c>
    </row>
    <row r="321" customFormat="1" s="94">
      <c r="A321" s="44" t="n"/>
      <c r="B321" s="85" t="n">
        <v>41913</v>
      </c>
      <c r="C321" s="13">
        <f>((((VLOOKUP(B321,Database!$A:$AS,MATCH($C$1,Database!$A$1:$AS$1,),))))-(((VLOOKUP(EDATE(B321,-12),Database!$A:$AS,MATCH($C$1,Database!$A$1:$AS$1,),)))))/(((VLOOKUP(EDATE(B321,-12),Database!$A:$AS,MATCH($C$1,Database!$A$1:$AS$1,),))))</f>
        <v/>
      </c>
      <c r="D321" s="13">
        <f>((((VLOOKUP(B321,Database!$A:$AS,MATCH($D$1,Database!$A$1:$AS$1,),))))-(((VLOOKUP(EDATE(B321,-12),Database!$A:$AS,MATCH($D$1,Database!$A$1:$AS$1,),)))))/(((VLOOKUP(EDATE(B321,-12),Database!$A:$AS,MATCH($D$1,Database!$A$1:$AS$1,),))))</f>
        <v/>
      </c>
      <c r="E321" s="13">
        <f>((((VLOOKUP(B321,Database!$A:$AS,MATCH($E$1,Database!$A$1:$AS$1,),))))-(((VLOOKUP(EDATE(B321,-12),Database!$A:$AS,MATCH($E$1,Database!$A$1:$AS$1,),)))))/(((VLOOKUP(EDATE(B321,-12),Database!$A:$AS,MATCH($E$1,Database!$A$1:$AS$1,),))))</f>
        <v/>
      </c>
      <c r="F321" s="13">
        <f>((((VLOOKUP(B321,Database!$A:$AS,MATCH($F$1,Database!$A$1:$AS$1,),))))-(((VLOOKUP(EDATE(B321,-12),Database!$A:$AS,MATCH($F$1,Database!$A$1:$AS$1,),)))))/(((VLOOKUP(EDATE(B321,-12),Database!$A:$AS,MATCH($F$1,Database!$A$1:$AS$1,),))))</f>
        <v/>
      </c>
      <c r="G321" s="13">
        <f>((((VLOOKUP(B321,Database!$A:$AS,MATCH($G$1,Database!$A$1:$AS$1,),))))-(((VLOOKUP(EDATE(B321,-12),Database!$A:$AS,MATCH($G$1,Database!$A$1:$AS$1,),)))))/(((VLOOKUP(EDATE(B321,-12),Database!$A:$AS,MATCH($G$1,Database!$A$1:$AS$1,),))))</f>
        <v/>
      </c>
      <c r="H321" s="13">
        <f>((((VLOOKUP(B321,Database!$A:$AS,MATCH($H$1,Database!$A$1:$AS$1,),))))-(((VLOOKUP(EDATE(B321,-12),Database!$A:$AS,MATCH($H$1,Database!$A$1:$AS$1,),)))))/(((VLOOKUP(EDATE(B321,-12),Database!$A:$AS,MATCH($H$1,Database!$A$1:$AS$1,),))))</f>
        <v/>
      </c>
      <c r="I321" s="13">
        <f>((((VLOOKUP(B321,Database!$A:$AS,MATCH($I$1,Database!$A$1:$AS$1,),))))-(((VLOOKUP(EDATE(B321,-12),Database!$A:$AS,MATCH($I$1,Database!$A$1:$AS$1,),)))))/(((VLOOKUP(EDATE(B321,-12),Database!$A:$AS,MATCH($I$1,Database!$A$1:$AS$1,),))))</f>
        <v/>
      </c>
      <c r="J321" s="13">
        <f>((((VLOOKUP(B321,Database!$A:$AS,MATCH($J$1,Database!$A$1:$AS$1,),))))-(((VLOOKUP(EDATE(B321,-12),Database!$A:$AS,MATCH($J$1,Database!$A$1:$AS$1,),)))))/(((VLOOKUP(EDATE(B321,-12),Database!$A:$AS,MATCH($J$1,Database!$A$1:$AS$1,),))))</f>
        <v/>
      </c>
      <c r="K321" s="13">
        <f>((((VLOOKUP(B321,Database!$A:$AS,MATCH($K$1,Database!$A$1:$AS$1,),))))-(((VLOOKUP(EDATE(B321,-12),Database!$A:$AS,MATCH($K$1,Database!$A$1:$AS$1,),)))))/(((VLOOKUP(EDATE(B321,-12),Database!$A:$AS,MATCH($K$1,Database!$A$1:$AS$1,),))))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((((VLOOKUP(B321,Database!$A:$AS,MATCH($O$1,Database!$A$1:$AS$1,),))))-(((VLOOKUP(EDATE(B321,-12),Database!$A:$AS,MATCH($O$1,Database!$A$1:$AS$1,),)))))/(((VLOOKUP(EDATE(B321,-12),Database!$A:$AS,MATCH($O$1,Database!$A$1:$AS$1,),))))</f>
        <v/>
      </c>
      <c r="P321" s="13">
        <f>((((VLOOKUP(B321,Database!$A:$AS,MATCH($P$1,Database!$A$1:$AS$1,),))))-(((VLOOKUP(EDATE(B321,-12),Database!$A:$AS,MATCH($P$1,Database!$A$1:$AS$1,),)))))/(((VLOOKUP(EDATE(B321,-12),Database!$A:$AS,MATCH($P$1,Database!$A$1:$AS$1,),))))</f>
        <v/>
      </c>
      <c r="Q321" s="13">
        <f>((((VLOOKUP(B321,Database!$A:$AS,MATCH($Q$1,Database!$A$1:$AS$1,),))))-(((VLOOKUP(EDATE(B321,-12),Database!$A:$AS,MATCH($Q$1,Database!$A$1:$AS$1,),)))))/(((VLOOKUP(EDATE(B321,-12),Database!$A:$AS,MATCH($Q$1,Database!$A$1:$AS$1,),))))</f>
        <v/>
      </c>
      <c r="R321" s="13">
        <f>((((VLOOKUP(B321,Database!$A:$AS,MATCH($R$1,Database!$A$1:$AS$1,),))))-(((VLOOKUP(EDATE(B321,-12),Database!$A:$AS,MATCH($R$1,Database!$A$1:$AS$1,),)))))/(((VLOOKUP(EDATE(B321,-12),Database!$A:$AS,MATCH($R$1,Database!$A$1:$AS$1,),))))</f>
        <v/>
      </c>
      <c r="S321" s="13">
        <f>((((VLOOKUP(B321,Database!$A:$AS,MATCH($S$1,Database!$A$1:$AS$1,),))))-(((VLOOKUP(EDATE(B321,-12),Database!$A:$AS,MATCH($S$1,Database!$A$1:$AS$1,),)))))/(((VLOOKUP(EDATE(B321,-12),Database!$A:$AS,MATCH($S$1,Database!$A$1:$AS$1,),))))</f>
        <v/>
      </c>
      <c r="T321" s="13">
        <f>((((VLOOKUP(B321,Database!$A:$AS,MATCH($T$1,Database!$A$1:$AS$1,),))))-(((VLOOKUP(EDATE(B321,-12),Database!$A:$AS,MATCH($T$1,Database!$A$1:$AS$1,),)))))/(((VLOOKUP(EDATE(B321,-12),Database!$A:$AS,MATCH($T$1,Database!$A$1:$AS$1,),))))</f>
        <v/>
      </c>
      <c r="U321" s="13">
        <f>((((VLOOKUP(B321,Database!$A:$AS,MATCH($U$1,Database!$A$1:$AS$1,),))))-(((VLOOKUP(EDATE(B321,-12),Database!$A:$AS,MATCH($U$1,Database!$A$1:$AS$1,),)))))/(((VLOOKUP(EDATE(B321,-12),Database!$A:$AS,MATCH($U$1,Database!$A$1:$AS$1,),))))</f>
        <v/>
      </c>
      <c r="V321" s="13">
        <f>((((VLOOKUP(B321,Database!$A:$AS,MATCH($V$1,Database!$A$1:$AS$1,),))))-(((VLOOKUP(EDATE(B321,-12),Database!$A:$AS,MATCH($V$1,Database!$A$1:$AS$1,),)))))/(((VLOOKUP(EDATE(B321,-12),Database!$A:$AS,MATCH($V$1,Database!$A$1:$AS$1,),))))</f>
        <v/>
      </c>
    </row>
    <row r="322" customFormat="1" s="94">
      <c r="A322" s="44" t="n"/>
      <c r="B322" s="85" t="n">
        <v>41944</v>
      </c>
      <c r="C322" s="13">
        <f>((((VLOOKUP(B322,Database!$A:$AS,MATCH($C$1,Database!$A$1:$AS$1,),))))-(((VLOOKUP(EDATE(B322,-12),Database!$A:$AS,MATCH($C$1,Database!$A$1:$AS$1,),)))))/(((VLOOKUP(EDATE(B322,-12),Database!$A:$AS,MATCH($C$1,Database!$A$1:$AS$1,),))))</f>
        <v/>
      </c>
      <c r="D322" s="13">
        <f>((((VLOOKUP(B322,Database!$A:$AS,MATCH($D$1,Database!$A$1:$AS$1,),))))-(((VLOOKUP(EDATE(B322,-12),Database!$A:$AS,MATCH($D$1,Database!$A$1:$AS$1,),)))))/(((VLOOKUP(EDATE(B322,-12),Database!$A:$AS,MATCH($D$1,Database!$A$1:$AS$1,),))))</f>
        <v/>
      </c>
      <c r="E322" s="13">
        <f>((((VLOOKUP(B322,Database!$A:$AS,MATCH($E$1,Database!$A$1:$AS$1,),))))-(((VLOOKUP(EDATE(B322,-12),Database!$A:$AS,MATCH($E$1,Database!$A$1:$AS$1,),)))))/(((VLOOKUP(EDATE(B322,-12),Database!$A:$AS,MATCH($E$1,Database!$A$1:$AS$1,),))))</f>
        <v/>
      </c>
      <c r="F322" s="13">
        <f>((((VLOOKUP(B322,Database!$A:$AS,MATCH($F$1,Database!$A$1:$AS$1,),))))-(((VLOOKUP(EDATE(B322,-12),Database!$A:$AS,MATCH($F$1,Database!$A$1:$AS$1,),)))))/(((VLOOKUP(EDATE(B322,-12),Database!$A:$AS,MATCH($F$1,Database!$A$1:$AS$1,),))))</f>
        <v/>
      </c>
      <c r="G322" s="13">
        <f>((((VLOOKUP(B322,Database!$A:$AS,MATCH($G$1,Database!$A$1:$AS$1,),))))-(((VLOOKUP(EDATE(B322,-12),Database!$A:$AS,MATCH($G$1,Database!$A$1:$AS$1,),)))))/(((VLOOKUP(EDATE(B322,-12),Database!$A:$AS,MATCH($G$1,Database!$A$1:$AS$1,),))))</f>
        <v/>
      </c>
      <c r="H322" s="13">
        <f>((((VLOOKUP(B322,Database!$A:$AS,MATCH($H$1,Database!$A$1:$AS$1,),))))-(((VLOOKUP(EDATE(B322,-12),Database!$A:$AS,MATCH($H$1,Database!$A$1:$AS$1,),)))))/(((VLOOKUP(EDATE(B322,-12),Database!$A:$AS,MATCH($H$1,Database!$A$1:$AS$1,),))))</f>
        <v/>
      </c>
      <c r="I322" s="13">
        <f>((((VLOOKUP(B322,Database!$A:$AS,MATCH($I$1,Database!$A$1:$AS$1,),))))-(((VLOOKUP(EDATE(B322,-12),Database!$A:$AS,MATCH($I$1,Database!$A$1:$AS$1,),)))))/(((VLOOKUP(EDATE(B322,-12),Database!$A:$AS,MATCH($I$1,Database!$A$1:$AS$1,),))))</f>
        <v/>
      </c>
      <c r="J322" s="13">
        <f>((((VLOOKUP(B322,Database!$A:$AS,MATCH($J$1,Database!$A$1:$AS$1,),))))-(((VLOOKUP(EDATE(B322,-12),Database!$A:$AS,MATCH($J$1,Database!$A$1:$AS$1,),)))))/(((VLOOKUP(EDATE(B322,-12),Database!$A:$AS,MATCH($J$1,Database!$A$1:$AS$1,),))))</f>
        <v/>
      </c>
      <c r="K322" s="13">
        <f>((((VLOOKUP(B322,Database!$A:$AS,MATCH($K$1,Database!$A$1:$AS$1,),))))-(((VLOOKUP(EDATE(B322,-12),Database!$A:$AS,MATCH($K$1,Database!$A$1:$AS$1,),)))))/(((VLOOKUP(EDATE(B322,-12),Database!$A:$AS,MATCH($K$1,Database!$A$1:$AS$1,),))))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((((VLOOKUP(B322,Database!$A:$AS,MATCH($O$1,Database!$A$1:$AS$1,),))))-(((VLOOKUP(EDATE(B322,-12),Database!$A:$AS,MATCH($O$1,Database!$A$1:$AS$1,),)))))/(((VLOOKUP(EDATE(B322,-12),Database!$A:$AS,MATCH($O$1,Database!$A$1:$AS$1,),))))</f>
        <v/>
      </c>
      <c r="P322" s="13">
        <f>((((VLOOKUP(B322,Database!$A:$AS,MATCH($P$1,Database!$A$1:$AS$1,),))))-(((VLOOKUP(EDATE(B322,-12),Database!$A:$AS,MATCH($P$1,Database!$A$1:$AS$1,),)))))/(((VLOOKUP(EDATE(B322,-12),Database!$A:$AS,MATCH($P$1,Database!$A$1:$AS$1,),))))</f>
        <v/>
      </c>
      <c r="Q322" s="13">
        <f>((((VLOOKUP(B322,Database!$A:$AS,MATCH($Q$1,Database!$A$1:$AS$1,),))))-(((VLOOKUP(EDATE(B322,-12),Database!$A:$AS,MATCH($Q$1,Database!$A$1:$AS$1,),)))))/(((VLOOKUP(EDATE(B322,-12),Database!$A:$AS,MATCH($Q$1,Database!$A$1:$AS$1,),))))</f>
        <v/>
      </c>
      <c r="R322" s="13">
        <f>((((VLOOKUP(B322,Database!$A:$AS,MATCH($R$1,Database!$A$1:$AS$1,),))))-(((VLOOKUP(EDATE(B322,-12),Database!$A:$AS,MATCH($R$1,Database!$A$1:$AS$1,),)))))/(((VLOOKUP(EDATE(B322,-12),Database!$A:$AS,MATCH($R$1,Database!$A$1:$AS$1,),))))</f>
        <v/>
      </c>
      <c r="S322" s="13">
        <f>((((VLOOKUP(B322,Database!$A:$AS,MATCH($S$1,Database!$A$1:$AS$1,),))))-(((VLOOKUP(EDATE(B322,-12),Database!$A:$AS,MATCH($S$1,Database!$A$1:$AS$1,),)))))/(((VLOOKUP(EDATE(B322,-12),Database!$A:$AS,MATCH($S$1,Database!$A$1:$AS$1,),))))</f>
        <v/>
      </c>
      <c r="T322" s="13">
        <f>((((VLOOKUP(B322,Database!$A:$AS,MATCH($T$1,Database!$A$1:$AS$1,),))))-(((VLOOKUP(EDATE(B322,-12),Database!$A:$AS,MATCH($T$1,Database!$A$1:$AS$1,),)))))/(((VLOOKUP(EDATE(B322,-12),Database!$A:$AS,MATCH($T$1,Database!$A$1:$AS$1,),))))</f>
        <v/>
      </c>
      <c r="U322" s="13">
        <f>((((VLOOKUP(B322,Database!$A:$AS,MATCH($U$1,Database!$A$1:$AS$1,),))))-(((VLOOKUP(EDATE(B322,-12),Database!$A:$AS,MATCH($U$1,Database!$A$1:$AS$1,),)))))/(((VLOOKUP(EDATE(B322,-12),Database!$A:$AS,MATCH($U$1,Database!$A$1:$AS$1,),))))</f>
        <v/>
      </c>
      <c r="V322" s="13">
        <f>((((VLOOKUP(B322,Database!$A:$AS,MATCH($V$1,Database!$A$1:$AS$1,),))))-(((VLOOKUP(EDATE(B322,-12),Database!$A:$AS,MATCH($V$1,Database!$A$1:$AS$1,),)))))/(((VLOOKUP(EDATE(B322,-12),Database!$A:$AS,MATCH($V$1,Database!$A$1:$AS$1,),))))</f>
        <v/>
      </c>
    </row>
    <row r="323" customFormat="1" s="94">
      <c r="A323" s="44" t="n"/>
      <c r="B323" s="85" t="n">
        <v>41974</v>
      </c>
      <c r="C323" s="13">
        <f>((((VLOOKUP(B323,Database!$A:$AS,MATCH($C$1,Database!$A$1:$AS$1,),))))-(((VLOOKUP(EDATE(B323,-12),Database!$A:$AS,MATCH($C$1,Database!$A$1:$AS$1,),)))))/(((VLOOKUP(EDATE(B323,-12),Database!$A:$AS,MATCH($C$1,Database!$A$1:$AS$1,),))))</f>
        <v/>
      </c>
      <c r="D323" s="13">
        <f>((((VLOOKUP(B323,Database!$A:$AS,MATCH($D$1,Database!$A$1:$AS$1,),))))-(((VLOOKUP(EDATE(B323,-12),Database!$A:$AS,MATCH($D$1,Database!$A$1:$AS$1,),)))))/(((VLOOKUP(EDATE(B323,-12),Database!$A:$AS,MATCH($D$1,Database!$A$1:$AS$1,),))))</f>
        <v/>
      </c>
      <c r="E323" s="13">
        <f>((((VLOOKUP(B323,Database!$A:$AS,MATCH($E$1,Database!$A$1:$AS$1,),))))-(((VLOOKUP(EDATE(B323,-12),Database!$A:$AS,MATCH($E$1,Database!$A$1:$AS$1,),)))))/(((VLOOKUP(EDATE(B323,-12),Database!$A:$AS,MATCH($E$1,Database!$A$1:$AS$1,),))))</f>
        <v/>
      </c>
      <c r="F323" s="13">
        <f>((((VLOOKUP(B323,Database!$A:$AS,MATCH($F$1,Database!$A$1:$AS$1,),))))-(((VLOOKUP(EDATE(B323,-12),Database!$A:$AS,MATCH($F$1,Database!$A$1:$AS$1,),)))))/(((VLOOKUP(EDATE(B323,-12),Database!$A:$AS,MATCH($F$1,Database!$A$1:$AS$1,),))))</f>
        <v/>
      </c>
      <c r="G323" s="13">
        <f>((((VLOOKUP(B323,Database!$A:$AS,MATCH($G$1,Database!$A$1:$AS$1,),))))-(((VLOOKUP(EDATE(B323,-12),Database!$A:$AS,MATCH($G$1,Database!$A$1:$AS$1,),)))))/(((VLOOKUP(EDATE(B323,-12),Database!$A:$AS,MATCH($G$1,Database!$A$1:$AS$1,),))))</f>
        <v/>
      </c>
      <c r="H323" s="13">
        <f>((((VLOOKUP(B323,Database!$A:$AS,MATCH($H$1,Database!$A$1:$AS$1,),))))-(((VLOOKUP(EDATE(B323,-12),Database!$A:$AS,MATCH($H$1,Database!$A$1:$AS$1,),)))))/(((VLOOKUP(EDATE(B323,-12),Database!$A:$AS,MATCH($H$1,Database!$A$1:$AS$1,),))))</f>
        <v/>
      </c>
      <c r="I323" s="13">
        <f>((((VLOOKUP(B323,Database!$A:$AS,MATCH($I$1,Database!$A$1:$AS$1,),))))-(((VLOOKUP(EDATE(B323,-12),Database!$A:$AS,MATCH($I$1,Database!$A$1:$AS$1,),)))))/(((VLOOKUP(EDATE(B323,-12),Database!$A:$AS,MATCH($I$1,Database!$A$1:$AS$1,),))))</f>
        <v/>
      </c>
      <c r="J323" s="13">
        <f>((((VLOOKUP(B323,Database!$A:$AS,MATCH($J$1,Database!$A$1:$AS$1,),))))-(((VLOOKUP(EDATE(B323,-12),Database!$A:$AS,MATCH($J$1,Database!$A$1:$AS$1,),)))))/(((VLOOKUP(EDATE(B323,-12),Database!$A:$AS,MATCH($J$1,Database!$A$1:$AS$1,),))))</f>
        <v/>
      </c>
      <c r="K323" s="13">
        <f>((((VLOOKUP(B323,Database!$A:$AS,MATCH($K$1,Database!$A$1:$AS$1,),))))-(((VLOOKUP(EDATE(B323,-12),Database!$A:$AS,MATCH($K$1,Database!$A$1:$AS$1,),)))))/(((VLOOKUP(EDATE(B323,-12),Database!$A:$AS,MATCH($K$1,Database!$A$1:$AS$1,),))))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((((VLOOKUP(B323,Database!$A:$AS,MATCH($O$1,Database!$A$1:$AS$1,),))))-(((VLOOKUP(EDATE(B323,-12),Database!$A:$AS,MATCH($O$1,Database!$A$1:$AS$1,),)))))/(((VLOOKUP(EDATE(B323,-12),Database!$A:$AS,MATCH($O$1,Database!$A$1:$AS$1,),))))</f>
        <v/>
      </c>
      <c r="P323" s="13">
        <f>((((VLOOKUP(B323,Database!$A:$AS,MATCH($P$1,Database!$A$1:$AS$1,),))))-(((VLOOKUP(EDATE(B323,-12),Database!$A:$AS,MATCH($P$1,Database!$A$1:$AS$1,),)))))/(((VLOOKUP(EDATE(B323,-12),Database!$A:$AS,MATCH($P$1,Database!$A$1:$AS$1,),))))</f>
        <v/>
      </c>
      <c r="Q323" s="13">
        <f>((((VLOOKUP(B323,Database!$A:$AS,MATCH($Q$1,Database!$A$1:$AS$1,),))))-(((VLOOKUP(EDATE(B323,-12),Database!$A:$AS,MATCH($Q$1,Database!$A$1:$AS$1,),)))))/(((VLOOKUP(EDATE(B323,-12),Database!$A:$AS,MATCH($Q$1,Database!$A$1:$AS$1,),))))</f>
        <v/>
      </c>
      <c r="R323" s="13">
        <f>((((VLOOKUP(B323,Database!$A:$AS,MATCH($R$1,Database!$A$1:$AS$1,),))))-(((VLOOKUP(EDATE(B323,-12),Database!$A:$AS,MATCH($R$1,Database!$A$1:$AS$1,),)))))/(((VLOOKUP(EDATE(B323,-12),Database!$A:$AS,MATCH($R$1,Database!$A$1:$AS$1,),))))</f>
        <v/>
      </c>
      <c r="S323" s="13">
        <f>((((VLOOKUP(B323,Database!$A:$AS,MATCH($S$1,Database!$A$1:$AS$1,),))))-(((VLOOKUP(EDATE(B323,-12),Database!$A:$AS,MATCH($S$1,Database!$A$1:$AS$1,),)))))/(((VLOOKUP(EDATE(B323,-12),Database!$A:$AS,MATCH($S$1,Database!$A$1:$AS$1,),))))</f>
        <v/>
      </c>
      <c r="T323" s="13">
        <f>((((VLOOKUP(B323,Database!$A:$AS,MATCH($T$1,Database!$A$1:$AS$1,),))))-(((VLOOKUP(EDATE(B323,-12),Database!$A:$AS,MATCH($T$1,Database!$A$1:$AS$1,),)))))/(((VLOOKUP(EDATE(B323,-12),Database!$A:$AS,MATCH($T$1,Database!$A$1:$AS$1,),))))</f>
        <v/>
      </c>
      <c r="U323" s="13">
        <f>((((VLOOKUP(B323,Database!$A:$AS,MATCH($U$1,Database!$A$1:$AS$1,),))))-(((VLOOKUP(EDATE(B323,-12),Database!$A:$AS,MATCH($U$1,Database!$A$1:$AS$1,),)))))/(((VLOOKUP(EDATE(B323,-12),Database!$A:$AS,MATCH($U$1,Database!$A$1:$AS$1,),))))</f>
        <v/>
      </c>
      <c r="V323" s="13">
        <f>((((VLOOKUP(B323,Database!$A:$AS,MATCH($V$1,Database!$A$1:$AS$1,),))))-(((VLOOKUP(EDATE(B323,-12),Database!$A:$AS,MATCH($V$1,Database!$A$1:$AS$1,),)))))/(((VLOOKUP(EDATE(B323,-12),Database!$A:$AS,MATCH($V$1,Database!$A$1:$AS$1,),))))</f>
        <v/>
      </c>
    </row>
    <row r="324" customFormat="1" s="94">
      <c r="A324" s="44" t="n"/>
      <c r="B324" s="85" t="n">
        <v>42005</v>
      </c>
      <c r="C324" s="13">
        <f>((((VLOOKUP(B324,Database!$A:$AS,MATCH($C$1,Database!$A$1:$AS$1,),))))-(((VLOOKUP(EDATE(B324,-12),Database!$A:$AS,MATCH($C$1,Database!$A$1:$AS$1,),)))))/(((VLOOKUP(EDATE(B324,-12),Database!$A:$AS,MATCH($C$1,Database!$A$1:$AS$1,),))))</f>
        <v/>
      </c>
      <c r="D324" s="13">
        <f>((((VLOOKUP(B324,Database!$A:$AS,MATCH($D$1,Database!$A$1:$AS$1,),))))-(((VLOOKUP(EDATE(B324,-12),Database!$A:$AS,MATCH($D$1,Database!$A$1:$AS$1,),)))))/(((VLOOKUP(EDATE(B324,-12),Database!$A:$AS,MATCH($D$1,Database!$A$1:$AS$1,),))))</f>
        <v/>
      </c>
      <c r="E324" s="13">
        <f>((((VLOOKUP(B324,Database!$A:$AS,MATCH($E$1,Database!$A$1:$AS$1,),))))-(((VLOOKUP(EDATE(B324,-12),Database!$A:$AS,MATCH($E$1,Database!$A$1:$AS$1,),)))))/(((VLOOKUP(EDATE(B324,-12),Database!$A:$AS,MATCH($E$1,Database!$A$1:$AS$1,),))))</f>
        <v/>
      </c>
      <c r="F324" s="13">
        <f>((((VLOOKUP(B324,Database!$A:$AS,MATCH($F$1,Database!$A$1:$AS$1,),))))-(((VLOOKUP(EDATE(B324,-12),Database!$A:$AS,MATCH($F$1,Database!$A$1:$AS$1,),)))))/(((VLOOKUP(EDATE(B324,-12),Database!$A:$AS,MATCH($F$1,Database!$A$1:$AS$1,),))))</f>
        <v/>
      </c>
      <c r="G324" s="13">
        <f>((((VLOOKUP(B324,Database!$A:$AS,MATCH($G$1,Database!$A$1:$AS$1,),))))-(((VLOOKUP(EDATE(B324,-12),Database!$A:$AS,MATCH($G$1,Database!$A$1:$AS$1,),)))))/(((VLOOKUP(EDATE(B324,-12),Database!$A:$AS,MATCH($G$1,Database!$A$1:$AS$1,),))))</f>
        <v/>
      </c>
      <c r="H324" s="13">
        <f>((((VLOOKUP(B324,Database!$A:$AS,MATCH($H$1,Database!$A$1:$AS$1,),))))-(((VLOOKUP(EDATE(B324,-12),Database!$A:$AS,MATCH($H$1,Database!$A$1:$AS$1,),)))))/(((VLOOKUP(EDATE(B324,-12),Database!$A:$AS,MATCH($H$1,Database!$A$1:$AS$1,),))))</f>
        <v/>
      </c>
      <c r="I324" s="13">
        <f>((((VLOOKUP(B324,Database!$A:$AS,MATCH($I$1,Database!$A$1:$AS$1,),))))-(((VLOOKUP(EDATE(B324,-12),Database!$A:$AS,MATCH($I$1,Database!$A$1:$AS$1,),)))))/(((VLOOKUP(EDATE(B324,-12),Database!$A:$AS,MATCH($I$1,Database!$A$1:$AS$1,),))))</f>
        <v/>
      </c>
      <c r="J324" s="13">
        <f>((((VLOOKUP(B324,Database!$A:$AS,MATCH($J$1,Database!$A$1:$AS$1,),))))-(((VLOOKUP(EDATE(B324,-12),Database!$A:$AS,MATCH($J$1,Database!$A$1:$AS$1,),)))))/(((VLOOKUP(EDATE(B324,-12),Database!$A:$AS,MATCH($J$1,Database!$A$1:$AS$1,),))))</f>
        <v/>
      </c>
      <c r="K324" s="13">
        <f>((((VLOOKUP(B324,Database!$A:$AS,MATCH($K$1,Database!$A$1:$AS$1,),))))-(((VLOOKUP(EDATE(B324,-12),Database!$A:$AS,MATCH($K$1,Database!$A$1:$AS$1,),)))))/(((VLOOKUP(EDATE(B324,-12),Database!$A:$AS,MATCH($K$1,Database!$A$1:$AS$1,),))))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((((VLOOKUP(B324,Database!$A:$AS,MATCH($O$1,Database!$A$1:$AS$1,),))))-(((VLOOKUP(EDATE(B324,-12),Database!$A:$AS,MATCH($O$1,Database!$A$1:$AS$1,),)))))/(((VLOOKUP(EDATE(B324,-12),Database!$A:$AS,MATCH($O$1,Database!$A$1:$AS$1,),))))</f>
        <v/>
      </c>
      <c r="P324" s="13">
        <f>((((VLOOKUP(B324,Database!$A:$AS,MATCH($P$1,Database!$A$1:$AS$1,),))))-(((VLOOKUP(EDATE(B324,-12),Database!$A:$AS,MATCH($P$1,Database!$A$1:$AS$1,),)))))/(((VLOOKUP(EDATE(B324,-12),Database!$A:$AS,MATCH($P$1,Database!$A$1:$AS$1,),))))</f>
        <v/>
      </c>
      <c r="Q324" s="13">
        <f>((((VLOOKUP(B324,Database!$A:$AS,MATCH($Q$1,Database!$A$1:$AS$1,),))))-(((VLOOKUP(EDATE(B324,-12),Database!$A:$AS,MATCH($Q$1,Database!$A$1:$AS$1,),)))))/(((VLOOKUP(EDATE(B324,-12),Database!$A:$AS,MATCH($Q$1,Database!$A$1:$AS$1,),))))</f>
        <v/>
      </c>
      <c r="R324" s="13">
        <f>((((VLOOKUP(B324,Database!$A:$AS,MATCH($R$1,Database!$A$1:$AS$1,),))))-(((VLOOKUP(EDATE(B324,-12),Database!$A:$AS,MATCH($R$1,Database!$A$1:$AS$1,),)))))/(((VLOOKUP(EDATE(B324,-12),Database!$A:$AS,MATCH($R$1,Database!$A$1:$AS$1,),))))</f>
        <v/>
      </c>
      <c r="S324" s="13">
        <f>((((VLOOKUP(B324,Database!$A:$AS,MATCH($S$1,Database!$A$1:$AS$1,),))))-(((VLOOKUP(EDATE(B324,-12),Database!$A:$AS,MATCH($S$1,Database!$A$1:$AS$1,),)))))/(((VLOOKUP(EDATE(B324,-12),Database!$A:$AS,MATCH($S$1,Database!$A$1:$AS$1,),))))</f>
        <v/>
      </c>
      <c r="T324" s="13">
        <f>((((VLOOKUP(B324,Database!$A:$AS,MATCH($T$1,Database!$A$1:$AS$1,),))))-(((VLOOKUP(EDATE(B324,-12),Database!$A:$AS,MATCH($T$1,Database!$A$1:$AS$1,),)))))/(((VLOOKUP(EDATE(B324,-12),Database!$A:$AS,MATCH($T$1,Database!$A$1:$AS$1,),))))</f>
        <v/>
      </c>
      <c r="U324" s="13">
        <f>((((VLOOKUP(B324,Database!$A:$AS,MATCH($U$1,Database!$A$1:$AS$1,),))))-(((VLOOKUP(EDATE(B324,-12),Database!$A:$AS,MATCH($U$1,Database!$A$1:$AS$1,),)))))/(((VLOOKUP(EDATE(B324,-12),Database!$A:$AS,MATCH($U$1,Database!$A$1:$AS$1,),))))</f>
        <v/>
      </c>
      <c r="V324" s="13">
        <f>((((VLOOKUP(B324,Database!$A:$AS,MATCH($V$1,Database!$A$1:$AS$1,),))))-(((VLOOKUP(EDATE(B324,-12),Database!$A:$AS,MATCH($V$1,Database!$A$1:$AS$1,),)))))/(((VLOOKUP(EDATE(B324,-12),Database!$A:$AS,MATCH($V$1,Database!$A$1:$AS$1,),))))</f>
        <v/>
      </c>
    </row>
    <row r="325" customFormat="1" s="94">
      <c r="A325" s="44" t="n"/>
      <c r="B325" s="85" t="n">
        <v>42036</v>
      </c>
      <c r="C325" s="13">
        <f>((((VLOOKUP(B325,Database!$A:$AS,MATCH($C$1,Database!$A$1:$AS$1,),))))-(((VLOOKUP(EDATE(B325,-12),Database!$A:$AS,MATCH($C$1,Database!$A$1:$AS$1,),)))))/(((VLOOKUP(EDATE(B325,-12),Database!$A:$AS,MATCH($C$1,Database!$A$1:$AS$1,),))))</f>
        <v/>
      </c>
      <c r="D325" s="13">
        <f>((((VLOOKUP(B325,Database!$A:$AS,MATCH($D$1,Database!$A$1:$AS$1,),))))-(((VLOOKUP(EDATE(B325,-12),Database!$A:$AS,MATCH($D$1,Database!$A$1:$AS$1,),)))))/(((VLOOKUP(EDATE(B325,-12),Database!$A:$AS,MATCH($D$1,Database!$A$1:$AS$1,),))))</f>
        <v/>
      </c>
      <c r="E325" s="13">
        <f>((((VLOOKUP(B325,Database!$A:$AS,MATCH($E$1,Database!$A$1:$AS$1,),))))-(((VLOOKUP(EDATE(B325,-12),Database!$A:$AS,MATCH($E$1,Database!$A$1:$AS$1,),)))))/(((VLOOKUP(EDATE(B325,-12),Database!$A:$AS,MATCH($E$1,Database!$A$1:$AS$1,),))))</f>
        <v/>
      </c>
      <c r="F325" s="13">
        <f>((((VLOOKUP(B325,Database!$A:$AS,MATCH($F$1,Database!$A$1:$AS$1,),))))-(((VLOOKUP(EDATE(B325,-12),Database!$A:$AS,MATCH($F$1,Database!$A$1:$AS$1,),)))))/(((VLOOKUP(EDATE(B325,-12),Database!$A:$AS,MATCH($F$1,Database!$A$1:$AS$1,),))))</f>
        <v/>
      </c>
      <c r="G325" s="13">
        <f>((((VLOOKUP(B325,Database!$A:$AS,MATCH($G$1,Database!$A$1:$AS$1,),))))-(((VLOOKUP(EDATE(B325,-12),Database!$A:$AS,MATCH($G$1,Database!$A$1:$AS$1,),)))))/(((VLOOKUP(EDATE(B325,-12),Database!$A:$AS,MATCH($G$1,Database!$A$1:$AS$1,),))))</f>
        <v/>
      </c>
      <c r="H325" s="13">
        <f>((((VLOOKUP(B325,Database!$A:$AS,MATCH($H$1,Database!$A$1:$AS$1,),))))-(((VLOOKUP(EDATE(B325,-12),Database!$A:$AS,MATCH($H$1,Database!$A$1:$AS$1,),)))))/(((VLOOKUP(EDATE(B325,-12),Database!$A:$AS,MATCH($H$1,Database!$A$1:$AS$1,),))))</f>
        <v/>
      </c>
      <c r="I325" s="13">
        <f>((((VLOOKUP(B325,Database!$A:$AS,MATCH($I$1,Database!$A$1:$AS$1,),))))-(((VLOOKUP(EDATE(B325,-12),Database!$A:$AS,MATCH($I$1,Database!$A$1:$AS$1,),)))))/(((VLOOKUP(EDATE(B325,-12),Database!$A:$AS,MATCH($I$1,Database!$A$1:$AS$1,),))))</f>
        <v/>
      </c>
      <c r="J325" s="13">
        <f>((((VLOOKUP(B325,Database!$A:$AS,MATCH($J$1,Database!$A$1:$AS$1,),))))-(((VLOOKUP(EDATE(B325,-12),Database!$A:$AS,MATCH($J$1,Database!$A$1:$AS$1,),)))))/(((VLOOKUP(EDATE(B325,-12),Database!$A:$AS,MATCH($J$1,Database!$A$1:$AS$1,),))))</f>
        <v/>
      </c>
      <c r="K325" s="13">
        <f>((((VLOOKUP(B325,Database!$A:$AS,MATCH($K$1,Database!$A$1:$AS$1,),))))-(((VLOOKUP(EDATE(B325,-12),Database!$A:$AS,MATCH($K$1,Database!$A$1:$AS$1,),)))))/(((VLOOKUP(EDATE(B325,-12),Database!$A:$AS,MATCH($K$1,Database!$A$1:$AS$1,),))))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((((VLOOKUP(B325,Database!$A:$AS,MATCH($O$1,Database!$A$1:$AS$1,),))))-(((VLOOKUP(EDATE(B325,-12),Database!$A:$AS,MATCH($O$1,Database!$A$1:$AS$1,),)))))/(((VLOOKUP(EDATE(B325,-12),Database!$A:$AS,MATCH($O$1,Database!$A$1:$AS$1,),))))</f>
        <v/>
      </c>
      <c r="P325" s="13">
        <f>((((VLOOKUP(B325,Database!$A:$AS,MATCH($P$1,Database!$A$1:$AS$1,),))))-(((VLOOKUP(EDATE(B325,-12),Database!$A:$AS,MATCH($P$1,Database!$A$1:$AS$1,),)))))/(((VLOOKUP(EDATE(B325,-12),Database!$A:$AS,MATCH($P$1,Database!$A$1:$AS$1,),))))</f>
        <v/>
      </c>
      <c r="Q325" s="13">
        <f>((((VLOOKUP(B325,Database!$A:$AS,MATCH($Q$1,Database!$A$1:$AS$1,),))))-(((VLOOKUP(EDATE(B325,-12),Database!$A:$AS,MATCH($Q$1,Database!$A$1:$AS$1,),)))))/(((VLOOKUP(EDATE(B325,-12),Database!$A:$AS,MATCH($Q$1,Database!$A$1:$AS$1,),))))</f>
        <v/>
      </c>
      <c r="R325" s="13">
        <f>((((VLOOKUP(B325,Database!$A:$AS,MATCH($R$1,Database!$A$1:$AS$1,),))))-(((VLOOKUP(EDATE(B325,-12),Database!$A:$AS,MATCH($R$1,Database!$A$1:$AS$1,),)))))/(((VLOOKUP(EDATE(B325,-12),Database!$A:$AS,MATCH($R$1,Database!$A$1:$AS$1,),))))</f>
        <v/>
      </c>
      <c r="S325" s="13">
        <f>((((VLOOKUP(B325,Database!$A:$AS,MATCH($S$1,Database!$A$1:$AS$1,),))))-(((VLOOKUP(EDATE(B325,-12),Database!$A:$AS,MATCH($S$1,Database!$A$1:$AS$1,),)))))/(((VLOOKUP(EDATE(B325,-12),Database!$A:$AS,MATCH($S$1,Database!$A$1:$AS$1,),))))</f>
        <v/>
      </c>
      <c r="T325" s="13">
        <f>((((VLOOKUP(B325,Database!$A:$AS,MATCH($T$1,Database!$A$1:$AS$1,),))))-(((VLOOKUP(EDATE(B325,-12),Database!$A:$AS,MATCH($T$1,Database!$A$1:$AS$1,),)))))/(((VLOOKUP(EDATE(B325,-12),Database!$A:$AS,MATCH($T$1,Database!$A$1:$AS$1,),))))</f>
        <v/>
      </c>
      <c r="U325" s="13">
        <f>((((VLOOKUP(B325,Database!$A:$AS,MATCH($U$1,Database!$A$1:$AS$1,),))))-(((VLOOKUP(EDATE(B325,-12),Database!$A:$AS,MATCH($U$1,Database!$A$1:$AS$1,),)))))/(((VLOOKUP(EDATE(B325,-12),Database!$A:$AS,MATCH($U$1,Database!$A$1:$AS$1,),))))</f>
        <v/>
      </c>
      <c r="V325" s="13">
        <f>((((VLOOKUP(B325,Database!$A:$AS,MATCH($V$1,Database!$A$1:$AS$1,),))))-(((VLOOKUP(EDATE(B325,-12),Database!$A:$AS,MATCH($V$1,Database!$A$1:$AS$1,),)))))/(((VLOOKUP(EDATE(B325,-12),Database!$A:$AS,MATCH($V$1,Database!$A$1:$AS$1,),))))</f>
        <v/>
      </c>
    </row>
    <row r="326" customFormat="1" s="94">
      <c r="A326" s="44" t="n"/>
      <c r="B326" s="85" t="n">
        <v>42064</v>
      </c>
      <c r="C326" s="13">
        <f>((((VLOOKUP(B326,Database!$A:$AS,MATCH($C$1,Database!$A$1:$AS$1,),))))-(((VLOOKUP(EDATE(B326,-12),Database!$A:$AS,MATCH($C$1,Database!$A$1:$AS$1,),)))))/(((VLOOKUP(EDATE(B326,-12),Database!$A:$AS,MATCH($C$1,Database!$A$1:$AS$1,),))))</f>
        <v/>
      </c>
      <c r="D326" s="13">
        <f>((((VLOOKUP(B326,Database!$A:$AS,MATCH($D$1,Database!$A$1:$AS$1,),))))-(((VLOOKUP(EDATE(B326,-12),Database!$A:$AS,MATCH($D$1,Database!$A$1:$AS$1,),)))))/(((VLOOKUP(EDATE(B326,-12),Database!$A:$AS,MATCH($D$1,Database!$A$1:$AS$1,),))))</f>
        <v/>
      </c>
      <c r="E326" s="13">
        <f>((((VLOOKUP(B326,Database!$A:$AS,MATCH($E$1,Database!$A$1:$AS$1,),))))-(((VLOOKUP(EDATE(B326,-12),Database!$A:$AS,MATCH($E$1,Database!$A$1:$AS$1,),)))))/(((VLOOKUP(EDATE(B326,-12),Database!$A:$AS,MATCH($E$1,Database!$A$1:$AS$1,),))))</f>
        <v/>
      </c>
      <c r="F326" s="13">
        <f>((((VLOOKUP(B326,Database!$A:$AS,MATCH($F$1,Database!$A$1:$AS$1,),))))-(((VLOOKUP(EDATE(B326,-12),Database!$A:$AS,MATCH($F$1,Database!$A$1:$AS$1,),)))))/(((VLOOKUP(EDATE(B326,-12),Database!$A:$AS,MATCH($F$1,Database!$A$1:$AS$1,),))))</f>
        <v/>
      </c>
      <c r="G326" s="13">
        <f>((((VLOOKUP(B326,Database!$A:$AS,MATCH($G$1,Database!$A$1:$AS$1,),))))-(((VLOOKUP(EDATE(B326,-12),Database!$A:$AS,MATCH($G$1,Database!$A$1:$AS$1,),)))))/(((VLOOKUP(EDATE(B326,-12),Database!$A:$AS,MATCH($G$1,Database!$A$1:$AS$1,),))))</f>
        <v/>
      </c>
      <c r="H326" s="13">
        <f>((((VLOOKUP(B326,Database!$A:$AS,MATCH($H$1,Database!$A$1:$AS$1,),))))-(((VLOOKUP(EDATE(B326,-12),Database!$A:$AS,MATCH($H$1,Database!$A$1:$AS$1,),)))))/(((VLOOKUP(EDATE(B326,-12),Database!$A:$AS,MATCH($H$1,Database!$A$1:$AS$1,),))))</f>
        <v/>
      </c>
      <c r="I326" s="13">
        <f>((((VLOOKUP(B326,Database!$A:$AS,MATCH($I$1,Database!$A$1:$AS$1,),))))-(((VLOOKUP(EDATE(B326,-12),Database!$A:$AS,MATCH($I$1,Database!$A$1:$AS$1,),)))))/(((VLOOKUP(EDATE(B326,-12),Database!$A:$AS,MATCH($I$1,Database!$A$1:$AS$1,),))))</f>
        <v/>
      </c>
      <c r="J326" s="13">
        <f>((((VLOOKUP(B326,Database!$A:$AS,MATCH($J$1,Database!$A$1:$AS$1,),))))-(((VLOOKUP(EDATE(B326,-12),Database!$A:$AS,MATCH($J$1,Database!$A$1:$AS$1,),)))))/(((VLOOKUP(EDATE(B326,-12),Database!$A:$AS,MATCH($J$1,Database!$A$1:$AS$1,),))))</f>
        <v/>
      </c>
      <c r="K326" s="13">
        <f>((((VLOOKUP(B326,Database!$A:$AS,MATCH($K$1,Database!$A$1:$AS$1,),))))-(((VLOOKUP(EDATE(B326,-12),Database!$A:$AS,MATCH($K$1,Database!$A$1:$AS$1,),)))))/(((VLOOKUP(EDATE(B326,-12),Database!$A:$AS,MATCH($K$1,Database!$A$1:$AS$1,),))))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((((VLOOKUP(B326,Database!$A:$AS,MATCH($O$1,Database!$A$1:$AS$1,),))))-(((VLOOKUP(EDATE(B326,-12),Database!$A:$AS,MATCH($O$1,Database!$A$1:$AS$1,),)))))/(((VLOOKUP(EDATE(B326,-12),Database!$A:$AS,MATCH($O$1,Database!$A$1:$AS$1,),))))</f>
        <v/>
      </c>
      <c r="P326" s="13">
        <f>((((VLOOKUP(B326,Database!$A:$AS,MATCH($P$1,Database!$A$1:$AS$1,),))))-(((VLOOKUP(EDATE(B326,-12),Database!$A:$AS,MATCH($P$1,Database!$A$1:$AS$1,),)))))/(((VLOOKUP(EDATE(B326,-12),Database!$A:$AS,MATCH($P$1,Database!$A$1:$AS$1,),))))</f>
        <v/>
      </c>
      <c r="Q326" s="13">
        <f>((((VLOOKUP(B326,Database!$A:$AS,MATCH($Q$1,Database!$A$1:$AS$1,),))))-(((VLOOKUP(EDATE(B326,-12),Database!$A:$AS,MATCH($Q$1,Database!$A$1:$AS$1,),)))))/(((VLOOKUP(EDATE(B326,-12),Database!$A:$AS,MATCH($Q$1,Database!$A$1:$AS$1,),))))</f>
        <v/>
      </c>
      <c r="R326" s="13">
        <f>((((VLOOKUP(B326,Database!$A:$AS,MATCH($R$1,Database!$A$1:$AS$1,),))))-(((VLOOKUP(EDATE(B326,-12),Database!$A:$AS,MATCH($R$1,Database!$A$1:$AS$1,),)))))/(((VLOOKUP(EDATE(B326,-12),Database!$A:$AS,MATCH($R$1,Database!$A$1:$AS$1,),))))</f>
        <v/>
      </c>
      <c r="S326" s="13">
        <f>((((VLOOKUP(B326,Database!$A:$AS,MATCH($S$1,Database!$A$1:$AS$1,),))))-(((VLOOKUP(EDATE(B326,-12),Database!$A:$AS,MATCH($S$1,Database!$A$1:$AS$1,),)))))/(((VLOOKUP(EDATE(B326,-12),Database!$A:$AS,MATCH($S$1,Database!$A$1:$AS$1,),))))</f>
        <v/>
      </c>
      <c r="T326" s="13">
        <f>((((VLOOKUP(B326,Database!$A:$AS,MATCH($T$1,Database!$A$1:$AS$1,),))))-(((VLOOKUP(EDATE(B326,-12),Database!$A:$AS,MATCH($T$1,Database!$A$1:$AS$1,),)))))/(((VLOOKUP(EDATE(B326,-12),Database!$A:$AS,MATCH($T$1,Database!$A$1:$AS$1,),))))</f>
        <v/>
      </c>
      <c r="U326" s="13">
        <f>((((VLOOKUP(B326,Database!$A:$AS,MATCH($U$1,Database!$A$1:$AS$1,),))))-(((VLOOKUP(EDATE(B326,-12),Database!$A:$AS,MATCH($U$1,Database!$A$1:$AS$1,),)))))/(((VLOOKUP(EDATE(B326,-12),Database!$A:$AS,MATCH($U$1,Database!$A$1:$AS$1,),))))</f>
        <v/>
      </c>
      <c r="V326" s="13">
        <f>((((VLOOKUP(B326,Database!$A:$AS,MATCH($V$1,Database!$A$1:$AS$1,),))))-(((VLOOKUP(EDATE(B326,-12),Database!$A:$AS,MATCH($V$1,Database!$A$1:$AS$1,),)))))/(((VLOOKUP(EDATE(B326,-12),Database!$A:$AS,MATCH($V$1,Database!$A$1:$AS$1,),))))</f>
        <v/>
      </c>
    </row>
    <row r="327" customFormat="1" s="94">
      <c r="A327" s="44" t="n"/>
      <c r="B327" s="85" t="n">
        <v>42095</v>
      </c>
      <c r="C327" s="13">
        <f>((((VLOOKUP(B327,Database!$A:$AS,MATCH($C$1,Database!$A$1:$AS$1,),))))-(((VLOOKUP(EDATE(B327,-12),Database!$A:$AS,MATCH($C$1,Database!$A$1:$AS$1,),)))))/(((VLOOKUP(EDATE(B327,-12),Database!$A:$AS,MATCH($C$1,Database!$A$1:$AS$1,),))))</f>
        <v/>
      </c>
      <c r="D327" s="13">
        <f>((((VLOOKUP(B327,Database!$A:$AS,MATCH($D$1,Database!$A$1:$AS$1,),))))-(((VLOOKUP(EDATE(B327,-12),Database!$A:$AS,MATCH($D$1,Database!$A$1:$AS$1,),)))))/(((VLOOKUP(EDATE(B327,-12),Database!$A:$AS,MATCH($D$1,Database!$A$1:$AS$1,),))))</f>
        <v/>
      </c>
      <c r="E327" s="13">
        <f>((((VLOOKUP(B327,Database!$A:$AS,MATCH($E$1,Database!$A$1:$AS$1,),))))-(((VLOOKUP(EDATE(B327,-12),Database!$A:$AS,MATCH($E$1,Database!$A$1:$AS$1,),)))))/(((VLOOKUP(EDATE(B327,-12),Database!$A:$AS,MATCH($E$1,Database!$A$1:$AS$1,),))))</f>
        <v/>
      </c>
      <c r="F327" s="13">
        <f>((((VLOOKUP(B327,Database!$A:$AS,MATCH($F$1,Database!$A$1:$AS$1,),))))-(((VLOOKUP(EDATE(B327,-12),Database!$A:$AS,MATCH($F$1,Database!$A$1:$AS$1,),)))))/(((VLOOKUP(EDATE(B327,-12),Database!$A:$AS,MATCH($F$1,Database!$A$1:$AS$1,),))))</f>
        <v/>
      </c>
      <c r="G327" s="13">
        <f>((((VLOOKUP(B327,Database!$A:$AS,MATCH($G$1,Database!$A$1:$AS$1,),))))-(((VLOOKUP(EDATE(B327,-12),Database!$A:$AS,MATCH($G$1,Database!$A$1:$AS$1,),)))))/(((VLOOKUP(EDATE(B327,-12),Database!$A:$AS,MATCH($G$1,Database!$A$1:$AS$1,),))))</f>
        <v/>
      </c>
      <c r="H327" s="13">
        <f>((((VLOOKUP(B327,Database!$A:$AS,MATCH($H$1,Database!$A$1:$AS$1,),))))-(((VLOOKUP(EDATE(B327,-12),Database!$A:$AS,MATCH($H$1,Database!$A$1:$AS$1,),)))))/(((VLOOKUP(EDATE(B327,-12),Database!$A:$AS,MATCH($H$1,Database!$A$1:$AS$1,),))))</f>
        <v/>
      </c>
      <c r="I327" s="13">
        <f>((((VLOOKUP(B327,Database!$A:$AS,MATCH($I$1,Database!$A$1:$AS$1,),))))-(((VLOOKUP(EDATE(B327,-12),Database!$A:$AS,MATCH($I$1,Database!$A$1:$AS$1,),)))))/(((VLOOKUP(EDATE(B327,-12),Database!$A:$AS,MATCH($I$1,Database!$A$1:$AS$1,),))))</f>
        <v/>
      </c>
      <c r="J327" s="13">
        <f>((((VLOOKUP(B327,Database!$A:$AS,MATCH($J$1,Database!$A$1:$AS$1,),))))-(((VLOOKUP(EDATE(B327,-12),Database!$A:$AS,MATCH($J$1,Database!$A$1:$AS$1,),)))))/(((VLOOKUP(EDATE(B327,-12),Database!$A:$AS,MATCH($J$1,Database!$A$1:$AS$1,),))))</f>
        <v/>
      </c>
      <c r="K327" s="13">
        <f>((((VLOOKUP(B327,Database!$A:$AS,MATCH($K$1,Database!$A$1:$AS$1,),))))-(((VLOOKUP(EDATE(B327,-12),Database!$A:$AS,MATCH($K$1,Database!$A$1:$AS$1,),)))))/(((VLOOKUP(EDATE(B327,-12),Database!$A:$AS,MATCH($K$1,Database!$A$1:$AS$1,),))))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((((VLOOKUP(B327,Database!$A:$AS,MATCH($O$1,Database!$A$1:$AS$1,),))))-(((VLOOKUP(EDATE(B327,-12),Database!$A:$AS,MATCH($O$1,Database!$A$1:$AS$1,),)))))/(((VLOOKUP(EDATE(B327,-12),Database!$A:$AS,MATCH($O$1,Database!$A$1:$AS$1,),))))</f>
        <v/>
      </c>
      <c r="P327" s="13">
        <f>((((VLOOKUP(B327,Database!$A:$AS,MATCH($P$1,Database!$A$1:$AS$1,),))))-(((VLOOKUP(EDATE(B327,-12),Database!$A:$AS,MATCH($P$1,Database!$A$1:$AS$1,),)))))/(((VLOOKUP(EDATE(B327,-12),Database!$A:$AS,MATCH($P$1,Database!$A$1:$AS$1,),))))</f>
        <v/>
      </c>
      <c r="Q327" s="13">
        <f>((((VLOOKUP(B327,Database!$A:$AS,MATCH($Q$1,Database!$A$1:$AS$1,),))))-(((VLOOKUP(EDATE(B327,-12),Database!$A:$AS,MATCH($Q$1,Database!$A$1:$AS$1,),)))))/(((VLOOKUP(EDATE(B327,-12),Database!$A:$AS,MATCH($Q$1,Database!$A$1:$AS$1,),))))</f>
        <v/>
      </c>
      <c r="R327" s="13">
        <f>((((VLOOKUP(B327,Database!$A:$AS,MATCH($R$1,Database!$A$1:$AS$1,),))))-(((VLOOKUP(EDATE(B327,-12),Database!$A:$AS,MATCH($R$1,Database!$A$1:$AS$1,),)))))/(((VLOOKUP(EDATE(B327,-12),Database!$A:$AS,MATCH($R$1,Database!$A$1:$AS$1,),))))</f>
        <v/>
      </c>
      <c r="S327" s="13">
        <f>((((VLOOKUP(B327,Database!$A:$AS,MATCH($S$1,Database!$A$1:$AS$1,),))))-(((VLOOKUP(EDATE(B327,-12),Database!$A:$AS,MATCH($S$1,Database!$A$1:$AS$1,),)))))/(((VLOOKUP(EDATE(B327,-12),Database!$A:$AS,MATCH($S$1,Database!$A$1:$AS$1,),))))</f>
        <v/>
      </c>
      <c r="T327" s="13">
        <f>((((VLOOKUP(B327,Database!$A:$AS,MATCH($T$1,Database!$A$1:$AS$1,),))))-(((VLOOKUP(EDATE(B327,-12),Database!$A:$AS,MATCH($T$1,Database!$A$1:$AS$1,),)))))/(((VLOOKUP(EDATE(B327,-12),Database!$A:$AS,MATCH($T$1,Database!$A$1:$AS$1,),))))</f>
        <v/>
      </c>
      <c r="U327" s="13">
        <f>((((VLOOKUP(B327,Database!$A:$AS,MATCH($U$1,Database!$A$1:$AS$1,),))))-(((VLOOKUP(EDATE(B327,-12),Database!$A:$AS,MATCH($U$1,Database!$A$1:$AS$1,),)))))/(((VLOOKUP(EDATE(B327,-12),Database!$A:$AS,MATCH($U$1,Database!$A$1:$AS$1,),))))</f>
        <v/>
      </c>
      <c r="V327" s="13">
        <f>((((VLOOKUP(B327,Database!$A:$AS,MATCH($V$1,Database!$A$1:$AS$1,),))))-(((VLOOKUP(EDATE(B327,-12),Database!$A:$AS,MATCH($V$1,Database!$A$1:$AS$1,),)))))/(((VLOOKUP(EDATE(B327,-12),Database!$A:$AS,MATCH($V$1,Database!$A$1:$AS$1,),))))</f>
        <v/>
      </c>
    </row>
    <row r="328" customFormat="1" s="94">
      <c r="A328" s="44" t="n"/>
      <c r="B328" s="85" t="n">
        <v>42125</v>
      </c>
      <c r="C328" s="13">
        <f>((((VLOOKUP(B328,Database!$A:$AS,MATCH($C$1,Database!$A$1:$AS$1,),))))-(((VLOOKUP(EDATE(B328,-12),Database!$A:$AS,MATCH($C$1,Database!$A$1:$AS$1,),)))))/(((VLOOKUP(EDATE(B328,-12),Database!$A:$AS,MATCH($C$1,Database!$A$1:$AS$1,),))))</f>
        <v/>
      </c>
      <c r="D328" s="13">
        <f>((((VLOOKUP(B328,Database!$A:$AS,MATCH($D$1,Database!$A$1:$AS$1,),))))-(((VLOOKUP(EDATE(B328,-12),Database!$A:$AS,MATCH($D$1,Database!$A$1:$AS$1,),)))))/(((VLOOKUP(EDATE(B328,-12),Database!$A:$AS,MATCH($D$1,Database!$A$1:$AS$1,),))))</f>
        <v/>
      </c>
      <c r="E328" s="13">
        <f>((((VLOOKUP(B328,Database!$A:$AS,MATCH($E$1,Database!$A$1:$AS$1,),))))-(((VLOOKUP(EDATE(B328,-12),Database!$A:$AS,MATCH($E$1,Database!$A$1:$AS$1,),)))))/(((VLOOKUP(EDATE(B328,-12),Database!$A:$AS,MATCH($E$1,Database!$A$1:$AS$1,),))))</f>
        <v/>
      </c>
      <c r="F328" s="13">
        <f>((((VLOOKUP(B328,Database!$A:$AS,MATCH($F$1,Database!$A$1:$AS$1,),))))-(((VLOOKUP(EDATE(B328,-12),Database!$A:$AS,MATCH($F$1,Database!$A$1:$AS$1,),)))))/(((VLOOKUP(EDATE(B328,-12),Database!$A:$AS,MATCH($F$1,Database!$A$1:$AS$1,),))))</f>
        <v/>
      </c>
      <c r="G328" s="13">
        <f>((((VLOOKUP(B328,Database!$A:$AS,MATCH($G$1,Database!$A$1:$AS$1,),))))-(((VLOOKUP(EDATE(B328,-12),Database!$A:$AS,MATCH($G$1,Database!$A$1:$AS$1,),)))))/(((VLOOKUP(EDATE(B328,-12),Database!$A:$AS,MATCH($G$1,Database!$A$1:$AS$1,),))))</f>
        <v/>
      </c>
      <c r="H328" s="13">
        <f>((((VLOOKUP(B328,Database!$A:$AS,MATCH($H$1,Database!$A$1:$AS$1,),))))-(((VLOOKUP(EDATE(B328,-12),Database!$A:$AS,MATCH($H$1,Database!$A$1:$AS$1,),)))))/(((VLOOKUP(EDATE(B328,-12),Database!$A:$AS,MATCH($H$1,Database!$A$1:$AS$1,),))))</f>
        <v/>
      </c>
      <c r="I328" s="13">
        <f>((((VLOOKUP(B328,Database!$A:$AS,MATCH($I$1,Database!$A$1:$AS$1,),))))-(((VLOOKUP(EDATE(B328,-12),Database!$A:$AS,MATCH($I$1,Database!$A$1:$AS$1,),)))))/(((VLOOKUP(EDATE(B328,-12),Database!$A:$AS,MATCH($I$1,Database!$A$1:$AS$1,),))))</f>
        <v/>
      </c>
      <c r="J328" s="13">
        <f>((((VLOOKUP(B328,Database!$A:$AS,MATCH($J$1,Database!$A$1:$AS$1,),))))-(((VLOOKUP(EDATE(B328,-12),Database!$A:$AS,MATCH($J$1,Database!$A$1:$AS$1,),)))))/(((VLOOKUP(EDATE(B328,-12),Database!$A:$AS,MATCH($J$1,Database!$A$1:$AS$1,),))))</f>
        <v/>
      </c>
      <c r="K328" s="13">
        <f>((((VLOOKUP(B328,Database!$A:$AS,MATCH($K$1,Database!$A$1:$AS$1,),))))-(((VLOOKUP(EDATE(B328,-12),Database!$A:$AS,MATCH($K$1,Database!$A$1:$AS$1,),)))))/(((VLOOKUP(EDATE(B328,-12),Database!$A:$AS,MATCH($K$1,Database!$A$1:$AS$1,),))))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((((VLOOKUP(B328,Database!$A:$AS,MATCH($O$1,Database!$A$1:$AS$1,),))))-(((VLOOKUP(EDATE(B328,-12),Database!$A:$AS,MATCH($O$1,Database!$A$1:$AS$1,),)))))/(((VLOOKUP(EDATE(B328,-12),Database!$A:$AS,MATCH($O$1,Database!$A$1:$AS$1,),))))</f>
        <v/>
      </c>
      <c r="P328" s="13">
        <f>((((VLOOKUP(B328,Database!$A:$AS,MATCH($P$1,Database!$A$1:$AS$1,),))))-(((VLOOKUP(EDATE(B328,-12),Database!$A:$AS,MATCH($P$1,Database!$A$1:$AS$1,),)))))/(((VLOOKUP(EDATE(B328,-12),Database!$A:$AS,MATCH($P$1,Database!$A$1:$AS$1,),))))</f>
        <v/>
      </c>
      <c r="Q328" s="13">
        <f>((((VLOOKUP(B328,Database!$A:$AS,MATCH($Q$1,Database!$A$1:$AS$1,),))))-(((VLOOKUP(EDATE(B328,-12),Database!$A:$AS,MATCH($Q$1,Database!$A$1:$AS$1,),)))))/(((VLOOKUP(EDATE(B328,-12),Database!$A:$AS,MATCH($Q$1,Database!$A$1:$AS$1,),))))</f>
        <v/>
      </c>
      <c r="R328" s="13">
        <f>((((VLOOKUP(B328,Database!$A:$AS,MATCH($R$1,Database!$A$1:$AS$1,),))))-(((VLOOKUP(EDATE(B328,-12),Database!$A:$AS,MATCH($R$1,Database!$A$1:$AS$1,),)))))/(((VLOOKUP(EDATE(B328,-12),Database!$A:$AS,MATCH($R$1,Database!$A$1:$AS$1,),))))</f>
        <v/>
      </c>
      <c r="S328" s="13">
        <f>((((VLOOKUP(B328,Database!$A:$AS,MATCH($S$1,Database!$A$1:$AS$1,),))))-(((VLOOKUP(EDATE(B328,-12),Database!$A:$AS,MATCH($S$1,Database!$A$1:$AS$1,),)))))/(((VLOOKUP(EDATE(B328,-12),Database!$A:$AS,MATCH($S$1,Database!$A$1:$AS$1,),))))</f>
        <v/>
      </c>
      <c r="T328" s="13">
        <f>((((VLOOKUP(B328,Database!$A:$AS,MATCH($T$1,Database!$A$1:$AS$1,),))))-(((VLOOKUP(EDATE(B328,-12),Database!$A:$AS,MATCH($T$1,Database!$A$1:$AS$1,),)))))/(((VLOOKUP(EDATE(B328,-12),Database!$A:$AS,MATCH($T$1,Database!$A$1:$AS$1,),))))</f>
        <v/>
      </c>
      <c r="U328" s="13">
        <f>((((VLOOKUP(B328,Database!$A:$AS,MATCH($U$1,Database!$A$1:$AS$1,),))))-(((VLOOKUP(EDATE(B328,-12),Database!$A:$AS,MATCH($U$1,Database!$A$1:$AS$1,),)))))/(((VLOOKUP(EDATE(B328,-12),Database!$A:$AS,MATCH($U$1,Database!$A$1:$AS$1,),))))</f>
        <v/>
      </c>
      <c r="V328" s="13">
        <f>((((VLOOKUP(B328,Database!$A:$AS,MATCH($V$1,Database!$A$1:$AS$1,),))))-(((VLOOKUP(EDATE(B328,-12),Database!$A:$AS,MATCH($V$1,Database!$A$1:$AS$1,),)))))/(((VLOOKUP(EDATE(B328,-12),Database!$A:$AS,MATCH($V$1,Database!$A$1:$AS$1,),))))</f>
        <v/>
      </c>
    </row>
    <row r="329" customFormat="1" s="94">
      <c r="A329" s="44" t="n"/>
      <c r="B329" s="85" t="n">
        <v>42156</v>
      </c>
      <c r="C329" s="13">
        <f>((((VLOOKUP(B329,Database!$A:$AS,MATCH($C$1,Database!$A$1:$AS$1,),))))-(((VLOOKUP(EDATE(B329,-12),Database!$A:$AS,MATCH($C$1,Database!$A$1:$AS$1,),)))))/(((VLOOKUP(EDATE(B329,-12),Database!$A:$AS,MATCH($C$1,Database!$A$1:$AS$1,),))))</f>
        <v/>
      </c>
      <c r="D329" s="13">
        <f>((((VLOOKUP(B329,Database!$A:$AS,MATCH($D$1,Database!$A$1:$AS$1,),))))-(((VLOOKUP(EDATE(B329,-12),Database!$A:$AS,MATCH($D$1,Database!$A$1:$AS$1,),)))))/(((VLOOKUP(EDATE(B329,-12),Database!$A:$AS,MATCH($D$1,Database!$A$1:$AS$1,),))))</f>
        <v/>
      </c>
      <c r="E329" s="13">
        <f>((((VLOOKUP(B329,Database!$A:$AS,MATCH($E$1,Database!$A$1:$AS$1,),))))-(((VLOOKUP(EDATE(B329,-12),Database!$A:$AS,MATCH($E$1,Database!$A$1:$AS$1,),)))))/(((VLOOKUP(EDATE(B329,-12),Database!$A:$AS,MATCH($E$1,Database!$A$1:$AS$1,),))))</f>
        <v/>
      </c>
      <c r="F329" s="13">
        <f>((((VLOOKUP(B329,Database!$A:$AS,MATCH($F$1,Database!$A$1:$AS$1,),))))-(((VLOOKUP(EDATE(B329,-12),Database!$A:$AS,MATCH($F$1,Database!$A$1:$AS$1,),)))))/(((VLOOKUP(EDATE(B329,-12),Database!$A:$AS,MATCH($F$1,Database!$A$1:$AS$1,),))))</f>
        <v/>
      </c>
      <c r="G329" s="13">
        <f>((((VLOOKUP(B329,Database!$A:$AS,MATCH($G$1,Database!$A$1:$AS$1,),))))-(((VLOOKUP(EDATE(B329,-12),Database!$A:$AS,MATCH($G$1,Database!$A$1:$AS$1,),)))))/(((VLOOKUP(EDATE(B329,-12),Database!$A:$AS,MATCH($G$1,Database!$A$1:$AS$1,),))))</f>
        <v/>
      </c>
      <c r="H329" s="13">
        <f>((((VLOOKUP(B329,Database!$A:$AS,MATCH($H$1,Database!$A$1:$AS$1,),))))-(((VLOOKUP(EDATE(B329,-12),Database!$A:$AS,MATCH($H$1,Database!$A$1:$AS$1,),)))))/(((VLOOKUP(EDATE(B329,-12),Database!$A:$AS,MATCH($H$1,Database!$A$1:$AS$1,),))))</f>
        <v/>
      </c>
      <c r="I329" s="13">
        <f>((((VLOOKUP(B329,Database!$A:$AS,MATCH($I$1,Database!$A$1:$AS$1,),))))-(((VLOOKUP(EDATE(B329,-12),Database!$A:$AS,MATCH($I$1,Database!$A$1:$AS$1,),)))))/(((VLOOKUP(EDATE(B329,-12),Database!$A:$AS,MATCH($I$1,Database!$A$1:$AS$1,),))))</f>
        <v/>
      </c>
      <c r="J329" s="13">
        <f>((((VLOOKUP(B329,Database!$A:$AS,MATCH($J$1,Database!$A$1:$AS$1,),))))-(((VLOOKUP(EDATE(B329,-12),Database!$A:$AS,MATCH($J$1,Database!$A$1:$AS$1,),)))))/(((VLOOKUP(EDATE(B329,-12),Database!$A:$AS,MATCH($J$1,Database!$A$1:$AS$1,),))))</f>
        <v/>
      </c>
      <c r="K329" s="13">
        <f>((((VLOOKUP(B329,Database!$A:$AS,MATCH($K$1,Database!$A$1:$AS$1,),))))-(((VLOOKUP(EDATE(B329,-12),Database!$A:$AS,MATCH($K$1,Database!$A$1:$AS$1,),)))))/(((VLOOKUP(EDATE(B329,-12),Database!$A:$AS,MATCH($K$1,Database!$A$1:$AS$1,),))))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((((VLOOKUP(B329,Database!$A:$AS,MATCH($O$1,Database!$A$1:$AS$1,),))))-(((VLOOKUP(EDATE(B329,-12),Database!$A:$AS,MATCH($O$1,Database!$A$1:$AS$1,),)))))/(((VLOOKUP(EDATE(B329,-12),Database!$A:$AS,MATCH($O$1,Database!$A$1:$AS$1,),))))</f>
        <v/>
      </c>
      <c r="P329" s="13">
        <f>((((VLOOKUP(B329,Database!$A:$AS,MATCH($P$1,Database!$A$1:$AS$1,),))))-(((VLOOKUP(EDATE(B329,-12),Database!$A:$AS,MATCH($P$1,Database!$A$1:$AS$1,),)))))/(((VLOOKUP(EDATE(B329,-12),Database!$A:$AS,MATCH($P$1,Database!$A$1:$AS$1,),))))</f>
        <v/>
      </c>
      <c r="Q329" s="13">
        <f>((((VLOOKUP(B329,Database!$A:$AS,MATCH($Q$1,Database!$A$1:$AS$1,),))))-(((VLOOKUP(EDATE(B329,-12),Database!$A:$AS,MATCH($Q$1,Database!$A$1:$AS$1,),)))))/(((VLOOKUP(EDATE(B329,-12),Database!$A:$AS,MATCH($Q$1,Database!$A$1:$AS$1,),))))</f>
        <v/>
      </c>
      <c r="R329" s="13">
        <f>((((VLOOKUP(B329,Database!$A:$AS,MATCH($R$1,Database!$A$1:$AS$1,),))))-(((VLOOKUP(EDATE(B329,-12),Database!$A:$AS,MATCH($R$1,Database!$A$1:$AS$1,),)))))/(((VLOOKUP(EDATE(B329,-12),Database!$A:$AS,MATCH($R$1,Database!$A$1:$AS$1,),))))</f>
        <v/>
      </c>
      <c r="S329" s="13">
        <f>((((VLOOKUP(B329,Database!$A:$AS,MATCH($S$1,Database!$A$1:$AS$1,),))))-(((VLOOKUP(EDATE(B329,-12),Database!$A:$AS,MATCH($S$1,Database!$A$1:$AS$1,),)))))/(((VLOOKUP(EDATE(B329,-12),Database!$A:$AS,MATCH($S$1,Database!$A$1:$AS$1,),))))</f>
        <v/>
      </c>
      <c r="T329" s="13">
        <f>((((VLOOKUP(B329,Database!$A:$AS,MATCH($T$1,Database!$A$1:$AS$1,),))))-(((VLOOKUP(EDATE(B329,-12),Database!$A:$AS,MATCH($T$1,Database!$A$1:$AS$1,),)))))/(((VLOOKUP(EDATE(B329,-12),Database!$A:$AS,MATCH($T$1,Database!$A$1:$AS$1,),))))</f>
        <v/>
      </c>
      <c r="U329" s="13">
        <f>((((VLOOKUP(B329,Database!$A:$AS,MATCH($U$1,Database!$A$1:$AS$1,),))))-(((VLOOKUP(EDATE(B329,-12),Database!$A:$AS,MATCH($U$1,Database!$A$1:$AS$1,),)))))/(((VLOOKUP(EDATE(B329,-12),Database!$A:$AS,MATCH($U$1,Database!$A$1:$AS$1,),))))</f>
        <v/>
      </c>
      <c r="V329" s="13">
        <f>((((VLOOKUP(B329,Database!$A:$AS,MATCH($V$1,Database!$A$1:$AS$1,),))))-(((VLOOKUP(EDATE(B329,-12),Database!$A:$AS,MATCH($V$1,Database!$A$1:$AS$1,),)))))/(((VLOOKUP(EDATE(B329,-12),Database!$A:$AS,MATCH($V$1,Database!$A$1:$AS$1,),))))</f>
        <v/>
      </c>
    </row>
    <row r="330" customFormat="1" s="94">
      <c r="A330" s="44" t="n"/>
      <c r="B330" s="85" t="n">
        <v>42186</v>
      </c>
      <c r="C330" s="13">
        <f>((((VLOOKUP(B330,Database!$A:$AS,MATCH($C$1,Database!$A$1:$AS$1,),))))-(((VLOOKUP(EDATE(B330,-12),Database!$A:$AS,MATCH($C$1,Database!$A$1:$AS$1,),)))))/(((VLOOKUP(EDATE(B330,-12),Database!$A:$AS,MATCH($C$1,Database!$A$1:$AS$1,),))))</f>
        <v/>
      </c>
      <c r="D330" s="13">
        <f>((((VLOOKUP(B330,Database!$A:$AS,MATCH($D$1,Database!$A$1:$AS$1,),))))-(((VLOOKUP(EDATE(B330,-12),Database!$A:$AS,MATCH($D$1,Database!$A$1:$AS$1,),)))))/(((VLOOKUP(EDATE(B330,-12),Database!$A:$AS,MATCH($D$1,Database!$A$1:$AS$1,),))))</f>
        <v/>
      </c>
      <c r="E330" s="13">
        <f>((((VLOOKUP(B330,Database!$A:$AS,MATCH($E$1,Database!$A$1:$AS$1,),))))-(((VLOOKUP(EDATE(B330,-12),Database!$A:$AS,MATCH($E$1,Database!$A$1:$AS$1,),)))))/(((VLOOKUP(EDATE(B330,-12),Database!$A:$AS,MATCH($E$1,Database!$A$1:$AS$1,),))))</f>
        <v/>
      </c>
      <c r="F330" s="13">
        <f>((((VLOOKUP(B330,Database!$A:$AS,MATCH($F$1,Database!$A$1:$AS$1,),))))-(((VLOOKUP(EDATE(B330,-12),Database!$A:$AS,MATCH($F$1,Database!$A$1:$AS$1,),)))))/(((VLOOKUP(EDATE(B330,-12),Database!$A:$AS,MATCH($F$1,Database!$A$1:$AS$1,),))))</f>
        <v/>
      </c>
      <c r="G330" s="13">
        <f>((((VLOOKUP(B330,Database!$A:$AS,MATCH($G$1,Database!$A$1:$AS$1,),))))-(((VLOOKUP(EDATE(B330,-12),Database!$A:$AS,MATCH($G$1,Database!$A$1:$AS$1,),)))))/(((VLOOKUP(EDATE(B330,-12),Database!$A:$AS,MATCH($G$1,Database!$A$1:$AS$1,),))))</f>
        <v/>
      </c>
      <c r="H330" s="13">
        <f>((((VLOOKUP(B330,Database!$A:$AS,MATCH($H$1,Database!$A$1:$AS$1,),))))-(((VLOOKUP(EDATE(B330,-12),Database!$A:$AS,MATCH($H$1,Database!$A$1:$AS$1,),)))))/(((VLOOKUP(EDATE(B330,-12),Database!$A:$AS,MATCH($H$1,Database!$A$1:$AS$1,),))))</f>
        <v/>
      </c>
      <c r="I330" s="13">
        <f>((((VLOOKUP(B330,Database!$A:$AS,MATCH($I$1,Database!$A$1:$AS$1,),))))-(((VLOOKUP(EDATE(B330,-12),Database!$A:$AS,MATCH($I$1,Database!$A$1:$AS$1,),)))))/(((VLOOKUP(EDATE(B330,-12),Database!$A:$AS,MATCH($I$1,Database!$A$1:$AS$1,),))))</f>
        <v/>
      </c>
      <c r="J330" s="13">
        <f>((((VLOOKUP(B330,Database!$A:$AS,MATCH($J$1,Database!$A$1:$AS$1,),))))-(((VLOOKUP(EDATE(B330,-12),Database!$A:$AS,MATCH($J$1,Database!$A$1:$AS$1,),)))))/(((VLOOKUP(EDATE(B330,-12),Database!$A:$AS,MATCH($J$1,Database!$A$1:$AS$1,),))))</f>
        <v/>
      </c>
      <c r="K330" s="13">
        <f>((((VLOOKUP(B330,Database!$A:$AS,MATCH($K$1,Database!$A$1:$AS$1,),))))-(((VLOOKUP(EDATE(B330,-12),Database!$A:$AS,MATCH($K$1,Database!$A$1:$AS$1,),)))))/(((VLOOKUP(EDATE(B330,-12),Database!$A:$AS,MATCH($K$1,Database!$A$1:$AS$1,),))))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((((VLOOKUP(B330,Database!$A:$AS,MATCH($O$1,Database!$A$1:$AS$1,),))))-(((VLOOKUP(EDATE(B330,-12),Database!$A:$AS,MATCH($O$1,Database!$A$1:$AS$1,),)))))/(((VLOOKUP(EDATE(B330,-12),Database!$A:$AS,MATCH($O$1,Database!$A$1:$AS$1,),))))</f>
        <v/>
      </c>
      <c r="P330" s="13">
        <f>((((VLOOKUP(B330,Database!$A:$AS,MATCH($P$1,Database!$A$1:$AS$1,),))))-(((VLOOKUP(EDATE(B330,-12),Database!$A:$AS,MATCH($P$1,Database!$A$1:$AS$1,),)))))/(((VLOOKUP(EDATE(B330,-12),Database!$A:$AS,MATCH($P$1,Database!$A$1:$AS$1,),))))</f>
        <v/>
      </c>
      <c r="Q330" s="13">
        <f>((((VLOOKUP(B330,Database!$A:$AS,MATCH($Q$1,Database!$A$1:$AS$1,),))))-(((VLOOKUP(EDATE(B330,-12),Database!$A:$AS,MATCH($Q$1,Database!$A$1:$AS$1,),)))))/(((VLOOKUP(EDATE(B330,-12),Database!$A:$AS,MATCH($Q$1,Database!$A$1:$AS$1,),))))</f>
        <v/>
      </c>
      <c r="R330" s="13">
        <f>((((VLOOKUP(B330,Database!$A:$AS,MATCH($R$1,Database!$A$1:$AS$1,),))))-(((VLOOKUP(EDATE(B330,-12),Database!$A:$AS,MATCH($R$1,Database!$A$1:$AS$1,),)))))/(((VLOOKUP(EDATE(B330,-12),Database!$A:$AS,MATCH($R$1,Database!$A$1:$AS$1,),))))</f>
        <v/>
      </c>
      <c r="S330" s="13">
        <f>((((VLOOKUP(B330,Database!$A:$AS,MATCH($S$1,Database!$A$1:$AS$1,),))))-(((VLOOKUP(EDATE(B330,-12),Database!$A:$AS,MATCH($S$1,Database!$A$1:$AS$1,),)))))/(((VLOOKUP(EDATE(B330,-12),Database!$A:$AS,MATCH($S$1,Database!$A$1:$AS$1,),))))</f>
        <v/>
      </c>
      <c r="T330" s="13">
        <f>((((VLOOKUP(B330,Database!$A:$AS,MATCH($T$1,Database!$A$1:$AS$1,),))))-(((VLOOKUP(EDATE(B330,-12),Database!$A:$AS,MATCH($T$1,Database!$A$1:$AS$1,),)))))/(((VLOOKUP(EDATE(B330,-12),Database!$A:$AS,MATCH($T$1,Database!$A$1:$AS$1,),))))</f>
        <v/>
      </c>
      <c r="U330" s="13">
        <f>((((VLOOKUP(B330,Database!$A:$AS,MATCH($U$1,Database!$A$1:$AS$1,),))))-(((VLOOKUP(EDATE(B330,-12),Database!$A:$AS,MATCH($U$1,Database!$A$1:$AS$1,),)))))/(((VLOOKUP(EDATE(B330,-12),Database!$A:$AS,MATCH($U$1,Database!$A$1:$AS$1,),))))</f>
        <v/>
      </c>
      <c r="V330" s="13">
        <f>((((VLOOKUP(B330,Database!$A:$AS,MATCH($V$1,Database!$A$1:$AS$1,),))))-(((VLOOKUP(EDATE(B330,-12),Database!$A:$AS,MATCH($V$1,Database!$A$1:$AS$1,),)))))/(((VLOOKUP(EDATE(B330,-12),Database!$A:$AS,MATCH($V$1,Database!$A$1:$AS$1,),))))</f>
        <v/>
      </c>
    </row>
    <row r="331" customFormat="1" s="94">
      <c r="A331" s="44" t="n"/>
      <c r="B331" s="85" t="n">
        <v>42217</v>
      </c>
      <c r="C331" s="13">
        <f>((((VLOOKUP(B331,Database!$A:$AS,MATCH($C$1,Database!$A$1:$AS$1,),))))-(((VLOOKUP(EDATE(B331,-12),Database!$A:$AS,MATCH($C$1,Database!$A$1:$AS$1,),)))))/(((VLOOKUP(EDATE(B331,-12),Database!$A:$AS,MATCH($C$1,Database!$A$1:$AS$1,),))))</f>
        <v/>
      </c>
      <c r="D331" s="13">
        <f>((((VLOOKUP(B331,Database!$A:$AS,MATCH($D$1,Database!$A$1:$AS$1,),))))-(((VLOOKUP(EDATE(B331,-12),Database!$A:$AS,MATCH($D$1,Database!$A$1:$AS$1,),)))))/(((VLOOKUP(EDATE(B331,-12),Database!$A:$AS,MATCH($D$1,Database!$A$1:$AS$1,),))))</f>
        <v/>
      </c>
      <c r="E331" s="13">
        <f>((((VLOOKUP(B331,Database!$A:$AS,MATCH($E$1,Database!$A$1:$AS$1,),))))-(((VLOOKUP(EDATE(B331,-12),Database!$A:$AS,MATCH($E$1,Database!$A$1:$AS$1,),)))))/(((VLOOKUP(EDATE(B331,-12),Database!$A:$AS,MATCH($E$1,Database!$A$1:$AS$1,),))))</f>
        <v/>
      </c>
      <c r="F331" s="13">
        <f>((((VLOOKUP(B331,Database!$A:$AS,MATCH($F$1,Database!$A$1:$AS$1,),))))-(((VLOOKUP(EDATE(B331,-12),Database!$A:$AS,MATCH($F$1,Database!$A$1:$AS$1,),)))))/(((VLOOKUP(EDATE(B331,-12),Database!$A:$AS,MATCH($F$1,Database!$A$1:$AS$1,),))))</f>
        <v/>
      </c>
      <c r="G331" s="13">
        <f>((((VLOOKUP(B331,Database!$A:$AS,MATCH($G$1,Database!$A$1:$AS$1,),))))-(((VLOOKUP(EDATE(B331,-12),Database!$A:$AS,MATCH($G$1,Database!$A$1:$AS$1,),)))))/(((VLOOKUP(EDATE(B331,-12),Database!$A:$AS,MATCH($G$1,Database!$A$1:$AS$1,),))))</f>
        <v/>
      </c>
      <c r="H331" s="13">
        <f>((((VLOOKUP(B331,Database!$A:$AS,MATCH($H$1,Database!$A$1:$AS$1,),))))-(((VLOOKUP(EDATE(B331,-12),Database!$A:$AS,MATCH($H$1,Database!$A$1:$AS$1,),)))))/(((VLOOKUP(EDATE(B331,-12),Database!$A:$AS,MATCH($H$1,Database!$A$1:$AS$1,),))))</f>
        <v/>
      </c>
      <c r="I331" s="13">
        <f>((((VLOOKUP(B331,Database!$A:$AS,MATCH($I$1,Database!$A$1:$AS$1,),))))-(((VLOOKUP(EDATE(B331,-12),Database!$A:$AS,MATCH($I$1,Database!$A$1:$AS$1,),)))))/(((VLOOKUP(EDATE(B331,-12),Database!$A:$AS,MATCH($I$1,Database!$A$1:$AS$1,),))))</f>
        <v/>
      </c>
      <c r="J331" s="13">
        <f>((((VLOOKUP(B331,Database!$A:$AS,MATCH($J$1,Database!$A$1:$AS$1,),))))-(((VLOOKUP(EDATE(B331,-12),Database!$A:$AS,MATCH($J$1,Database!$A$1:$AS$1,),)))))/(((VLOOKUP(EDATE(B331,-12),Database!$A:$AS,MATCH($J$1,Database!$A$1:$AS$1,),))))</f>
        <v/>
      </c>
      <c r="K331" s="13">
        <f>((((VLOOKUP(B331,Database!$A:$AS,MATCH($K$1,Database!$A$1:$AS$1,),))))-(((VLOOKUP(EDATE(B331,-12),Database!$A:$AS,MATCH($K$1,Database!$A$1:$AS$1,),)))))/(((VLOOKUP(EDATE(B331,-12),Database!$A:$AS,MATCH($K$1,Database!$A$1:$AS$1,),))))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((((VLOOKUP(B331,Database!$A:$AS,MATCH($O$1,Database!$A$1:$AS$1,),))))-(((VLOOKUP(EDATE(B331,-12),Database!$A:$AS,MATCH($O$1,Database!$A$1:$AS$1,),)))))/(((VLOOKUP(EDATE(B331,-12),Database!$A:$AS,MATCH($O$1,Database!$A$1:$AS$1,),))))</f>
        <v/>
      </c>
      <c r="P331" s="13">
        <f>((((VLOOKUP(B331,Database!$A:$AS,MATCH($P$1,Database!$A$1:$AS$1,),))))-(((VLOOKUP(EDATE(B331,-12),Database!$A:$AS,MATCH($P$1,Database!$A$1:$AS$1,),)))))/(((VLOOKUP(EDATE(B331,-12),Database!$A:$AS,MATCH($P$1,Database!$A$1:$AS$1,),))))</f>
        <v/>
      </c>
      <c r="Q331" s="13">
        <f>((((VLOOKUP(B331,Database!$A:$AS,MATCH($Q$1,Database!$A$1:$AS$1,),))))-(((VLOOKUP(EDATE(B331,-12),Database!$A:$AS,MATCH($Q$1,Database!$A$1:$AS$1,),)))))/(((VLOOKUP(EDATE(B331,-12),Database!$A:$AS,MATCH($Q$1,Database!$A$1:$AS$1,),))))</f>
        <v/>
      </c>
      <c r="R331" s="13">
        <f>((((VLOOKUP(B331,Database!$A:$AS,MATCH($R$1,Database!$A$1:$AS$1,),))))-(((VLOOKUP(EDATE(B331,-12),Database!$A:$AS,MATCH($R$1,Database!$A$1:$AS$1,),)))))/(((VLOOKUP(EDATE(B331,-12),Database!$A:$AS,MATCH($R$1,Database!$A$1:$AS$1,),))))</f>
        <v/>
      </c>
      <c r="S331" s="13">
        <f>((((VLOOKUP(B331,Database!$A:$AS,MATCH($S$1,Database!$A$1:$AS$1,),))))-(((VLOOKUP(EDATE(B331,-12),Database!$A:$AS,MATCH($S$1,Database!$A$1:$AS$1,),)))))/(((VLOOKUP(EDATE(B331,-12),Database!$A:$AS,MATCH($S$1,Database!$A$1:$AS$1,),))))</f>
        <v/>
      </c>
      <c r="T331" s="13">
        <f>((((VLOOKUP(B331,Database!$A:$AS,MATCH($T$1,Database!$A$1:$AS$1,),))))-(((VLOOKUP(EDATE(B331,-12),Database!$A:$AS,MATCH($T$1,Database!$A$1:$AS$1,),)))))/(((VLOOKUP(EDATE(B331,-12),Database!$A:$AS,MATCH($T$1,Database!$A$1:$AS$1,),))))</f>
        <v/>
      </c>
      <c r="U331" s="13">
        <f>((((VLOOKUP(B331,Database!$A:$AS,MATCH($U$1,Database!$A$1:$AS$1,),))))-(((VLOOKUP(EDATE(B331,-12),Database!$A:$AS,MATCH($U$1,Database!$A$1:$AS$1,),)))))/(((VLOOKUP(EDATE(B331,-12),Database!$A:$AS,MATCH($U$1,Database!$A$1:$AS$1,),))))</f>
        <v/>
      </c>
      <c r="V331" s="13">
        <f>((((VLOOKUP(B331,Database!$A:$AS,MATCH($V$1,Database!$A$1:$AS$1,),))))-(((VLOOKUP(EDATE(B331,-12),Database!$A:$AS,MATCH($V$1,Database!$A$1:$AS$1,),)))))/(((VLOOKUP(EDATE(B331,-12),Database!$A:$AS,MATCH($V$1,Database!$A$1:$AS$1,),))))</f>
        <v/>
      </c>
    </row>
    <row r="332" customFormat="1" s="94">
      <c r="A332" s="44" t="n"/>
      <c r="B332" s="85" t="n">
        <v>42248</v>
      </c>
      <c r="C332" s="13">
        <f>((((VLOOKUP(B332,Database!$A:$AS,MATCH($C$1,Database!$A$1:$AS$1,),))))-(((VLOOKUP(EDATE(B332,-12),Database!$A:$AS,MATCH($C$1,Database!$A$1:$AS$1,),)))))/(((VLOOKUP(EDATE(B332,-12),Database!$A:$AS,MATCH($C$1,Database!$A$1:$AS$1,),))))</f>
        <v/>
      </c>
      <c r="D332" s="13">
        <f>((((VLOOKUP(B332,Database!$A:$AS,MATCH($D$1,Database!$A$1:$AS$1,),))))-(((VLOOKUP(EDATE(B332,-12),Database!$A:$AS,MATCH($D$1,Database!$A$1:$AS$1,),)))))/(((VLOOKUP(EDATE(B332,-12),Database!$A:$AS,MATCH($D$1,Database!$A$1:$AS$1,),))))</f>
        <v/>
      </c>
      <c r="E332" s="13">
        <f>((((VLOOKUP(B332,Database!$A:$AS,MATCH($E$1,Database!$A$1:$AS$1,),))))-(((VLOOKUP(EDATE(B332,-12),Database!$A:$AS,MATCH($E$1,Database!$A$1:$AS$1,),)))))/(((VLOOKUP(EDATE(B332,-12),Database!$A:$AS,MATCH($E$1,Database!$A$1:$AS$1,),))))</f>
        <v/>
      </c>
      <c r="F332" s="13">
        <f>((((VLOOKUP(B332,Database!$A:$AS,MATCH($F$1,Database!$A$1:$AS$1,),))))-(((VLOOKUP(EDATE(B332,-12),Database!$A:$AS,MATCH($F$1,Database!$A$1:$AS$1,),)))))/(((VLOOKUP(EDATE(B332,-12),Database!$A:$AS,MATCH($F$1,Database!$A$1:$AS$1,),))))</f>
        <v/>
      </c>
      <c r="G332" s="13">
        <f>((((VLOOKUP(B332,Database!$A:$AS,MATCH($G$1,Database!$A$1:$AS$1,),))))-(((VLOOKUP(EDATE(B332,-12),Database!$A:$AS,MATCH($G$1,Database!$A$1:$AS$1,),)))))/(((VLOOKUP(EDATE(B332,-12),Database!$A:$AS,MATCH($G$1,Database!$A$1:$AS$1,),))))</f>
        <v/>
      </c>
      <c r="H332" s="13">
        <f>((((VLOOKUP(B332,Database!$A:$AS,MATCH($H$1,Database!$A$1:$AS$1,),))))-(((VLOOKUP(EDATE(B332,-12),Database!$A:$AS,MATCH($H$1,Database!$A$1:$AS$1,),)))))/(((VLOOKUP(EDATE(B332,-12),Database!$A:$AS,MATCH($H$1,Database!$A$1:$AS$1,),))))</f>
        <v/>
      </c>
      <c r="I332" s="13">
        <f>((((VLOOKUP(B332,Database!$A:$AS,MATCH($I$1,Database!$A$1:$AS$1,),))))-(((VLOOKUP(EDATE(B332,-12),Database!$A:$AS,MATCH($I$1,Database!$A$1:$AS$1,),)))))/(((VLOOKUP(EDATE(B332,-12),Database!$A:$AS,MATCH($I$1,Database!$A$1:$AS$1,),))))</f>
        <v/>
      </c>
      <c r="J332" s="13">
        <f>((((VLOOKUP(B332,Database!$A:$AS,MATCH($J$1,Database!$A$1:$AS$1,),))))-(((VLOOKUP(EDATE(B332,-12),Database!$A:$AS,MATCH($J$1,Database!$A$1:$AS$1,),)))))/(((VLOOKUP(EDATE(B332,-12),Database!$A:$AS,MATCH($J$1,Database!$A$1:$AS$1,),))))</f>
        <v/>
      </c>
      <c r="K332" s="13">
        <f>((((VLOOKUP(B332,Database!$A:$AS,MATCH($K$1,Database!$A$1:$AS$1,),))))-(((VLOOKUP(EDATE(B332,-12),Database!$A:$AS,MATCH($K$1,Database!$A$1:$AS$1,),)))))/(((VLOOKUP(EDATE(B332,-12),Database!$A:$AS,MATCH($K$1,Database!$A$1:$AS$1,),))))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((((VLOOKUP(B332,Database!$A:$AS,MATCH($O$1,Database!$A$1:$AS$1,),))))-(((VLOOKUP(EDATE(B332,-12),Database!$A:$AS,MATCH($O$1,Database!$A$1:$AS$1,),)))))/(((VLOOKUP(EDATE(B332,-12),Database!$A:$AS,MATCH($O$1,Database!$A$1:$AS$1,),))))</f>
        <v/>
      </c>
      <c r="P332" s="13">
        <f>((((VLOOKUP(B332,Database!$A:$AS,MATCH($P$1,Database!$A$1:$AS$1,),))))-(((VLOOKUP(EDATE(B332,-12),Database!$A:$AS,MATCH($P$1,Database!$A$1:$AS$1,),)))))/(((VLOOKUP(EDATE(B332,-12),Database!$A:$AS,MATCH($P$1,Database!$A$1:$AS$1,),))))</f>
        <v/>
      </c>
      <c r="Q332" s="13">
        <f>((((VLOOKUP(B332,Database!$A:$AS,MATCH($Q$1,Database!$A$1:$AS$1,),))))-(((VLOOKUP(EDATE(B332,-12),Database!$A:$AS,MATCH($Q$1,Database!$A$1:$AS$1,),)))))/(((VLOOKUP(EDATE(B332,-12),Database!$A:$AS,MATCH($Q$1,Database!$A$1:$AS$1,),))))</f>
        <v/>
      </c>
      <c r="R332" s="13">
        <f>((((VLOOKUP(B332,Database!$A:$AS,MATCH($R$1,Database!$A$1:$AS$1,),))))-(((VLOOKUP(EDATE(B332,-12),Database!$A:$AS,MATCH($R$1,Database!$A$1:$AS$1,),)))))/(((VLOOKUP(EDATE(B332,-12),Database!$A:$AS,MATCH($R$1,Database!$A$1:$AS$1,),))))</f>
        <v/>
      </c>
      <c r="S332" s="13">
        <f>((((VLOOKUP(B332,Database!$A:$AS,MATCH($S$1,Database!$A$1:$AS$1,),))))-(((VLOOKUP(EDATE(B332,-12),Database!$A:$AS,MATCH($S$1,Database!$A$1:$AS$1,),)))))/(((VLOOKUP(EDATE(B332,-12),Database!$A:$AS,MATCH($S$1,Database!$A$1:$AS$1,),))))</f>
        <v/>
      </c>
      <c r="T332" s="13">
        <f>((((VLOOKUP(B332,Database!$A:$AS,MATCH($T$1,Database!$A$1:$AS$1,),))))-(((VLOOKUP(EDATE(B332,-12),Database!$A:$AS,MATCH($T$1,Database!$A$1:$AS$1,),)))))/(((VLOOKUP(EDATE(B332,-12),Database!$A:$AS,MATCH($T$1,Database!$A$1:$AS$1,),))))</f>
        <v/>
      </c>
      <c r="U332" s="13">
        <f>((((VLOOKUP(B332,Database!$A:$AS,MATCH($U$1,Database!$A$1:$AS$1,),))))-(((VLOOKUP(EDATE(B332,-12),Database!$A:$AS,MATCH($U$1,Database!$A$1:$AS$1,),)))))/(((VLOOKUP(EDATE(B332,-12),Database!$A:$AS,MATCH($U$1,Database!$A$1:$AS$1,),))))</f>
        <v/>
      </c>
      <c r="V332" s="13">
        <f>((((VLOOKUP(B332,Database!$A:$AS,MATCH($V$1,Database!$A$1:$AS$1,),))))-(((VLOOKUP(EDATE(B332,-12),Database!$A:$AS,MATCH($V$1,Database!$A$1:$AS$1,),)))))/(((VLOOKUP(EDATE(B332,-12),Database!$A:$AS,MATCH($V$1,Database!$A$1:$AS$1,),))))</f>
        <v/>
      </c>
    </row>
    <row r="333" customFormat="1" s="94">
      <c r="A333" s="44" t="n"/>
      <c r="B333" s="85" t="n">
        <v>42278</v>
      </c>
      <c r="C333" s="13">
        <f>((((VLOOKUP(B333,Database!$A:$AS,MATCH($C$1,Database!$A$1:$AS$1,),))))-(((VLOOKUP(EDATE(B333,-12),Database!$A:$AS,MATCH($C$1,Database!$A$1:$AS$1,),)))))/(((VLOOKUP(EDATE(B333,-12),Database!$A:$AS,MATCH($C$1,Database!$A$1:$AS$1,),))))</f>
        <v/>
      </c>
      <c r="D333" s="13">
        <f>((((VLOOKUP(B333,Database!$A:$AS,MATCH($D$1,Database!$A$1:$AS$1,),))))-(((VLOOKUP(EDATE(B333,-12),Database!$A:$AS,MATCH($D$1,Database!$A$1:$AS$1,),)))))/(((VLOOKUP(EDATE(B333,-12),Database!$A:$AS,MATCH($D$1,Database!$A$1:$AS$1,),))))</f>
        <v/>
      </c>
      <c r="E333" s="13">
        <f>((((VLOOKUP(B333,Database!$A:$AS,MATCH($E$1,Database!$A$1:$AS$1,),))))-(((VLOOKUP(EDATE(B333,-12),Database!$A:$AS,MATCH($E$1,Database!$A$1:$AS$1,),)))))/(((VLOOKUP(EDATE(B333,-12),Database!$A:$AS,MATCH($E$1,Database!$A$1:$AS$1,),))))</f>
        <v/>
      </c>
      <c r="F333" s="13">
        <f>((((VLOOKUP(B333,Database!$A:$AS,MATCH($F$1,Database!$A$1:$AS$1,),))))-(((VLOOKUP(EDATE(B333,-12),Database!$A:$AS,MATCH($F$1,Database!$A$1:$AS$1,),)))))/(((VLOOKUP(EDATE(B333,-12),Database!$A:$AS,MATCH($F$1,Database!$A$1:$AS$1,),))))</f>
        <v/>
      </c>
      <c r="G333" s="13">
        <f>((((VLOOKUP(B333,Database!$A:$AS,MATCH($G$1,Database!$A$1:$AS$1,),))))-(((VLOOKUP(EDATE(B333,-12),Database!$A:$AS,MATCH($G$1,Database!$A$1:$AS$1,),)))))/(((VLOOKUP(EDATE(B333,-12),Database!$A:$AS,MATCH($G$1,Database!$A$1:$AS$1,),))))</f>
        <v/>
      </c>
      <c r="H333" s="13">
        <f>((((VLOOKUP(B333,Database!$A:$AS,MATCH($H$1,Database!$A$1:$AS$1,),))))-(((VLOOKUP(EDATE(B333,-12),Database!$A:$AS,MATCH($H$1,Database!$A$1:$AS$1,),)))))/(((VLOOKUP(EDATE(B333,-12),Database!$A:$AS,MATCH($H$1,Database!$A$1:$AS$1,),))))</f>
        <v/>
      </c>
      <c r="I333" s="13">
        <f>((((VLOOKUP(B333,Database!$A:$AS,MATCH($I$1,Database!$A$1:$AS$1,),))))-(((VLOOKUP(EDATE(B333,-12),Database!$A:$AS,MATCH($I$1,Database!$A$1:$AS$1,),)))))/(((VLOOKUP(EDATE(B333,-12),Database!$A:$AS,MATCH($I$1,Database!$A$1:$AS$1,),))))</f>
        <v/>
      </c>
      <c r="J333" s="13">
        <f>((((VLOOKUP(B333,Database!$A:$AS,MATCH($J$1,Database!$A$1:$AS$1,),))))-(((VLOOKUP(EDATE(B333,-12),Database!$A:$AS,MATCH($J$1,Database!$A$1:$AS$1,),)))))/(((VLOOKUP(EDATE(B333,-12),Database!$A:$AS,MATCH($J$1,Database!$A$1:$AS$1,),))))</f>
        <v/>
      </c>
      <c r="K333" s="13">
        <f>((((VLOOKUP(B333,Database!$A:$AS,MATCH($K$1,Database!$A$1:$AS$1,),))))-(((VLOOKUP(EDATE(B333,-12),Database!$A:$AS,MATCH($K$1,Database!$A$1:$AS$1,),)))))/(((VLOOKUP(EDATE(B333,-12),Database!$A:$AS,MATCH($K$1,Database!$A$1:$AS$1,),))))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((((VLOOKUP(B333,Database!$A:$AS,MATCH($O$1,Database!$A$1:$AS$1,),))))-(((VLOOKUP(EDATE(B333,-12),Database!$A:$AS,MATCH($O$1,Database!$A$1:$AS$1,),)))))/(((VLOOKUP(EDATE(B333,-12),Database!$A:$AS,MATCH($O$1,Database!$A$1:$AS$1,),))))</f>
        <v/>
      </c>
      <c r="P333" s="13">
        <f>((((VLOOKUP(B333,Database!$A:$AS,MATCH($P$1,Database!$A$1:$AS$1,),))))-(((VLOOKUP(EDATE(B333,-12),Database!$A:$AS,MATCH($P$1,Database!$A$1:$AS$1,),)))))/(((VLOOKUP(EDATE(B333,-12),Database!$A:$AS,MATCH($P$1,Database!$A$1:$AS$1,),))))</f>
        <v/>
      </c>
      <c r="Q333" s="13">
        <f>((((VLOOKUP(B333,Database!$A:$AS,MATCH($Q$1,Database!$A$1:$AS$1,),))))-(((VLOOKUP(EDATE(B333,-12),Database!$A:$AS,MATCH($Q$1,Database!$A$1:$AS$1,),)))))/(((VLOOKUP(EDATE(B333,-12),Database!$A:$AS,MATCH($Q$1,Database!$A$1:$AS$1,),))))</f>
        <v/>
      </c>
      <c r="R333" s="13">
        <f>((((VLOOKUP(B333,Database!$A:$AS,MATCH($R$1,Database!$A$1:$AS$1,),))))-(((VLOOKUP(EDATE(B333,-12),Database!$A:$AS,MATCH($R$1,Database!$A$1:$AS$1,),)))))/(((VLOOKUP(EDATE(B333,-12),Database!$A:$AS,MATCH($R$1,Database!$A$1:$AS$1,),))))</f>
        <v/>
      </c>
      <c r="S333" s="13">
        <f>((((VLOOKUP(B333,Database!$A:$AS,MATCH($S$1,Database!$A$1:$AS$1,),))))-(((VLOOKUP(EDATE(B333,-12),Database!$A:$AS,MATCH($S$1,Database!$A$1:$AS$1,),)))))/(((VLOOKUP(EDATE(B333,-12),Database!$A:$AS,MATCH($S$1,Database!$A$1:$AS$1,),))))</f>
        <v/>
      </c>
      <c r="T333" s="13">
        <f>((((VLOOKUP(B333,Database!$A:$AS,MATCH($T$1,Database!$A$1:$AS$1,),))))-(((VLOOKUP(EDATE(B333,-12),Database!$A:$AS,MATCH($T$1,Database!$A$1:$AS$1,),)))))/(((VLOOKUP(EDATE(B333,-12),Database!$A:$AS,MATCH($T$1,Database!$A$1:$AS$1,),))))</f>
        <v/>
      </c>
      <c r="U333" s="13">
        <f>((((VLOOKUP(B333,Database!$A:$AS,MATCH($U$1,Database!$A$1:$AS$1,),))))-(((VLOOKUP(EDATE(B333,-12),Database!$A:$AS,MATCH($U$1,Database!$A$1:$AS$1,),)))))/(((VLOOKUP(EDATE(B333,-12),Database!$A:$AS,MATCH($U$1,Database!$A$1:$AS$1,),))))</f>
        <v/>
      </c>
      <c r="V333" s="13">
        <f>((((VLOOKUP(B333,Database!$A:$AS,MATCH($V$1,Database!$A$1:$AS$1,),))))-(((VLOOKUP(EDATE(B333,-12),Database!$A:$AS,MATCH($V$1,Database!$A$1:$AS$1,),)))))/(((VLOOKUP(EDATE(B333,-12),Database!$A:$AS,MATCH($V$1,Database!$A$1:$AS$1,),))))</f>
        <v/>
      </c>
    </row>
    <row r="334" customFormat="1" s="94">
      <c r="A334" s="44" t="n"/>
      <c r="B334" s="85" t="n">
        <v>42309</v>
      </c>
      <c r="C334" s="13">
        <f>((((VLOOKUP(B334,Database!$A:$AS,MATCH($C$1,Database!$A$1:$AS$1,),))))-(((VLOOKUP(EDATE(B334,-12),Database!$A:$AS,MATCH($C$1,Database!$A$1:$AS$1,),)))))/(((VLOOKUP(EDATE(B334,-12),Database!$A:$AS,MATCH($C$1,Database!$A$1:$AS$1,),))))</f>
        <v/>
      </c>
      <c r="D334" s="13">
        <f>((((VLOOKUP(B334,Database!$A:$AS,MATCH($D$1,Database!$A$1:$AS$1,),))))-(((VLOOKUP(EDATE(B334,-12),Database!$A:$AS,MATCH($D$1,Database!$A$1:$AS$1,),)))))/(((VLOOKUP(EDATE(B334,-12),Database!$A:$AS,MATCH($D$1,Database!$A$1:$AS$1,),))))</f>
        <v/>
      </c>
      <c r="E334" s="13">
        <f>((((VLOOKUP(B334,Database!$A:$AS,MATCH($E$1,Database!$A$1:$AS$1,),))))-(((VLOOKUP(EDATE(B334,-12),Database!$A:$AS,MATCH($E$1,Database!$A$1:$AS$1,),)))))/(((VLOOKUP(EDATE(B334,-12),Database!$A:$AS,MATCH($E$1,Database!$A$1:$AS$1,),))))</f>
        <v/>
      </c>
      <c r="F334" s="13">
        <f>((((VLOOKUP(B334,Database!$A:$AS,MATCH($F$1,Database!$A$1:$AS$1,),))))-(((VLOOKUP(EDATE(B334,-12),Database!$A:$AS,MATCH($F$1,Database!$A$1:$AS$1,),)))))/(((VLOOKUP(EDATE(B334,-12),Database!$A:$AS,MATCH($F$1,Database!$A$1:$AS$1,),))))</f>
        <v/>
      </c>
      <c r="G334" s="13">
        <f>((((VLOOKUP(B334,Database!$A:$AS,MATCH($G$1,Database!$A$1:$AS$1,),))))-(((VLOOKUP(EDATE(B334,-12),Database!$A:$AS,MATCH($G$1,Database!$A$1:$AS$1,),)))))/(((VLOOKUP(EDATE(B334,-12),Database!$A:$AS,MATCH($G$1,Database!$A$1:$AS$1,),))))</f>
        <v/>
      </c>
      <c r="H334" s="13">
        <f>((((VLOOKUP(B334,Database!$A:$AS,MATCH($H$1,Database!$A$1:$AS$1,),))))-(((VLOOKUP(EDATE(B334,-12),Database!$A:$AS,MATCH($H$1,Database!$A$1:$AS$1,),)))))/(((VLOOKUP(EDATE(B334,-12),Database!$A:$AS,MATCH($H$1,Database!$A$1:$AS$1,),))))</f>
        <v/>
      </c>
      <c r="I334" s="13">
        <f>((((VLOOKUP(B334,Database!$A:$AS,MATCH($I$1,Database!$A$1:$AS$1,),))))-(((VLOOKUP(EDATE(B334,-12),Database!$A:$AS,MATCH($I$1,Database!$A$1:$AS$1,),)))))/(((VLOOKUP(EDATE(B334,-12),Database!$A:$AS,MATCH($I$1,Database!$A$1:$AS$1,),))))</f>
        <v/>
      </c>
      <c r="J334" s="13">
        <f>((((VLOOKUP(B334,Database!$A:$AS,MATCH($J$1,Database!$A$1:$AS$1,),))))-(((VLOOKUP(EDATE(B334,-12),Database!$A:$AS,MATCH($J$1,Database!$A$1:$AS$1,),)))))/(((VLOOKUP(EDATE(B334,-12),Database!$A:$AS,MATCH($J$1,Database!$A$1:$AS$1,),))))</f>
        <v/>
      </c>
      <c r="K334" s="13">
        <f>((((VLOOKUP(B334,Database!$A:$AS,MATCH($K$1,Database!$A$1:$AS$1,),))))-(((VLOOKUP(EDATE(B334,-12),Database!$A:$AS,MATCH($K$1,Database!$A$1:$AS$1,),)))))/(((VLOOKUP(EDATE(B334,-12),Database!$A:$AS,MATCH($K$1,Database!$A$1:$AS$1,),))))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((((VLOOKUP(B334,Database!$A:$AS,MATCH($O$1,Database!$A$1:$AS$1,),))))-(((VLOOKUP(EDATE(B334,-12),Database!$A:$AS,MATCH($O$1,Database!$A$1:$AS$1,),)))))/(((VLOOKUP(EDATE(B334,-12),Database!$A:$AS,MATCH($O$1,Database!$A$1:$AS$1,),))))</f>
        <v/>
      </c>
      <c r="P334" s="13">
        <f>((((VLOOKUP(B334,Database!$A:$AS,MATCH($P$1,Database!$A$1:$AS$1,),))))-(((VLOOKUP(EDATE(B334,-12),Database!$A:$AS,MATCH($P$1,Database!$A$1:$AS$1,),)))))/(((VLOOKUP(EDATE(B334,-12),Database!$A:$AS,MATCH($P$1,Database!$A$1:$AS$1,),))))</f>
        <v/>
      </c>
      <c r="Q334" s="13">
        <f>((((VLOOKUP(B334,Database!$A:$AS,MATCH($Q$1,Database!$A$1:$AS$1,),))))-(((VLOOKUP(EDATE(B334,-12),Database!$A:$AS,MATCH($Q$1,Database!$A$1:$AS$1,),)))))/(((VLOOKUP(EDATE(B334,-12),Database!$A:$AS,MATCH($Q$1,Database!$A$1:$AS$1,),))))</f>
        <v/>
      </c>
      <c r="R334" s="13">
        <f>((((VLOOKUP(B334,Database!$A:$AS,MATCH($R$1,Database!$A$1:$AS$1,),))))-(((VLOOKUP(EDATE(B334,-12),Database!$A:$AS,MATCH($R$1,Database!$A$1:$AS$1,),)))))/(((VLOOKUP(EDATE(B334,-12),Database!$A:$AS,MATCH($R$1,Database!$A$1:$AS$1,),))))</f>
        <v/>
      </c>
      <c r="S334" s="13">
        <f>((((VLOOKUP(B334,Database!$A:$AS,MATCH($S$1,Database!$A$1:$AS$1,),))))-(((VLOOKUP(EDATE(B334,-12),Database!$A:$AS,MATCH($S$1,Database!$A$1:$AS$1,),)))))/(((VLOOKUP(EDATE(B334,-12),Database!$A:$AS,MATCH($S$1,Database!$A$1:$AS$1,),))))</f>
        <v/>
      </c>
      <c r="T334" s="13">
        <f>((((VLOOKUP(B334,Database!$A:$AS,MATCH($T$1,Database!$A$1:$AS$1,),))))-(((VLOOKUP(EDATE(B334,-12),Database!$A:$AS,MATCH($T$1,Database!$A$1:$AS$1,),)))))/(((VLOOKUP(EDATE(B334,-12),Database!$A:$AS,MATCH($T$1,Database!$A$1:$AS$1,),))))</f>
        <v/>
      </c>
      <c r="U334" s="13">
        <f>((((VLOOKUP(B334,Database!$A:$AS,MATCH($U$1,Database!$A$1:$AS$1,),))))-(((VLOOKUP(EDATE(B334,-12),Database!$A:$AS,MATCH($U$1,Database!$A$1:$AS$1,),)))))/(((VLOOKUP(EDATE(B334,-12),Database!$A:$AS,MATCH($U$1,Database!$A$1:$AS$1,),))))</f>
        <v/>
      </c>
      <c r="V334" s="13">
        <f>((((VLOOKUP(B334,Database!$A:$AS,MATCH($V$1,Database!$A$1:$AS$1,),))))-(((VLOOKUP(EDATE(B334,-12),Database!$A:$AS,MATCH($V$1,Database!$A$1:$AS$1,),)))))/(((VLOOKUP(EDATE(B334,-12),Database!$A:$AS,MATCH($V$1,Database!$A$1:$AS$1,),))))</f>
        <v/>
      </c>
    </row>
    <row r="335" customFormat="1" s="94">
      <c r="A335" s="44" t="n"/>
      <c r="B335" s="85" t="n">
        <v>42339</v>
      </c>
      <c r="C335" s="13">
        <f>((((VLOOKUP(B335,Database!$A:$AS,MATCH($C$1,Database!$A$1:$AS$1,),))))-(((VLOOKUP(EDATE(B335,-12),Database!$A:$AS,MATCH($C$1,Database!$A$1:$AS$1,),)))))/(((VLOOKUP(EDATE(B335,-12),Database!$A:$AS,MATCH($C$1,Database!$A$1:$AS$1,),))))</f>
        <v/>
      </c>
      <c r="D335" s="13">
        <f>((((VLOOKUP(B335,Database!$A:$AS,MATCH($D$1,Database!$A$1:$AS$1,),))))-(((VLOOKUP(EDATE(B335,-12),Database!$A:$AS,MATCH($D$1,Database!$A$1:$AS$1,),)))))/(((VLOOKUP(EDATE(B335,-12),Database!$A:$AS,MATCH($D$1,Database!$A$1:$AS$1,),))))</f>
        <v/>
      </c>
      <c r="E335" s="13">
        <f>((((VLOOKUP(B335,Database!$A:$AS,MATCH($E$1,Database!$A$1:$AS$1,),))))-(((VLOOKUP(EDATE(B335,-12),Database!$A:$AS,MATCH($E$1,Database!$A$1:$AS$1,),)))))/(((VLOOKUP(EDATE(B335,-12),Database!$A:$AS,MATCH($E$1,Database!$A$1:$AS$1,),))))</f>
        <v/>
      </c>
      <c r="F335" s="13">
        <f>((((VLOOKUP(B335,Database!$A:$AS,MATCH($F$1,Database!$A$1:$AS$1,),))))-(((VLOOKUP(EDATE(B335,-12),Database!$A:$AS,MATCH($F$1,Database!$A$1:$AS$1,),)))))/(((VLOOKUP(EDATE(B335,-12),Database!$A:$AS,MATCH($F$1,Database!$A$1:$AS$1,),))))</f>
        <v/>
      </c>
      <c r="G335" s="13">
        <f>((((VLOOKUP(B335,Database!$A:$AS,MATCH($G$1,Database!$A$1:$AS$1,),))))-(((VLOOKUP(EDATE(B335,-12),Database!$A:$AS,MATCH($G$1,Database!$A$1:$AS$1,),)))))/(((VLOOKUP(EDATE(B335,-12),Database!$A:$AS,MATCH($G$1,Database!$A$1:$AS$1,),))))</f>
        <v/>
      </c>
      <c r="H335" s="13">
        <f>((((VLOOKUP(B335,Database!$A:$AS,MATCH($H$1,Database!$A$1:$AS$1,),))))-(((VLOOKUP(EDATE(B335,-12),Database!$A:$AS,MATCH($H$1,Database!$A$1:$AS$1,),)))))/(((VLOOKUP(EDATE(B335,-12),Database!$A:$AS,MATCH($H$1,Database!$A$1:$AS$1,),))))</f>
        <v/>
      </c>
      <c r="I335" s="13">
        <f>((((VLOOKUP(B335,Database!$A:$AS,MATCH($I$1,Database!$A$1:$AS$1,),))))-(((VLOOKUP(EDATE(B335,-12),Database!$A:$AS,MATCH($I$1,Database!$A$1:$AS$1,),)))))/(((VLOOKUP(EDATE(B335,-12),Database!$A:$AS,MATCH($I$1,Database!$A$1:$AS$1,),))))</f>
        <v/>
      </c>
      <c r="J335" s="13">
        <f>((((VLOOKUP(B335,Database!$A:$AS,MATCH($J$1,Database!$A$1:$AS$1,),))))-(((VLOOKUP(EDATE(B335,-12),Database!$A:$AS,MATCH($J$1,Database!$A$1:$AS$1,),)))))/(((VLOOKUP(EDATE(B335,-12),Database!$A:$AS,MATCH($J$1,Database!$A$1:$AS$1,),))))</f>
        <v/>
      </c>
      <c r="K335" s="13">
        <f>((((VLOOKUP(B335,Database!$A:$AS,MATCH($K$1,Database!$A$1:$AS$1,),))))-(((VLOOKUP(EDATE(B335,-12),Database!$A:$AS,MATCH($K$1,Database!$A$1:$AS$1,),)))))/(((VLOOKUP(EDATE(B335,-12),Database!$A:$AS,MATCH($K$1,Database!$A$1:$AS$1,),))))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((((VLOOKUP(B335,Database!$A:$AS,MATCH($O$1,Database!$A$1:$AS$1,),))))-(((VLOOKUP(EDATE(B335,-12),Database!$A:$AS,MATCH($O$1,Database!$A$1:$AS$1,),)))))/(((VLOOKUP(EDATE(B335,-12),Database!$A:$AS,MATCH($O$1,Database!$A$1:$AS$1,),))))</f>
        <v/>
      </c>
      <c r="P335" s="13">
        <f>((((VLOOKUP(B335,Database!$A:$AS,MATCH($P$1,Database!$A$1:$AS$1,),))))-(((VLOOKUP(EDATE(B335,-12),Database!$A:$AS,MATCH($P$1,Database!$A$1:$AS$1,),)))))/(((VLOOKUP(EDATE(B335,-12),Database!$A:$AS,MATCH($P$1,Database!$A$1:$AS$1,),))))</f>
        <v/>
      </c>
      <c r="Q335" s="13">
        <f>((((VLOOKUP(B335,Database!$A:$AS,MATCH($Q$1,Database!$A$1:$AS$1,),))))-(((VLOOKUP(EDATE(B335,-12),Database!$A:$AS,MATCH($Q$1,Database!$A$1:$AS$1,),)))))/(((VLOOKUP(EDATE(B335,-12),Database!$A:$AS,MATCH($Q$1,Database!$A$1:$AS$1,),))))</f>
        <v/>
      </c>
      <c r="R335" s="13">
        <f>((((VLOOKUP(B335,Database!$A:$AS,MATCH($R$1,Database!$A$1:$AS$1,),))))-(((VLOOKUP(EDATE(B335,-12),Database!$A:$AS,MATCH($R$1,Database!$A$1:$AS$1,),)))))/(((VLOOKUP(EDATE(B335,-12),Database!$A:$AS,MATCH($R$1,Database!$A$1:$AS$1,),))))</f>
        <v/>
      </c>
      <c r="S335" s="13">
        <f>((((VLOOKUP(B335,Database!$A:$AS,MATCH($S$1,Database!$A$1:$AS$1,),))))-(((VLOOKUP(EDATE(B335,-12),Database!$A:$AS,MATCH($S$1,Database!$A$1:$AS$1,),)))))/(((VLOOKUP(EDATE(B335,-12),Database!$A:$AS,MATCH($S$1,Database!$A$1:$AS$1,),))))</f>
        <v/>
      </c>
      <c r="T335" s="13">
        <f>((((VLOOKUP(B335,Database!$A:$AS,MATCH($T$1,Database!$A$1:$AS$1,),))))-(((VLOOKUP(EDATE(B335,-12),Database!$A:$AS,MATCH($T$1,Database!$A$1:$AS$1,),)))))/(((VLOOKUP(EDATE(B335,-12),Database!$A:$AS,MATCH($T$1,Database!$A$1:$AS$1,),))))</f>
        <v/>
      </c>
      <c r="U335" s="13">
        <f>((((VLOOKUP(B335,Database!$A:$AS,MATCH($U$1,Database!$A$1:$AS$1,),))))-(((VLOOKUP(EDATE(B335,-12),Database!$A:$AS,MATCH($U$1,Database!$A$1:$AS$1,),)))))/(((VLOOKUP(EDATE(B335,-12),Database!$A:$AS,MATCH($U$1,Database!$A$1:$AS$1,),))))</f>
        <v/>
      </c>
      <c r="V335" s="13">
        <f>((((VLOOKUP(B335,Database!$A:$AS,MATCH($V$1,Database!$A$1:$AS$1,),))))-(((VLOOKUP(EDATE(B335,-12),Database!$A:$AS,MATCH($V$1,Database!$A$1:$AS$1,),)))))/(((VLOOKUP(EDATE(B335,-12),Database!$A:$AS,MATCH($V$1,Database!$A$1:$AS$1,),))))</f>
        <v/>
      </c>
    </row>
    <row r="336" customFormat="1" s="94">
      <c r="A336" s="44" t="n"/>
      <c r="B336" s="85" t="n">
        <v>42370</v>
      </c>
      <c r="C336" s="13">
        <f>((((VLOOKUP(B336,Database!$A:$AS,MATCH($C$1,Database!$A$1:$AS$1,),))))-(((VLOOKUP(EDATE(B336,-12),Database!$A:$AS,MATCH($C$1,Database!$A$1:$AS$1,),)))))/(((VLOOKUP(EDATE(B336,-12),Database!$A:$AS,MATCH($C$1,Database!$A$1:$AS$1,),))))</f>
        <v/>
      </c>
      <c r="D336" s="13">
        <f>((((VLOOKUP(B336,Database!$A:$AS,MATCH($D$1,Database!$A$1:$AS$1,),))))-(((VLOOKUP(EDATE(B336,-12),Database!$A:$AS,MATCH($D$1,Database!$A$1:$AS$1,),)))))/(((VLOOKUP(EDATE(B336,-12),Database!$A:$AS,MATCH($D$1,Database!$A$1:$AS$1,),))))</f>
        <v/>
      </c>
      <c r="E336" s="13">
        <f>((((VLOOKUP(B336,Database!$A:$AS,MATCH($E$1,Database!$A$1:$AS$1,),))))-(((VLOOKUP(EDATE(B336,-12),Database!$A:$AS,MATCH($E$1,Database!$A$1:$AS$1,),)))))/(((VLOOKUP(EDATE(B336,-12),Database!$A:$AS,MATCH($E$1,Database!$A$1:$AS$1,),))))</f>
        <v/>
      </c>
      <c r="F336" s="13">
        <f>((((VLOOKUP(B336,Database!$A:$AS,MATCH($F$1,Database!$A$1:$AS$1,),))))-(((VLOOKUP(EDATE(B336,-12),Database!$A:$AS,MATCH($F$1,Database!$A$1:$AS$1,),)))))/(((VLOOKUP(EDATE(B336,-12),Database!$A:$AS,MATCH($F$1,Database!$A$1:$AS$1,),))))</f>
        <v/>
      </c>
      <c r="G336" s="13">
        <f>((((VLOOKUP(B336,Database!$A:$AS,MATCH($G$1,Database!$A$1:$AS$1,),))))-(((VLOOKUP(EDATE(B336,-12),Database!$A:$AS,MATCH($G$1,Database!$A$1:$AS$1,),)))))/(((VLOOKUP(EDATE(B336,-12),Database!$A:$AS,MATCH($G$1,Database!$A$1:$AS$1,),))))</f>
        <v/>
      </c>
      <c r="H336" s="13">
        <f>((((VLOOKUP(B336,Database!$A:$AS,MATCH($H$1,Database!$A$1:$AS$1,),))))-(((VLOOKUP(EDATE(B336,-12),Database!$A:$AS,MATCH($H$1,Database!$A$1:$AS$1,),)))))/(((VLOOKUP(EDATE(B336,-12),Database!$A:$AS,MATCH($H$1,Database!$A$1:$AS$1,),))))</f>
        <v/>
      </c>
      <c r="I336" s="13">
        <f>((((VLOOKUP(B336,Database!$A:$AS,MATCH($I$1,Database!$A$1:$AS$1,),))))-(((VLOOKUP(EDATE(B336,-12),Database!$A:$AS,MATCH($I$1,Database!$A$1:$AS$1,),)))))/(((VLOOKUP(EDATE(B336,-12),Database!$A:$AS,MATCH($I$1,Database!$A$1:$AS$1,),))))</f>
        <v/>
      </c>
      <c r="J336" s="13">
        <f>((((VLOOKUP(B336,Database!$A:$AS,MATCH($J$1,Database!$A$1:$AS$1,),))))-(((VLOOKUP(EDATE(B336,-12),Database!$A:$AS,MATCH($J$1,Database!$A$1:$AS$1,),)))))/(((VLOOKUP(EDATE(B336,-12),Database!$A:$AS,MATCH($J$1,Database!$A$1:$AS$1,),))))</f>
        <v/>
      </c>
      <c r="K336" s="13">
        <f>((((VLOOKUP(B336,Database!$A:$AS,MATCH($K$1,Database!$A$1:$AS$1,),))))-(((VLOOKUP(EDATE(B336,-12),Database!$A:$AS,MATCH($K$1,Database!$A$1:$AS$1,),)))))/(((VLOOKUP(EDATE(B336,-12),Database!$A:$AS,MATCH($K$1,Database!$A$1:$AS$1,),))))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((((VLOOKUP(B336,Database!$A:$AS,MATCH($O$1,Database!$A$1:$AS$1,),))))-(((VLOOKUP(EDATE(B336,-12),Database!$A:$AS,MATCH($O$1,Database!$A$1:$AS$1,),)))))/(((VLOOKUP(EDATE(B336,-12),Database!$A:$AS,MATCH($O$1,Database!$A$1:$AS$1,),))))</f>
        <v/>
      </c>
      <c r="P336" s="13">
        <f>((((VLOOKUP(B336,Database!$A:$AS,MATCH($P$1,Database!$A$1:$AS$1,),))))-(((VLOOKUP(EDATE(B336,-12),Database!$A:$AS,MATCH($P$1,Database!$A$1:$AS$1,),)))))/(((VLOOKUP(EDATE(B336,-12),Database!$A:$AS,MATCH($P$1,Database!$A$1:$AS$1,),))))</f>
        <v/>
      </c>
      <c r="Q336" s="13">
        <f>((((VLOOKUP(B336,Database!$A:$AS,MATCH($Q$1,Database!$A$1:$AS$1,),))))-(((VLOOKUP(EDATE(B336,-12),Database!$A:$AS,MATCH($Q$1,Database!$A$1:$AS$1,),)))))/(((VLOOKUP(EDATE(B336,-12),Database!$A:$AS,MATCH($Q$1,Database!$A$1:$AS$1,),))))</f>
        <v/>
      </c>
      <c r="R336" s="13">
        <f>((((VLOOKUP(B336,Database!$A:$AS,MATCH($R$1,Database!$A$1:$AS$1,),))))-(((VLOOKUP(EDATE(B336,-12),Database!$A:$AS,MATCH($R$1,Database!$A$1:$AS$1,),)))))/(((VLOOKUP(EDATE(B336,-12),Database!$A:$AS,MATCH($R$1,Database!$A$1:$AS$1,),))))</f>
        <v/>
      </c>
      <c r="S336" s="13">
        <f>((((VLOOKUP(B336,Database!$A:$AS,MATCH($S$1,Database!$A$1:$AS$1,),))))-(((VLOOKUP(EDATE(B336,-12),Database!$A:$AS,MATCH($S$1,Database!$A$1:$AS$1,),)))))/(((VLOOKUP(EDATE(B336,-12),Database!$A:$AS,MATCH($S$1,Database!$A$1:$AS$1,),))))</f>
        <v/>
      </c>
      <c r="T336" s="13">
        <f>((((VLOOKUP(B336,Database!$A:$AS,MATCH($T$1,Database!$A$1:$AS$1,),))))-(((VLOOKUP(EDATE(B336,-12),Database!$A:$AS,MATCH($T$1,Database!$A$1:$AS$1,),)))))/(((VLOOKUP(EDATE(B336,-12),Database!$A:$AS,MATCH($T$1,Database!$A$1:$AS$1,),))))</f>
        <v/>
      </c>
      <c r="U336" s="13">
        <f>((((VLOOKUP(B336,Database!$A:$AS,MATCH($U$1,Database!$A$1:$AS$1,),))))-(((VLOOKUP(EDATE(B336,-12),Database!$A:$AS,MATCH($U$1,Database!$A$1:$AS$1,),)))))/(((VLOOKUP(EDATE(B336,-12),Database!$A:$AS,MATCH($U$1,Database!$A$1:$AS$1,),))))</f>
        <v/>
      </c>
      <c r="V336" s="13">
        <f>((((VLOOKUP(B336,Database!$A:$AS,MATCH($V$1,Database!$A$1:$AS$1,),))))-(((VLOOKUP(EDATE(B336,-12),Database!$A:$AS,MATCH($V$1,Database!$A$1:$AS$1,),)))))/(((VLOOKUP(EDATE(B336,-12),Database!$A:$AS,MATCH($V$1,Database!$A$1:$AS$1,),))))</f>
        <v/>
      </c>
    </row>
    <row r="337" customFormat="1" s="94">
      <c r="A337" s="44" t="n"/>
      <c r="B337" s="85" t="n">
        <v>42401</v>
      </c>
      <c r="C337" s="13">
        <f>((((VLOOKUP(B337,Database!$A:$AS,MATCH($C$1,Database!$A$1:$AS$1,),))))-(((VLOOKUP(EDATE(B337,-12),Database!$A:$AS,MATCH($C$1,Database!$A$1:$AS$1,),)))))/(((VLOOKUP(EDATE(B337,-12),Database!$A:$AS,MATCH($C$1,Database!$A$1:$AS$1,),))))</f>
        <v/>
      </c>
      <c r="D337" s="13">
        <f>((((VLOOKUP(B337,Database!$A:$AS,MATCH($D$1,Database!$A$1:$AS$1,),))))-(((VLOOKUP(EDATE(B337,-12),Database!$A:$AS,MATCH($D$1,Database!$A$1:$AS$1,),)))))/(((VLOOKUP(EDATE(B337,-12),Database!$A:$AS,MATCH($D$1,Database!$A$1:$AS$1,),))))</f>
        <v/>
      </c>
      <c r="E337" s="13">
        <f>((((VLOOKUP(B337,Database!$A:$AS,MATCH($E$1,Database!$A$1:$AS$1,),))))-(((VLOOKUP(EDATE(B337,-12),Database!$A:$AS,MATCH($E$1,Database!$A$1:$AS$1,),)))))/(((VLOOKUP(EDATE(B337,-12),Database!$A:$AS,MATCH($E$1,Database!$A$1:$AS$1,),))))</f>
        <v/>
      </c>
      <c r="F337" s="13">
        <f>((((VLOOKUP(B337,Database!$A:$AS,MATCH($F$1,Database!$A$1:$AS$1,),))))-(((VLOOKUP(EDATE(B337,-12),Database!$A:$AS,MATCH($F$1,Database!$A$1:$AS$1,),)))))/(((VLOOKUP(EDATE(B337,-12),Database!$A:$AS,MATCH($F$1,Database!$A$1:$AS$1,),))))</f>
        <v/>
      </c>
      <c r="G337" s="13">
        <f>((((VLOOKUP(B337,Database!$A:$AS,MATCH($G$1,Database!$A$1:$AS$1,),))))-(((VLOOKUP(EDATE(B337,-12),Database!$A:$AS,MATCH($G$1,Database!$A$1:$AS$1,),)))))/(((VLOOKUP(EDATE(B337,-12),Database!$A:$AS,MATCH($G$1,Database!$A$1:$AS$1,),))))</f>
        <v/>
      </c>
      <c r="H337" s="13">
        <f>((((VLOOKUP(B337,Database!$A:$AS,MATCH($H$1,Database!$A$1:$AS$1,),))))-(((VLOOKUP(EDATE(B337,-12),Database!$A:$AS,MATCH($H$1,Database!$A$1:$AS$1,),)))))/(((VLOOKUP(EDATE(B337,-12),Database!$A:$AS,MATCH($H$1,Database!$A$1:$AS$1,),))))</f>
        <v/>
      </c>
      <c r="I337" s="13">
        <f>((((VLOOKUP(B337,Database!$A:$AS,MATCH($I$1,Database!$A$1:$AS$1,),))))-(((VLOOKUP(EDATE(B337,-12),Database!$A:$AS,MATCH($I$1,Database!$A$1:$AS$1,),)))))/(((VLOOKUP(EDATE(B337,-12),Database!$A:$AS,MATCH($I$1,Database!$A$1:$AS$1,),))))</f>
        <v/>
      </c>
      <c r="J337" s="13">
        <f>((((VLOOKUP(B337,Database!$A:$AS,MATCH($J$1,Database!$A$1:$AS$1,),))))-(((VLOOKUP(EDATE(B337,-12),Database!$A:$AS,MATCH($J$1,Database!$A$1:$AS$1,),)))))/(((VLOOKUP(EDATE(B337,-12),Database!$A:$AS,MATCH($J$1,Database!$A$1:$AS$1,),))))</f>
        <v/>
      </c>
      <c r="K337" s="13">
        <f>((((VLOOKUP(B337,Database!$A:$AS,MATCH($K$1,Database!$A$1:$AS$1,),))))-(((VLOOKUP(EDATE(B337,-12),Database!$A:$AS,MATCH($K$1,Database!$A$1:$AS$1,),)))))/(((VLOOKUP(EDATE(B337,-12),Database!$A:$AS,MATCH($K$1,Database!$A$1:$AS$1,),))))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((((VLOOKUP(B337,Database!$A:$AS,MATCH($O$1,Database!$A$1:$AS$1,),))))-(((VLOOKUP(EDATE(B337,-12),Database!$A:$AS,MATCH($O$1,Database!$A$1:$AS$1,),)))))/(((VLOOKUP(EDATE(B337,-12),Database!$A:$AS,MATCH($O$1,Database!$A$1:$AS$1,),))))</f>
        <v/>
      </c>
      <c r="P337" s="13">
        <f>((((VLOOKUP(B337,Database!$A:$AS,MATCH($P$1,Database!$A$1:$AS$1,),))))-(((VLOOKUP(EDATE(B337,-12),Database!$A:$AS,MATCH($P$1,Database!$A$1:$AS$1,),)))))/(((VLOOKUP(EDATE(B337,-12),Database!$A:$AS,MATCH($P$1,Database!$A$1:$AS$1,),))))</f>
        <v/>
      </c>
      <c r="Q337" s="13">
        <f>((((VLOOKUP(B337,Database!$A:$AS,MATCH($Q$1,Database!$A$1:$AS$1,),))))-(((VLOOKUP(EDATE(B337,-12),Database!$A:$AS,MATCH($Q$1,Database!$A$1:$AS$1,),)))))/(((VLOOKUP(EDATE(B337,-12),Database!$A:$AS,MATCH($Q$1,Database!$A$1:$AS$1,),))))</f>
        <v/>
      </c>
      <c r="R337" s="13">
        <f>((((VLOOKUP(B337,Database!$A:$AS,MATCH($R$1,Database!$A$1:$AS$1,),))))-(((VLOOKUP(EDATE(B337,-12),Database!$A:$AS,MATCH($R$1,Database!$A$1:$AS$1,),)))))/(((VLOOKUP(EDATE(B337,-12),Database!$A:$AS,MATCH($R$1,Database!$A$1:$AS$1,),))))</f>
        <v/>
      </c>
      <c r="S337" s="13">
        <f>((((VLOOKUP(B337,Database!$A:$AS,MATCH($S$1,Database!$A$1:$AS$1,),))))-(((VLOOKUP(EDATE(B337,-12),Database!$A:$AS,MATCH($S$1,Database!$A$1:$AS$1,),)))))/(((VLOOKUP(EDATE(B337,-12),Database!$A:$AS,MATCH($S$1,Database!$A$1:$AS$1,),))))</f>
        <v/>
      </c>
      <c r="T337" s="13">
        <f>((((VLOOKUP(B337,Database!$A:$AS,MATCH($T$1,Database!$A$1:$AS$1,),))))-(((VLOOKUP(EDATE(B337,-12),Database!$A:$AS,MATCH($T$1,Database!$A$1:$AS$1,),)))))/(((VLOOKUP(EDATE(B337,-12),Database!$A:$AS,MATCH($T$1,Database!$A$1:$AS$1,),))))</f>
        <v/>
      </c>
      <c r="U337" s="13">
        <f>((((VLOOKUP(B337,Database!$A:$AS,MATCH($U$1,Database!$A$1:$AS$1,),))))-(((VLOOKUP(EDATE(B337,-12),Database!$A:$AS,MATCH($U$1,Database!$A$1:$AS$1,),)))))/(((VLOOKUP(EDATE(B337,-12),Database!$A:$AS,MATCH($U$1,Database!$A$1:$AS$1,),))))</f>
        <v/>
      </c>
      <c r="V337" s="13">
        <f>((((VLOOKUP(B337,Database!$A:$AS,MATCH($V$1,Database!$A$1:$AS$1,),))))-(((VLOOKUP(EDATE(B337,-12),Database!$A:$AS,MATCH($V$1,Database!$A$1:$AS$1,),)))))/(((VLOOKUP(EDATE(B337,-12),Database!$A:$AS,MATCH($V$1,Database!$A$1:$AS$1,),))))</f>
        <v/>
      </c>
    </row>
    <row r="338" customFormat="1" s="94">
      <c r="A338" s="44" t="n"/>
      <c r="B338" s="85" t="n">
        <v>42430</v>
      </c>
      <c r="C338" s="13">
        <f>((((VLOOKUP(B338,Database!$A:$AS,MATCH($C$1,Database!$A$1:$AS$1,),))))-(((VLOOKUP(EDATE(B338,-12),Database!$A:$AS,MATCH($C$1,Database!$A$1:$AS$1,),)))))/(((VLOOKUP(EDATE(B338,-12),Database!$A:$AS,MATCH($C$1,Database!$A$1:$AS$1,),))))</f>
        <v/>
      </c>
      <c r="D338" s="13">
        <f>((((VLOOKUP(B338,Database!$A:$AS,MATCH($D$1,Database!$A$1:$AS$1,),))))-(((VLOOKUP(EDATE(B338,-12),Database!$A:$AS,MATCH($D$1,Database!$A$1:$AS$1,),)))))/(((VLOOKUP(EDATE(B338,-12),Database!$A:$AS,MATCH($D$1,Database!$A$1:$AS$1,),))))</f>
        <v/>
      </c>
      <c r="E338" s="13">
        <f>((((VLOOKUP(B338,Database!$A:$AS,MATCH($E$1,Database!$A$1:$AS$1,),))))-(((VLOOKUP(EDATE(B338,-12),Database!$A:$AS,MATCH($E$1,Database!$A$1:$AS$1,),)))))/(((VLOOKUP(EDATE(B338,-12),Database!$A:$AS,MATCH($E$1,Database!$A$1:$AS$1,),))))</f>
        <v/>
      </c>
      <c r="F338" s="13">
        <f>((((VLOOKUP(B338,Database!$A:$AS,MATCH($F$1,Database!$A$1:$AS$1,),))))-(((VLOOKUP(EDATE(B338,-12),Database!$A:$AS,MATCH($F$1,Database!$A$1:$AS$1,),)))))/(((VLOOKUP(EDATE(B338,-12),Database!$A:$AS,MATCH($F$1,Database!$A$1:$AS$1,),))))</f>
        <v/>
      </c>
      <c r="G338" s="13">
        <f>((((VLOOKUP(B338,Database!$A:$AS,MATCH($G$1,Database!$A$1:$AS$1,),))))-(((VLOOKUP(EDATE(B338,-12),Database!$A:$AS,MATCH($G$1,Database!$A$1:$AS$1,),)))))/(((VLOOKUP(EDATE(B338,-12),Database!$A:$AS,MATCH($G$1,Database!$A$1:$AS$1,),))))</f>
        <v/>
      </c>
      <c r="H338" s="13">
        <f>((((VLOOKUP(B338,Database!$A:$AS,MATCH($H$1,Database!$A$1:$AS$1,),))))-(((VLOOKUP(EDATE(B338,-12),Database!$A:$AS,MATCH($H$1,Database!$A$1:$AS$1,),)))))/(((VLOOKUP(EDATE(B338,-12),Database!$A:$AS,MATCH($H$1,Database!$A$1:$AS$1,),))))</f>
        <v/>
      </c>
      <c r="I338" s="13">
        <f>((((VLOOKUP(B338,Database!$A:$AS,MATCH($I$1,Database!$A$1:$AS$1,),))))-(((VLOOKUP(EDATE(B338,-12),Database!$A:$AS,MATCH($I$1,Database!$A$1:$AS$1,),)))))/(((VLOOKUP(EDATE(B338,-12),Database!$A:$AS,MATCH($I$1,Database!$A$1:$AS$1,),))))</f>
        <v/>
      </c>
      <c r="J338" s="13">
        <f>((((VLOOKUP(B338,Database!$A:$AS,MATCH($J$1,Database!$A$1:$AS$1,),))))-(((VLOOKUP(EDATE(B338,-12),Database!$A:$AS,MATCH($J$1,Database!$A$1:$AS$1,),)))))/(((VLOOKUP(EDATE(B338,-12),Database!$A:$AS,MATCH($J$1,Database!$A$1:$AS$1,),))))</f>
        <v/>
      </c>
      <c r="K338" s="13">
        <f>((((VLOOKUP(B338,Database!$A:$AS,MATCH($K$1,Database!$A$1:$AS$1,),))))-(((VLOOKUP(EDATE(B338,-12),Database!$A:$AS,MATCH($K$1,Database!$A$1:$AS$1,),)))))/(((VLOOKUP(EDATE(B338,-12),Database!$A:$AS,MATCH($K$1,Database!$A$1:$AS$1,),))))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((((VLOOKUP(B338,Database!$A:$AS,MATCH($O$1,Database!$A$1:$AS$1,),))))-(((VLOOKUP(EDATE(B338,-12),Database!$A:$AS,MATCH($O$1,Database!$A$1:$AS$1,),)))))/(((VLOOKUP(EDATE(B338,-12),Database!$A:$AS,MATCH($O$1,Database!$A$1:$AS$1,),))))</f>
        <v/>
      </c>
      <c r="P338" s="13">
        <f>((((VLOOKUP(B338,Database!$A:$AS,MATCH($P$1,Database!$A$1:$AS$1,),))))-(((VLOOKUP(EDATE(B338,-12),Database!$A:$AS,MATCH($P$1,Database!$A$1:$AS$1,),)))))/(((VLOOKUP(EDATE(B338,-12),Database!$A:$AS,MATCH($P$1,Database!$A$1:$AS$1,),))))</f>
        <v/>
      </c>
      <c r="Q338" s="13">
        <f>((((VLOOKUP(B338,Database!$A:$AS,MATCH($Q$1,Database!$A$1:$AS$1,),))))-(((VLOOKUP(EDATE(B338,-12),Database!$A:$AS,MATCH($Q$1,Database!$A$1:$AS$1,),)))))/(((VLOOKUP(EDATE(B338,-12),Database!$A:$AS,MATCH($Q$1,Database!$A$1:$AS$1,),))))</f>
        <v/>
      </c>
      <c r="R338" s="13">
        <f>((((VLOOKUP(B338,Database!$A:$AS,MATCH($R$1,Database!$A$1:$AS$1,),))))-(((VLOOKUP(EDATE(B338,-12),Database!$A:$AS,MATCH($R$1,Database!$A$1:$AS$1,),)))))/(((VLOOKUP(EDATE(B338,-12),Database!$A:$AS,MATCH($R$1,Database!$A$1:$AS$1,),))))</f>
        <v/>
      </c>
      <c r="S338" s="13">
        <f>((((VLOOKUP(B338,Database!$A:$AS,MATCH($S$1,Database!$A$1:$AS$1,),))))-(((VLOOKUP(EDATE(B338,-12),Database!$A:$AS,MATCH($S$1,Database!$A$1:$AS$1,),)))))/(((VLOOKUP(EDATE(B338,-12),Database!$A:$AS,MATCH($S$1,Database!$A$1:$AS$1,),))))</f>
        <v/>
      </c>
      <c r="T338" s="13">
        <f>((((VLOOKUP(B338,Database!$A:$AS,MATCH($T$1,Database!$A$1:$AS$1,),))))-(((VLOOKUP(EDATE(B338,-12),Database!$A:$AS,MATCH($T$1,Database!$A$1:$AS$1,),)))))/(((VLOOKUP(EDATE(B338,-12),Database!$A:$AS,MATCH($T$1,Database!$A$1:$AS$1,),))))</f>
        <v/>
      </c>
      <c r="U338" s="13">
        <f>((((VLOOKUP(B338,Database!$A:$AS,MATCH($U$1,Database!$A$1:$AS$1,),))))-(((VLOOKUP(EDATE(B338,-12),Database!$A:$AS,MATCH($U$1,Database!$A$1:$AS$1,),)))))/(((VLOOKUP(EDATE(B338,-12),Database!$A:$AS,MATCH($U$1,Database!$A$1:$AS$1,),))))</f>
        <v/>
      </c>
      <c r="V338" s="13">
        <f>((((VLOOKUP(B338,Database!$A:$AS,MATCH($V$1,Database!$A$1:$AS$1,),))))-(((VLOOKUP(EDATE(B338,-12),Database!$A:$AS,MATCH($V$1,Database!$A$1:$AS$1,),)))))/(((VLOOKUP(EDATE(B338,-12),Database!$A:$AS,MATCH($V$1,Database!$A$1:$AS$1,),))))</f>
        <v/>
      </c>
    </row>
    <row r="339" customFormat="1" s="94">
      <c r="A339" s="44" t="n"/>
      <c r="B339" s="85" t="n">
        <v>42461</v>
      </c>
      <c r="C339" s="13">
        <f>((((VLOOKUP(B339,Database!$A:$AS,MATCH($C$1,Database!$A$1:$AS$1,),))))-(((VLOOKUP(EDATE(B339,-12),Database!$A:$AS,MATCH($C$1,Database!$A$1:$AS$1,),)))))/(((VLOOKUP(EDATE(B339,-12),Database!$A:$AS,MATCH($C$1,Database!$A$1:$AS$1,),))))</f>
        <v/>
      </c>
      <c r="D339" s="13">
        <f>((((VLOOKUP(B339,Database!$A:$AS,MATCH($D$1,Database!$A$1:$AS$1,),))))-(((VLOOKUP(EDATE(B339,-12),Database!$A:$AS,MATCH($D$1,Database!$A$1:$AS$1,),)))))/(((VLOOKUP(EDATE(B339,-12),Database!$A:$AS,MATCH($D$1,Database!$A$1:$AS$1,),))))</f>
        <v/>
      </c>
      <c r="E339" s="13">
        <f>((((VLOOKUP(B339,Database!$A:$AS,MATCH($E$1,Database!$A$1:$AS$1,),))))-(((VLOOKUP(EDATE(B339,-12),Database!$A:$AS,MATCH($E$1,Database!$A$1:$AS$1,),)))))/(((VLOOKUP(EDATE(B339,-12),Database!$A:$AS,MATCH($E$1,Database!$A$1:$AS$1,),))))</f>
        <v/>
      </c>
      <c r="F339" s="13">
        <f>((((VLOOKUP(B339,Database!$A:$AS,MATCH($F$1,Database!$A$1:$AS$1,),))))-(((VLOOKUP(EDATE(B339,-12),Database!$A:$AS,MATCH($F$1,Database!$A$1:$AS$1,),)))))/(((VLOOKUP(EDATE(B339,-12),Database!$A:$AS,MATCH($F$1,Database!$A$1:$AS$1,),))))</f>
        <v/>
      </c>
      <c r="G339" s="13">
        <f>((((VLOOKUP(B339,Database!$A:$AS,MATCH($G$1,Database!$A$1:$AS$1,),))))-(((VLOOKUP(EDATE(B339,-12),Database!$A:$AS,MATCH($G$1,Database!$A$1:$AS$1,),)))))/(((VLOOKUP(EDATE(B339,-12),Database!$A:$AS,MATCH($G$1,Database!$A$1:$AS$1,),))))</f>
        <v/>
      </c>
      <c r="H339" s="13">
        <f>((((VLOOKUP(B339,Database!$A:$AS,MATCH($H$1,Database!$A$1:$AS$1,),))))-(((VLOOKUP(EDATE(B339,-12),Database!$A:$AS,MATCH($H$1,Database!$A$1:$AS$1,),)))))/(((VLOOKUP(EDATE(B339,-12),Database!$A:$AS,MATCH($H$1,Database!$A$1:$AS$1,),))))</f>
        <v/>
      </c>
      <c r="I339" s="13">
        <f>((((VLOOKUP(B339,Database!$A:$AS,MATCH($I$1,Database!$A$1:$AS$1,),))))-(((VLOOKUP(EDATE(B339,-12),Database!$A:$AS,MATCH($I$1,Database!$A$1:$AS$1,),)))))/(((VLOOKUP(EDATE(B339,-12),Database!$A:$AS,MATCH($I$1,Database!$A$1:$AS$1,),))))</f>
        <v/>
      </c>
      <c r="J339" s="13">
        <f>((((VLOOKUP(B339,Database!$A:$AS,MATCH($J$1,Database!$A$1:$AS$1,),))))-(((VLOOKUP(EDATE(B339,-12),Database!$A:$AS,MATCH($J$1,Database!$A$1:$AS$1,),)))))/(((VLOOKUP(EDATE(B339,-12),Database!$A:$AS,MATCH($J$1,Database!$A$1:$AS$1,),))))</f>
        <v/>
      </c>
      <c r="K339" s="13">
        <f>((((VLOOKUP(B339,Database!$A:$AS,MATCH($K$1,Database!$A$1:$AS$1,),))))-(((VLOOKUP(EDATE(B339,-12),Database!$A:$AS,MATCH($K$1,Database!$A$1:$AS$1,),)))))/(((VLOOKUP(EDATE(B339,-12),Database!$A:$AS,MATCH($K$1,Database!$A$1:$AS$1,),))))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((((VLOOKUP(B339,Database!$A:$AS,MATCH($O$1,Database!$A$1:$AS$1,),))))-(((VLOOKUP(EDATE(B339,-12),Database!$A:$AS,MATCH($O$1,Database!$A$1:$AS$1,),)))))/(((VLOOKUP(EDATE(B339,-12),Database!$A:$AS,MATCH($O$1,Database!$A$1:$AS$1,),))))</f>
        <v/>
      </c>
      <c r="P339" s="13">
        <f>((((VLOOKUP(B339,Database!$A:$AS,MATCH($P$1,Database!$A$1:$AS$1,),))))-(((VLOOKUP(EDATE(B339,-12),Database!$A:$AS,MATCH($P$1,Database!$A$1:$AS$1,),)))))/(((VLOOKUP(EDATE(B339,-12),Database!$A:$AS,MATCH($P$1,Database!$A$1:$AS$1,),))))</f>
        <v/>
      </c>
      <c r="Q339" s="13">
        <f>((((VLOOKUP(B339,Database!$A:$AS,MATCH($Q$1,Database!$A$1:$AS$1,),))))-(((VLOOKUP(EDATE(B339,-12),Database!$A:$AS,MATCH($Q$1,Database!$A$1:$AS$1,),)))))/(((VLOOKUP(EDATE(B339,-12),Database!$A:$AS,MATCH($Q$1,Database!$A$1:$AS$1,),))))</f>
        <v/>
      </c>
      <c r="R339" s="13">
        <f>((((VLOOKUP(B339,Database!$A:$AS,MATCH($R$1,Database!$A$1:$AS$1,),))))-(((VLOOKUP(EDATE(B339,-12),Database!$A:$AS,MATCH($R$1,Database!$A$1:$AS$1,),)))))/(((VLOOKUP(EDATE(B339,-12),Database!$A:$AS,MATCH($R$1,Database!$A$1:$AS$1,),))))</f>
        <v/>
      </c>
      <c r="S339" s="13">
        <f>((((VLOOKUP(B339,Database!$A:$AS,MATCH($S$1,Database!$A$1:$AS$1,),))))-(((VLOOKUP(EDATE(B339,-12),Database!$A:$AS,MATCH($S$1,Database!$A$1:$AS$1,),)))))/(((VLOOKUP(EDATE(B339,-12),Database!$A:$AS,MATCH($S$1,Database!$A$1:$AS$1,),))))</f>
        <v/>
      </c>
      <c r="T339" s="13">
        <f>((((VLOOKUP(B339,Database!$A:$AS,MATCH($T$1,Database!$A$1:$AS$1,),))))-(((VLOOKUP(EDATE(B339,-12),Database!$A:$AS,MATCH($T$1,Database!$A$1:$AS$1,),)))))/(((VLOOKUP(EDATE(B339,-12),Database!$A:$AS,MATCH($T$1,Database!$A$1:$AS$1,),))))</f>
        <v/>
      </c>
      <c r="U339" s="13">
        <f>((((VLOOKUP(B339,Database!$A:$AS,MATCH($U$1,Database!$A$1:$AS$1,),))))-(((VLOOKUP(EDATE(B339,-12),Database!$A:$AS,MATCH($U$1,Database!$A$1:$AS$1,),)))))/(((VLOOKUP(EDATE(B339,-12),Database!$A:$AS,MATCH($U$1,Database!$A$1:$AS$1,),))))</f>
        <v/>
      </c>
      <c r="V339" s="13">
        <f>((((VLOOKUP(B339,Database!$A:$AS,MATCH($V$1,Database!$A$1:$AS$1,),))))-(((VLOOKUP(EDATE(B339,-12),Database!$A:$AS,MATCH($V$1,Database!$A$1:$AS$1,),)))))/(((VLOOKUP(EDATE(B339,-12),Database!$A:$AS,MATCH($V$1,Database!$A$1:$AS$1,),))))</f>
        <v/>
      </c>
    </row>
    <row r="340" customFormat="1" s="94">
      <c r="A340" s="44" t="n"/>
      <c r="B340" s="85" t="n">
        <v>42491</v>
      </c>
      <c r="C340" s="13">
        <f>((((VLOOKUP(B340,Database!$A:$AS,MATCH($C$1,Database!$A$1:$AS$1,),))))-(((VLOOKUP(EDATE(B340,-12),Database!$A:$AS,MATCH($C$1,Database!$A$1:$AS$1,),)))))/(((VLOOKUP(EDATE(B340,-12),Database!$A:$AS,MATCH($C$1,Database!$A$1:$AS$1,),))))</f>
        <v/>
      </c>
      <c r="D340" s="13">
        <f>((((VLOOKUP(B340,Database!$A:$AS,MATCH($D$1,Database!$A$1:$AS$1,),))))-(((VLOOKUP(EDATE(B340,-12),Database!$A:$AS,MATCH($D$1,Database!$A$1:$AS$1,),)))))/(((VLOOKUP(EDATE(B340,-12),Database!$A:$AS,MATCH($D$1,Database!$A$1:$AS$1,),))))</f>
        <v/>
      </c>
      <c r="E340" s="13">
        <f>((((VLOOKUP(B340,Database!$A:$AS,MATCH($E$1,Database!$A$1:$AS$1,),))))-(((VLOOKUP(EDATE(B340,-12),Database!$A:$AS,MATCH($E$1,Database!$A$1:$AS$1,),)))))/(((VLOOKUP(EDATE(B340,-12),Database!$A:$AS,MATCH($E$1,Database!$A$1:$AS$1,),))))</f>
        <v/>
      </c>
      <c r="F340" s="13">
        <f>((((VLOOKUP(B340,Database!$A:$AS,MATCH($F$1,Database!$A$1:$AS$1,),))))-(((VLOOKUP(EDATE(B340,-12),Database!$A:$AS,MATCH($F$1,Database!$A$1:$AS$1,),)))))/(((VLOOKUP(EDATE(B340,-12),Database!$A:$AS,MATCH($F$1,Database!$A$1:$AS$1,),))))</f>
        <v/>
      </c>
      <c r="G340" s="13">
        <f>((((VLOOKUP(B340,Database!$A:$AS,MATCH($G$1,Database!$A$1:$AS$1,),))))-(((VLOOKUP(EDATE(B340,-12),Database!$A:$AS,MATCH($G$1,Database!$A$1:$AS$1,),)))))/(((VLOOKUP(EDATE(B340,-12),Database!$A:$AS,MATCH($G$1,Database!$A$1:$AS$1,),))))</f>
        <v/>
      </c>
      <c r="H340" s="13">
        <f>((((VLOOKUP(B340,Database!$A:$AS,MATCH($H$1,Database!$A$1:$AS$1,),))))-(((VLOOKUP(EDATE(B340,-12),Database!$A:$AS,MATCH($H$1,Database!$A$1:$AS$1,),)))))/(((VLOOKUP(EDATE(B340,-12),Database!$A:$AS,MATCH($H$1,Database!$A$1:$AS$1,),))))</f>
        <v/>
      </c>
      <c r="I340" s="13">
        <f>((((VLOOKUP(B340,Database!$A:$AS,MATCH($I$1,Database!$A$1:$AS$1,),))))-(((VLOOKUP(EDATE(B340,-12),Database!$A:$AS,MATCH($I$1,Database!$A$1:$AS$1,),)))))/(((VLOOKUP(EDATE(B340,-12),Database!$A:$AS,MATCH($I$1,Database!$A$1:$AS$1,),))))</f>
        <v/>
      </c>
      <c r="J340" s="13">
        <f>((((VLOOKUP(B340,Database!$A:$AS,MATCH($J$1,Database!$A$1:$AS$1,),))))-(((VLOOKUP(EDATE(B340,-12),Database!$A:$AS,MATCH($J$1,Database!$A$1:$AS$1,),)))))/(((VLOOKUP(EDATE(B340,-12),Database!$A:$AS,MATCH($J$1,Database!$A$1:$AS$1,),))))</f>
        <v/>
      </c>
      <c r="K340" s="13">
        <f>((((VLOOKUP(B340,Database!$A:$AS,MATCH($K$1,Database!$A$1:$AS$1,),))))-(((VLOOKUP(EDATE(B340,-12),Database!$A:$AS,MATCH($K$1,Database!$A$1:$AS$1,),)))))/(((VLOOKUP(EDATE(B340,-12),Database!$A:$AS,MATCH($K$1,Database!$A$1:$AS$1,),))))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((((VLOOKUP(B340,Database!$A:$AS,MATCH($O$1,Database!$A$1:$AS$1,),))))-(((VLOOKUP(EDATE(B340,-12),Database!$A:$AS,MATCH($O$1,Database!$A$1:$AS$1,),)))))/(((VLOOKUP(EDATE(B340,-12),Database!$A:$AS,MATCH($O$1,Database!$A$1:$AS$1,),))))</f>
        <v/>
      </c>
      <c r="P340" s="13">
        <f>((((VLOOKUP(B340,Database!$A:$AS,MATCH($P$1,Database!$A$1:$AS$1,),))))-(((VLOOKUP(EDATE(B340,-12),Database!$A:$AS,MATCH($P$1,Database!$A$1:$AS$1,),)))))/(((VLOOKUP(EDATE(B340,-12),Database!$A:$AS,MATCH($P$1,Database!$A$1:$AS$1,),))))</f>
        <v/>
      </c>
      <c r="Q340" s="13">
        <f>((((VLOOKUP(B340,Database!$A:$AS,MATCH($Q$1,Database!$A$1:$AS$1,),))))-(((VLOOKUP(EDATE(B340,-12),Database!$A:$AS,MATCH($Q$1,Database!$A$1:$AS$1,),)))))/(((VLOOKUP(EDATE(B340,-12),Database!$A:$AS,MATCH($Q$1,Database!$A$1:$AS$1,),))))</f>
        <v/>
      </c>
      <c r="R340" s="13">
        <f>((((VLOOKUP(B340,Database!$A:$AS,MATCH($R$1,Database!$A$1:$AS$1,),))))-(((VLOOKUP(EDATE(B340,-12),Database!$A:$AS,MATCH($R$1,Database!$A$1:$AS$1,),)))))/(((VLOOKUP(EDATE(B340,-12),Database!$A:$AS,MATCH($R$1,Database!$A$1:$AS$1,),))))</f>
        <v/>
      </c>
      <c r="S340" s="13">
        <f>((((VLOOKUP(B340,Database!$A:$AS,MATCH($S$1,Database!$A$1:$AS$1,),))))-(((VLOOKUP(EDATE(B340,-12),Database!$A:$AS,MATCH($S$1,Database!$A$1:$AS$1,),)))))/(((VLOOKUP(EDATE(B340,-12),Database!$A:$AS,MATCH($S$1,Database!$A$1:$AS$1,),))))</f>
        <v/>
      </c>
      <c r="T340" s="13">
        <f>((((VLOOKUP(B340,Database!$A:$AS,MATCH($T$1,Database!$A$1:$AS$1,),))))-(((VLOOKUP(EDATE(B340,-12),Database!$A:$AS,MATCH($T$1,Database!$A$1:$AS$1,),)))))/(((VLOOKUP(EDATE(B340,-12),Database!$A:$AS,MATCH($T$1,Database!$A$1:$AS$1,),))))</f>
        <v/>
      </c>
      <c r="U340" s="13">
        <f>((((VLOOKUP(B340,Database!$A:$AS,MATCH($U$1,Database!$A$1:$AS$1,),))))-(((VLOOKUP(EDATE(B340,-12),Database!$A:$AS,MATCH($U$1,Database!$A$1:$AS$1,),)))))/(((VLOOKUP(EDATE(B340,-12),Database!$A:$AS,MATCH($U$1,Database!$A$1:$AS$1,),))))</f>
        <v/>
      </c>
      <c r="V340" s="13">
        <f>((((VLOOKUP(B340,Database!$A:$AS,MATCH($V$1,Database!$A$1:$AS$1,),))))-(((VLOOKUP(EDATE(B340,-12),Database!$A:$AS,MATCH($V$1,Database!$A$1:$AS$1,),)))))/(((VLOOKUP(EDATE(B340,-12),Database!$A:$AS,MATCH($V$1,Database!$A$1:$AS$1,),))))</f>
        <v/>
      </c>
    </row>
    <row r="341" customFormat="1" s="94">
      <c r="A341" s="44" t="n"/>
      <c r="B341" s="85" t="n">
        <v>42522</v>
      </c>
      <c r="C341" s="13">
        <f>((((VLOOKUP(B341,Database!$A:$AS,MATCH($C$1,Database!$A$1:$AS$1,),))))-(((VLOOKUP(EDATE(B341,-12),Database!$A:$AS,MATCH($C$1,Database!$A$1:$AS$1,),)))))/(((VLOOKUP(EDATE(B341,-12),Database!$A:$AS,MATCH($C$1,Database!$A$1:$AS$1,),))))</f>
        <v/>
      </c>
      <c r="D341" s="13">
        <f>((((VLOOKUP(B341,Database!$A:$AS,MATCH($D$1,Database!$A$1:$AS$1,),))))-(((VLOOKUP(EDATE(B341,-12),Database!$A:$AS,MATCH($D$1,Database!$A$1:$AS$1,),)))))/(((VLOOKUP(EDATE(B341,-12),Database!$A:$AS,MATCH($D$1,Database!$A$1:$AS$1,),))))</f>
        <v/>
      </c>
      <c r="E341" s="13">
        <f>((((VLOOKUP(B341,Database!$A:$AS,MATCH($E$1,Database!$A$1:$AS$1,),))))-(((VLOOKUP(EDATE(B341,-12),Database!$A:$AS,MATCH($E$1,Database!$A$1:$AS$1,),)))))/(((VLOOKUP(EDATE(B341,-12),Database!$A:$AS,MATCH($E$1,Database!$A$1:$AS$1,),))))</f>
        <v/>
      </c>
      <c r="F341" s="13">
        <f>((((VLOOKUP(B341,Database!$A:$AS,MATCH($F$1,Database!$A$1:$AS$1,),))))-(((VLOOKUP(EDATE(B341,-12),Database!$A:$AS,MATCH($F$1,Database!$A$1:$AS$1,),)))))/(((VLOOKUP(EDATE(B341,-12),Database!$A:$AS,MATCH($F$1,Database!$A$1:$AS$1,),))))</f>
        <v/>
      </c>
      <c r="G341" s="13">
        <f>((((VLOOKUP(B341,Database!$A:$AS,MATCH($G$1,Database!$A$1:$AS$1,),))))-(((VLOOKUP(EDATE(B341,-12),Database!$A:$AS,MATCH($G$1,Database!$A$1:$AS$1,),)))))/(((VLOOKUP(EDATE(B341,-12),Database!$A:$AS,MATCH($G$1,Database!$A$1:$AS$1,),))))</f>
        <v/>
      </c>
      <c r="H341" s="13">
        <f>((((VLOOKUP(B341,Database!$A:$AS,MATCH($H$1,Database!$A$1:$AS$1,),))))-(((VLOOKUP(EDATE(B341,-12),Database!$A:$AS,MATCH($H$1,Database!$A$1:$AS$1,),)))))/(((VLOOKUP(EDATE(B341,-12),Database!$A:$AS,MATCH($H$1,Database!$A$1:$AS$1,),))))</f>
        <v/>
      </c>
      <c r="I341" s="13">
        <f>((((VLOOKUP(B341,Database!$A:$AS,MATCH($I$1,Database!$A$1:$AS$1,),))))-(((VLOOKUP(EDATE(B341,-12),Database!$A:$AS,MATCH($I$1,Database!$A$1:$AS$1,),)))))/(((VLOOKUP(EDATE(B341,-12),Database!$A:$AS,MATCH($I$1,Database!$A$1:$AS$1,),))))</f>
        <v/>
      </c>
      <c r="J341" s="13">
        <f>((((VLOOKUP(B341,Database!$A:$AS,MATCH($J$1,Database!$A$1:$AS$1,),))))-(((VLOOKUP(EDATE(B341,-12),Database!$A:$AS,MATCH($J$1,Database!$A$1:$AS$1,),)))))/(((VLOOKUP(EDATE(B341,-12),Database!$A:$AS,MATCH($J$1,Database!$A$1:$AS$1,),))))</f>
        <v/>
      </c>
      <c r="K341" s="13">
        <f>((((VLOOKUP(B341,Database!$A:$AS,MATCH($K$1,Database!$A$1:$AS$1,),))))-(((VLOOKUP(EDATE(B341,-12),Database!$A:$AS,MATCH($K$1,Database!$A$1:$AS$1,),)))))/(((VLOOKUP(EDATE(B341,-12),Database!$A:$AS,MATCH($K$1,Database!$A$1:$AS$1,),))))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((((VLOOKUP(B341,Database!$A:$AS,MATCH($O$1,Database!$A$1:$AS$1,),))))-(((VLOOKUP(EDATE(B341,-12),Database!$A:$AS,MATCH($O$1,Database!$A$1:$AS$1,),)))))/(((VLOOKUP(EDATE(B341,-12),Database!$A:$AS,MATCH($O$1,Database!$A$1:$AS$1,),))))</f>
        <v/>
      </c>
      <c r="P341" s="13">
        <f>((((VLOOKUP(B341,Database!$A:$AS,MATCH($P$1,Database!$A$1:$AS$1,),))))-(((VLOOKUP(EDATE(B341,-12),Database!$A:$AS,MATCH($P$1,Database!$A$1:$AS$1,),)))))/(((VLOOKUP(EDATE(B341,-12),Database!$A:$AS,MATCH($P$1,Database!$A$1:$AS$1,),))))</f>
        <v/>
      </c>
      <c r="Q341" s="13">
        <f>((((VLOOKUP(B341,Database!$A:$AS,MATCH($Q$1,Database!$A$1:$AS$1,),))))-(((VLOOKUP(EDATE(B341,-12),Database!$A:$AS,MATCH($Q$1,Database!$A$1:$AS$1,),)))))/(((VLOOKUP(EDATE(B341,-12),Database!$A:$AS,MATCH($Q$1,Database!$A$1:$AS$1,),))))</f>
        <v/>
      </c>
      <c r="R341" s="13">
        <f>((((VLOOKUP(B341,Database!$A:$AS,MATCH($R$1,Database!$A$1:$AS$1,),))))-(((VLOOKUP(EDATE(B341,-12),Database!$A:$AS,MATCH($R$1,Database!$A$1:$AS$1,),)))))/(((VLOOKUP(EDATE(B341,-12),Database!$A:$AS,MATCH($R$1,Database!$A$1:$AS$1,),))))</f>
        <v/>
      </c>
      <c r="S341" s="13">
        <f>((((VLOOKUP(B341,Database!$A:$AS,MATCH($S$1,Database!$A$1:$AS$1,),))))-(((VLOOKUP(EDATE(B341,-12),Database!$A:$AS,MATCH($S$1,Database!$A$1:$AS$1,),)))))/(((VLOOKUP(EDATE(B341,-12),Database!$A:$AS,MATCH($S$1,Database!$A$1:$AS$1,),))))</f>
        <v/>
      </c>
      <c r="T341" s="13">
        <f>((((VLOOKUP(B341,Database!$A:$AS,MATCH($T$1,Database!$A$1:$AS$1,),))))-(((VLOOKUP(EDATE(B341,-12),Database!$A:$AS,MATCH($T$1,Database!$A$1:$AS$1,),)))))/(((VLOOKUP(EDATE(B341,-12),Database!$A:$AS,MATCH($T$1,Database!$A$1:$AS$1,),))))</f>
        <v/>
      </c>
      <c r="U341" s="13">
        <f>((((VLOOKUP(B341,Database!$A:$AS,MATCH($U$1,Database!$A$1:$AS$1,),))))-(((VLOOKUP(EDATE(B341,-12),Database!$A:$AS,MATCH($U$1,Database!$A$1:$AS$1,),)))))/(((VLOOKUP(EDATE(B341,-12),Database!$A:$AS,MATCH($U$1,Database!$A$1:$AS$1,),))))</f>
        <v/>
      </c>
      <c r="V341" s="13">
        <f>((((VLOOKUP(B341,Database!$A:$AS,MATCH($V$1,Database!$A$1:$AS$1,),))))-(((VLOOKUP(EDATE(B341,-12),Database!$A:$AS,MATCH($V$1,Database!$A$1:$AS$1,),)))))/(((VLOOKUP(EDATE(B341,-12),Database!$A:$AS,MATCH($V$1,Database!$A$1:$AS$1,),))))</f>
        <v/>
      </c>
    </row>
    <row r="342" customFormat="1" s="94">
      <c r="A342" s="44" t="n"/>
      <c r="B342" s="85" t="n">
        <v>42552</v>
      </c>
      <c r="C342" s="13">
        <f>((((VLOOKUP(B342,Database!$A:$AS,MATCH($C$1,Database!$A$1:$AS$1,),))))-(((VLOOKUP(EDATE(B342,-12),Database!$A:$AS,MATCH($C$1,Database!$A$1:$AS$1,),)))))/(((VLOOKUP(EDATE(B342,-12),Database!$A:$AS,MATCH($C$1,Database!$A$1:$AS$1,),))))</f>
        <v/>
      </c>
      <c r="D342" s="13">
        <f>((((VLOOKUP(B342,Database!$A:$AS,MATCH($D$1,Database!$A$1:$AS$1,),))))-(((VLOOKUP(EDATE(B342,-12),Database!$A:$AS,MATCH($D$1,Database!$A$1:$AS$1,),)))))/(((VLOOKUP(EDATE(B342,-12),Database!$A:$AS,MATCH($D$1,Database!$A$1:$AS$1,),))))</f>
        <v/>
      </c>
      <c r="E342" s="13">
        <f>((((VLOOKUP(B342,Database!$A:$AS,MATCH($E$1,Database!$A$1:$AS$1,),))))-(((VLOOKUP(EDATE(B342,-12),Database!$A:$AS,MATCH($E$1,Database!$A$1:$AS$1,),)))))/(((VLOOKUP(EDATE(B342,-12),Database!$A:$AS,MATCH($E$1,Database!$A$1:$AS$1,),))))</f>
        <v/>
      </c>
      <c r="F342" s="13">
        <f>((((VLOOKUP(B342,Database!$A:$AS,MATCH($F$1,Database!$A$1:$AS$1,),))))-(((VLOOKUP(EDATE(B342,-12),Database!$A:$AS,MATCH($F$1,Database!$A$1:$AS$1,),)))))/(((VLOOKUP(EDATE(B342,-12),Database!$A:$AS,MATCH($F$1,Database!$A$1:$AS$1,),))))</f>
        <v/>
      </c>
      <c r="G342" s="13">
        <f>((((VLOOKUP(B342,Database!$A:$AS,MATCH($G$1,Database!$A$1:$AS$1,),))))-(((VLOOKUP(EDATE(B342,-12),Database!$A:$AS,MATCH($G$1,Database!$A$1:$AS$1,),)))))/(((VLOOKUP(EDATE(B342,-12),Database!$A:$AS,MATCH($G$1,Database!$A$1:$AS$1,),))))</f>
        <v/>
      </c>
      <c r="H342" s="13">
        <f>((((VLOOKUP(B342,Database!$A:$AS,MATCH($H$1,Database!$A$1:$AS$1,),))))-(((VLOOKUP(EDATE(B342,-12),Database!$A:$AS,MATCH($H$1,Database!$A$1:$AS$1,),)))))/(((VLOOKUP(EDATE(B342,-12),Database!$A:$AS,MATCH($H$1,Database!$A$1:$AS$1,),))))</f>
        <v/>
      </c>
      <c r="I342" s="13">
        <f>((((VLOOKUP(B342,Database!$A:$AS,MATCH($I$1,Database!$A$1:$AS$1,),))))-(((VLOOKUP(EDATE(B342,-12),Database!$A:$AS,MATCH($I$1,Database!$A$1:$AS$1,),)))))/(((VLOOKUP(EDATE(B342,-12),Database!$A:$AS,MATCH($I$1,Database!$A$1:$AS$1,),))))</f>
        <v/>
      </c>
      <c r="J342" s="13">
        <f>((((VLOOKUP(B342,Database!$A:$AS,MATCH($J$1,Database!$A$1:$AS$1,),))))-(((VLOOKUP(EDATE(B342,-12),Database!$A:$AS,MATCH($J$1,Database!$A$1:$AS$1,),)))))/(((VLOOKUP(EDATE(B342,-12),Database!$A:$AS,MATCH($J$1,Database!$A$1:$AS$1,),))))</f>
        <v/>
      </c>
      <c r="K342" s="13">
        <f>((((VLOOKUP(B342,Database!$A:$AS,MATCH($K$1,Database!$A$1:$AS$1,),))))-(((VLOOKUP(EDATE(B342,-12),Database!$A:$AS,MATCH($K$1,Database!$A$1:$AS$1,),)))))/(((VLOOKUP(EDATE(B342,-12),Database!$A:$AS,MATCH($K$1,Database!$A$1:$AS$1,),))))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((((VLOOKUP(B342,Database!$A:$AS,MATCH($O$1,Database!$A$1:$AS$1,),))))-(((VLOOKUP(EDATE(B342,-12),Database!$A:$AS,MATCH($O$1,Database!$A$1:$AS$1,),)))))/(((VLOOKUP(EDATE(B342,-12),Database!$A:$AS,MATCH($O$1,Database!$A$1:$AS$1,),))))</f>
        <v/>
      </c>
      <c r="P342" s="13">
        <f>((((VLOOKUP(B342,Database!$A:$AS,MATCH($P$1,Database!$A$1:$AS$1,),))))-(((VLOOKUP(EDATE(B342,-12),Database!$A:$AS,MATCH($P$1,Database!$A$1:$AS$1,),)))))/(((VLOOKUP(EDATE(B342,-12),Database!$A:$AS,MATCH($P$1,Database!$A$1:$AS$1,),))))</f>
        <v/>
      </c>
      <c r="Q342" s="13">
        <f>((((VLOOKUP(B342,Database!$A:$AS,MATCH($Q$1,Database!$A$1:$AS$1,),))))-(((VLOOKUP(EDATE(B342,-12),Database!$A:$AS,MATCH($Q$1,Database!$A$1:$AS$1,),)))))/(((VLOOKUP(EDATE(B342,-12),Database!$A:$AS,MATCH($Q$1,Database!$A$1:$AS$1,),))))</f>
        <v/>
      </c>
      <c r="R342" s="13">
        <f>((((VLOOKUP(B342,Database!$A:$AS,MATCH($R$1,Database!$A$1:$AS$1,),))))-(((VLOOKUP(EDATE(B342,-12),Database!$A:$AS,MATCH($R$1,Database!$A$1:$AS$1,),)))))/(((VLOOKUP(EDATE(B342,-12),Database!$A:$AS,MATCH($R$1,Database!$A$1:$AS$1,),))))</f>
        <v/>
      </c>
      <c r="S342" s="13">
        <f>((((VLOOKUP(B342,Database!$A:$AS,MATCH($S$1,Database!$A$1:$AS$1,),))))-(((VLOOKUP(EDATE(B342,-12),Database!$A:$AS,MATCH($S$1,Database!$A$1:$AS$1,),)))))/(((VLOOKUP(EDATE(B342,-12),Database!$A:$AS,MATCH($S$1,Database!$A$1:$AS$1,),))))</f>
        <v/>
      </c>
      <c r="T342" s="13">
        <f>((((VLOOKUP(B342,Database!$A:$AS,MATCH($T$1,Database!$A$1:$AS$1,),))))-(((VLOOKUP(EDATE(B342,-12),Database!$A:$AS,MATCH($T$1,Database!$A$1:$AS$1,),)))))/(((VLOOKUP(EDATE(B342,-12),Database!$A:$AS,MATCH($T$1,Database!$A$1:$AS$1,),))))</f>
        <v/>
      </c>
      <c r="U342" s="13">
        <f>((((VLOOKUP(B342,Database!$A:$AS,MATCH($U$1,Database!$A$1:$AS$1,),))))-(((VLOOKUP(EDATE(B342,-12),Database!$A:$AS,MATCH($U$1,Database!$A$1:$AS$1,),)))))/(((VLOOKUP(EDATE(B342,-12),Database!$A:$AS,MATCH($U$1,Database!$A$1:$AS$1,),))))</f>
        <v/>
      </c>
      <c r="V342" s="13">
        <f>((((VLOOKUP(B342,Database!$A:$AS,MATCH($V$1,Database!$A$1:$AS$1,),))))-(((VLOOKUP(EDATE(B342,-12),Database!$A:$AS,MATCH($V$1,Database!$A$1:$AS$1,),)))))/(((VLOOKUP(EDATE(B342,-12),Database!$A:$AS,MATCH($V$1,Database!$A$1:$AS$1,),))))</f>
        <v/>
      </c>
    </row>
    <row r="343" customFormat="1" s="94">
      <c r="A343" s="44" t="n"/>
      <c r="B343" s="85" t="n">
        <v>42583</v>
      </c>
      <c r="C343" s="13">
        <f>((((VLOOKUP(B343,Database!$A:$AS,MATCH($C$1,Database!$A$1:$AS$1,),))))-(((VLOOKUP(EDATE(B343,-12),Database!$A:$AS,MATCH($C$1,Database!$A$1:$AS$1,),)))))/(((VLOOKUP(EDATE(B343,-12),Database!$A:$AS,MATCH($C$1,Database!$A$1:$AS$1,),))))</f>
        <v/>
      </c>
      <c r="D343" s="13">
        <f>((((VLOOKUP(B343,Database!$A:$AS,MATCH($D$1,Database!$A$1:$AS$1,),))))-(((VLOOKUP(EDATE(B343,-12),Database!$A:$AS,MATCH($D$1,Database!$A$1:$AS$1,),)))))/(((VLOOKUP(EDATE(B343,-12),Database!$A:$AS,MATCH($D$1,Database!$A$1:$AS$1,),))))</f>
        <v/>
      </c>
      <c r="E343" s="13">
        <f>((((VLOOKUP(B343,Database!$A:$AS,MATCH($E$1,Database!$A$1:$AS$1,),))))-(((VLOOKUP(EDATE(B343,-12),Database!$A:$AS,MATCH($E$1,Database!$A$1:$AS$1,),)))))/(((VLOOKUP(EDATE(B343,-12),Database!$A:$AS,MATCH($E$1,Database!$A$1:$AS$1,),))))</f>
        <v/>
      </c>
      <c r="F343" s="13">
        <f>((((VLOOKUP(B343,Database!$A:$AS,MATCH($F$1,Database!$A$1:$AS$1,),))))-(((VLOOKUP(EDATE(B343,-12),Database!$A:$AS,MATCH($F$1,Database!$A$1:$AS$1,),)))))/(((VLOOKUP(EDATE(B343,-12),Database!$A:$AS,MATCH($F$1,Database!$A$1:$AS$1,),))))</f>
        <v/>
      </c>
      <c r="G343" s="13">
        <f>((((VLOOKUP(B343,Database!$A:$AS,MATCH($G$1,Database!$A$1:$AS$1,),))))-(((VLOOKUP(EDATE(B343,-12),Database!$A:$AS,MATCH($G$1,Database!$A$1:$AS$1,),)))))/(((VLOOKUP(EDATE(B343,-12),Database!$A:$AS,MATCH($G$1,Database!$A$1:$AS$1,),))))</f>
        <v/>
      </c>
      <c r="H343" s="13">
        <f>((((VLOOKUP(B343,Database!$A:$AS,MATCH($H$1,Database!$A$1:$AS$1,),))))-(((VLOOKUP(EDATE(B343,-12),Database!$A:$AS,MATCH($H$1,Database!$A$1:$AS$1,),)))))/(((VLOOKUP(EDATE(B343,-12),Database!$A:$AS,MATCH($H$1,Database!$A$1:$AS$1,),))))</f>
        <v/>
      </c>
      <c r="I343" s="13">
        <f>((((VLOOKUP(B343,Database!$A:$AS,MATCH($I$1,Database!$A$1:$AS$1,),))))-(((VLOOKUP(EDATE(B343,-12),Database!$A:$AS,MATCH($I$1,Database!$A$1:$AS$1,),)))))/(((VLOOKUP(EDATE(B343,-12),Database!$A:$AS,MATCH($I$1,Database!$A$1:$AS$1,),))))</f>
        <v/>
      </c>
      <c r="J343" s="13">
        <f>((((VLOOKUP(B343,Database!$A:$AS,MATCH($J$1,Database!$A$1:$AS$1,),))))-(((VLOOKUP(EDATE(B343,-12),Database!$A:$AS,MATCH($J$1,Database!$A$1:$AS$1,),)))))/(((VLOOKUP(EDATE(B343,-12),Database!$A:$AS,MATCH($J$1,Database!$A$1:$AS$1,),))))</f>
        <v/>
      </c>
      <c r="K343" s="13">
        <f>((((VLOOKUP(B343,Database!$A:$AS,MATCH($K$1,Database!$A$1:$AS$1,),))))-(((VLOOKUP(EDATE(B343,-12),Database!$A:$AS,MATCH($K$1,Database!$A$1:$AS$1,),)))))/(((VLOOKUP(EDATE(B343,-12),Database!$A:$AS,MATCH($K$1,Database!$A$1:$AS$1,),))))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((((VLOOKUP(B343,Database!$A:$AS,MATCH($O$1,Database!$A$1:$AS$1,),))))-(((VLOOKUP(EDATE(B343,-12),Database!$A:$AS,MATCH($O$1,Database!$A$1:$AS$1,),)))))/(((VLOOKUP(EDATE(B343,-12),Database!$A:$AS,MATCH($O$1,Database!$A$1:$AS$1,),))))</f>
        <v/>
      </c>
      <c r="P343" s="13">
        <f>((((VLOOKUP(B343,Database!$A:$AS,MATCH($P$1,Database!$A$1:$AS$1,),))))-(((VLOOKUP(EDATE(B343,-12),Database!$A:$AS,MATCH($P$1,Database!$A$1:$AS$1,),)))))/(((VLOOKUP(EDATE(B343,-12),Database!$A:$AS,MATCH($P$1,Database!$A$1:$AS$1,),))))</f>
        <v/>
      </c>
      <c r="Q343" s="13">
        <f>((((VLOOKUP(B343,Database!$A:$AS,MATCH($Q$1,Database!$A$1:$AS$1,),))))-(((VLOOKUP(EDATE(B343,-12),Database!$A:$AS,MATCH($Q$1,Database!$A$1:$AS$1,),)))))/(((VLOOKUP(EDATE(B343,-12),Database!$A:$AS,MATCH($Q$1,Database!$A$1:$AS$1,),))))</f>
        <v/>
      </c>
      <c r="R343" s="13">
        <f>((((VLOOKUP(B343,Database!$A:$AS,MATCH($R$1,Database!$A$1:$AS$1,),))))-(((VLOOKUP(EDATE(B343,-12),Database!$A:$AS,MATCH($R$1,Database!$A$1:$AS$1,),)))))/(((VLOOKUP(EDATE(B343,-12),Database!$A:$AS,MATCH($R$1,Database!$A$1:$AS$1,),))))</f>
        <v/>
      </c>
      <c r="S343" s="13">
        <f>((((VLOOKUP(B343,Database!$A:$AS,MATCH($S$1,Database!$A$1:$AS$1,),))))-(((VLOOKUP(EDATE(B343,-12),Database!$A:$AS,MATCH($S$1,Database!$A$1:$AS$1,),)))))/(((VLOOKUP(EDATE(B343,-12),Database!$A:$AS,MATCH($S$1,Database!$A$1:$AS$1,),))))</f>
        <v/>
      </c>
      <c r="T343" s="13">
        <f>((((VLOOKUP(B343,Database!$A:$AS,MATCH($T$1,Database!$A$1:$AS$1,),))))-(((VLOOKUP(EDATE(B343,-12),Database!$A:$AS,MATCH($T$1,Database!$A$1:$AS$1,),)))))/(((VLOOKUP(EDATE(B343,-12),Database!$A:$AS,MATCH($T$1,Database!$A$1:$AS$1,),))))</f>
        <v/>
      </c>
      <c r="U343" s="13">
        <f>((((VLOOKUP(B343,Database!$A:$AS,MATCH($U$1,Database!$A$1:$AS$1,),))))-(((VLOOKUP(EDATE(B343,-12),Database!$A:$AS,MATCH($U$1,Database!$A$1:$AS$1,),)))))/(((VLOOKUP(EDATE(B343,-12),Database!$A:$AS,MATCH($U$1,Database!$A$1:$AS$1,),))))</f>
        <v/>
      </c>
      <c r="V343" s="13">
        <f>((((VLOOKUP(B343,Database!$A:$AS,MATCH($V$1,Database!$A$1:$AS$1,),))))-(((VLOOKUP(EDATE(B343,-12),Database!$A:$AS,MATCH($V$1,Database!$A$1:$AS$1,),)))))/(((VLOOKUP(EDATE(B343,-12),Database!$A:$AS,MATCH($V$1,Database!$A$1:$AS$1,),))))</f>
        <v/>
      </c>
    </row>
    <row r="344" customFormat="1" s="94">
      <c r="A344" s="44" t="n"/>
      <c r="B344" s="85" t="n">
        <v>42614</v>
      </c>
      <c r="C344" s="13">
        <f>((((VLOOKUP(B344,Database!$A:$AS,MATCH($C$1,Database!$A$1:$AS$1,),))))-(((VLOOKUP(EDATE(B344,-12),Database!$A:$AS,MATCH($C$1,Database!$A$1:$AS$1,),)))))/(((VLOOKUP(EDATE(B344,-12),Database!$A:$AS,MATCH($C$1,Database!$A$1:$AS$1,),))))</f>
        <v/>
      </c>
      <c r="D344" s="13">
        <f>((((VLOOKUP(B344,Database!$A:$AS,MATCH($D$1,Database!$A$1:$AS$1,),))))-(((VLOOKUP(EDATE(B344,-12),Database!$A:$AS,MATCH($D$1,Database!$A$1:$AS$1,),)))))/(((VLOOKUP(EDATE(B344,-12),Database!$A:$AS,MATCH($D$1,Database!$A$1:$AS$1,),))))</f>
        <v/>
      </c>
      <c r="E344" s="13">
        <f>((((VLOOKUP(B344,Database!$A:$AS,MATCH($E$1,Database!$A$1:$AS$1,),))))-(((VLOOKUP(EDATE(B344,-12),Database!$A:$AS,MATCH($E$1,Database!$A$1:$AS$1,),)))))/(((VLOOKUP(EDATE(B344,-12),Database!$A:$AS,MATCH($E$1,Database!$A$1:$AS$1,),))))</f>
        <v/>
      </c>
      <c r="F344" s="13">
        <f>((((VLOOKUP(B344,Database!$A:$AS,MATCH($F$1,Database!$A$1:$AS$1,),))))-(((VLOOKUP(EDATE(B344,-12),Database!$A:$AS,MATCH($F$1,Database!$A$1:$AS$1,),)))))/(((VLOOKUP(EDATE(B344,-12),Database!$A:$AS,MATCH($F$1,Database!$A$1:$AS$1,),))))</f>
        <v/>
      </c>
      <c r="G344" s="13">
        <f>((((VLOOKUP(B344,Database!$A:$AS,MATCH($G$1,Database!$A$1:$AS$1,),))))-(((VLOOKUP(EDATE(B344,-12),Database!$A:$AS,MATCH($G$1,Database!$A$1:$AS$1,),)))))/(((VLOOKUP(EDATE(B344,-12),Database!$A:$AS,MATCH($G$1,Database!$A$1:$AS$1,),))))</f>
        <v/>
      </c>
      <c r="H344" s="13">
        <f>((((VLOOKUP(B344,Database!$A:$AS,MATCH($H$1,Database!$A$1:$AS$1,),))))-(((VLOOKUP(EDATE(B344,-12),Database!$A:$AS,MATCH($H$1,Database!$A$1:$AS$1,),)))))/(((VLOOKUP(EDATE(B344,-12),Database!$A:$AS,MATCH($H$1,Database!$A$1:$AS$1,),))))</f>
        <v/>
      </c>
      <c r="I344" s="13">
        <f>((((VLOOKUP(B344,Database!$A:$AS,MATCH($I$1,Database!$A$1:$AS$1,),))))-(((VLOOKUP(EDATE(B344,-12),Database!$A:$AS,MATCH($I$1,Database!$A$1:$AS$1,),)))))/(((VLOOKUP(EDATE(B344,-12),Database!$A:$AS,MATCH($I$1,Database!$A$1:$AS$1,),))))</f>
        <v/>
      </c>
      <c r="J344" s="13">
        <f>((((VLOOKUP(B344,Database!$A:$AS,MATCH($J$1,Database!$A$1:$AS$1,),))))-(((VLOOKUP(EDATE(B344,-12),Database!$A:$AS,MATCH($J$1,Database!$A$1:$AS$1,),)))))/(((VLOOKUP(EDATE(B344,-12),Database!$A:$AS,MATCH($J$1,Database!$A$1:$AS$1,),))))</f>
        <v/>
      </c>
      <c r="K344" s="13">
        <f>((((VLOOKUP(B344,Database!$A:$AS,MATCH($K$1,Database!$A$1:$AS$1,),))))-(((VLOOKUP(EDATE(B344,-12),Database!$A:$AS,MATCH($K$1,Database!$A$1:$AS$1,),)))))/(((VLOOKUP(EDATE(B344,-12),Database!$A:$AS,MATCH($K$1,Database!$A$1:$AS$1,),))))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((((VLOOKUP(B344,Database!$A:$AS,MATCH($O$1,Database!$A$1:$AS$1,),))))-(((VLOOKUP(EDATE(B344,-12),Database!$A:$AS,MATCH($O$1,Database!$A$1:$AS$1,),)))))/(((VLOOKUP(EDATE(B344,-12),Database!$A:$AS,MATCH($O$1,Database!$A$1:$AS$1,),))))</f>
        <v/>
      </c>
      <c r="P344" s="13">
        <f>((((VLOOKUP(B344,Database!$A:$AS,MATCH($P$1,Database!$A$1:$AS$1,),))))-(((VLOOKUP(EDATE(B344,-12),Database!$A:$AS,MATCH($P$1,Database!$A$1:$AS$1,),)))))/(((VLOOKUP(EDATE(B344,-12),Database!$A:$AS,MATCH($P$1,Database!$A$1:$AS$1,),))))</f>
        <v/>
      </c>
      <c r="Q344" s="13">
        <f>((((VLOOKUP(B344,Database!$A:$AS,MATCH($Q$1,Database!$A$1:$AS$1,),))))-(((VLOOKUP(EDATE(B344,-12),Database!$A:$AS,MATCH($Q$1,Database!$A$1:$AS$1,),)))))/(((VLOOKUP(EDATE(B344,-12),Database!$A:$AS,MATCH($Q$1,Database!$A$1:$AS$1,),))))</f>
        <v/>
      </c>
      <c r="R344" s="13">
        <f>((((VLOOKUP(B344,Database!$A:$AS,MATCH($R$1,Database!$A$1:$AS$1,),))))-(((VLOOKUP(EDATE(B344,-12),Database!$A:$AS,MATCH($R$1,Database!$A$1:$AS$1,),)))))/(((VLOOKUP(EDATE(B344,-12),Database!$A:$AS,MATCH($R$1,Database!$A$1:$AS$1,),))))</f>
        <v/>
      </c>
      <c r="S344" s="13">
        <f>((((VLOOKUP(B344,Database!$A:$AS,MATCH($S$1,Database!$A$1:$AS$1,),))))-(((VLOOKUP(EDATE(B344,-12),Database!$A:$AS,MATCH($S$1,Database!$A$1:$AS$1,),)))))/(((VLOOKUP(EDATE(B344,-12),Database!$A:$AS,MATCH($S$1,Database!$A$1:$AS$1,),))))</f>
        <v/>
      </c>
      <c r="T344" s="13">
        <f>((((VLOOKUP(B344,Database!$A:$AS,MATCH($T$1,Database!$A$1:$AS$1,),))))-(((VLOOKUP(EDATE(B344,-12),Database!$A:$AS,MATCH($T$1,Database!$A$1:$AS$1,),)))))/(((VLOOKUP(EDATE(B344,-12),Database!$A:$AS,MATCH($T$1,Database!$A$1:$AS$1,),))))</f>
        <v/>
      </c>
      <c r="U344" s="13">
        <f>((((VLOOKUP(B344,Database!$A:$AS,MATCH($U$1,Database!$A$1:$AS$1,),))))-(((VLOOKUP(EDATE(B344,-12),Database!$A:$AS,MATCH($U$1,Database!$A$1:$AS$1,),)))))/(((VLOOKUP(EDATE(B344,-12),Database!$A:$AS,MATCH($U$1,Database!$A$1:$AS$1,),))))</f>
        <v/>
      </c>
      <c r="V344" s="13">
        <f>((((VLOOKUP(B344,Database!$A:$AS,MATCH($V$1,Database!$A$1:$AS$1,),))))-(((VLOOKUP(EDATE(B344,-12),Database!$A:$AS,MATCH($V$1,Database!$A$1:$AS$1,),)))))/(((VLOOKUP(EDATE(B344,-12),Database!$A:$AS,MATCH($V$1,Database!$A$1:$AS$1,),))))</f>
        <v/>
      </c>
    </row>
    <row r="345" customFormat="1" s="94">
      <c r="A345" s="44" t="n"/>
      <c r="B345" s="85" t="n">
        <v>42644</v>
      </c>
      <c r="C345" s="13">
        <f>((((VLOOKUP(B345,Database!$A:$AS,MATCH($C$1,Database!$A$1:$AS$1,),))))-(((VLOOKUP(EDATE(B345,-12),Database!$A:$AS,MATCH($C$1,Database!$A$1:$AS$1,),)))))/(((VLOOKUP(EDATE(B345,-12),Database!$A:$AS,MATCH($C$1,Database!$A$1:$AS$1,),))))</f>
        <v/>
      </c>
      <c r="D345" s="13">
        <f>((((VLOOKUP(B345,Database!$A:$AS,MATCH($D$1,Database!$A$1:$AS$1,),))))-(((VLOOKUP(EDATE(B345,-12),Database!$A:$AS,MATCH($D$1,Database!$A$1:$AS$1,),)))))/(((VLOOKUP(EDATE(B345,-12),Database!$A:$AS,MATCH($D$1,Database!$A$1:$AS$1,),))))</f>
        <v/>
      </c>
      <c r="E345" s="13">
        <f>((((VLOOKUP(B345,Database!$A:$AS,MATCH($E$1,Database!$A$1:$AS$1,),))))-(((VLOOKUP(EDATE(B345,-12),Database!$A:$AS,MATCH($E$1,Database!$A$1:$AS$1,),)))))/(((VLOOKUP(EDATE(B345,-12),Database!$A:$AS,MATCH($E$1,Database!$A$1:$AS$1,),))))</f>
        <v/>
      </c>
      <c r="F345" s="13">
        <f>((((VLOOKUP(B345,Database!$A:$AS,MATCH($F$1,Database!$A$1:$AS$1,),))))-(((VLOOKUP(EDATE(B345,-12),Database!$A:$AS,MATCH($F$1,Database!$A$1:$AS$1,),)))))/(((VLOOKUP(EDATE(B345,-12),Database!$A:$AS,MATCH($F$1,Database!$A$1:$AS$1,),))))</f>
        <v/>
      </c>
      <c r="G345" s="13">
        <f>((((VLOOKUP(B345,Database!$A:$AS,MATCH($G$1,Database!$A$1:$AS$1,),))))-(((VLOOKUP(EDATE(B345,-12),Database!$A:$AS,MATCH($G$1,Database!$A$1:$AS$1,),)))))/(((VLOOKUP(EDATE(B345,-12),Database!$A:$AS,MATCH($G$1,Database!$A$1:$AS$1,),))))</f>
        <v/>
      </c>
      <c r="H345" s="13">
        <f>((((VLOOKUP(B345,Database!$A:$AS,MATCH($H$1,Database!$A$1:$AS$1,),))))-(((VLOOKUP(EDATE(B345,-12),Database!$A:$AS,MATCH($H$1,Database!$A$1:$AS$1,),)))))/(((VLOOKUP(EDATE(B345,-12),Database!$A:$AS,MATCH($H$1,Database!$A$1:$AS$1,),))))</f>
        <v/>
      </c>
      <c r="I345" s="13">
        <f>((((VLOOKUP(B345,Database!$A:$AS,MATCH($I$1,Database!$A$1:$AS$1,),))))-(((VLOOKUP(EDATE(B345,-12),Database!$A:$AS,MATCH($I$1,Database!$A$1:$AS$1,),)))))/(((VLOOKUP(EDATE(B345,-12),Database!$A:$AS,MATCH($I$1,Database!$A$1:$AS$1,),))))</f>
        <v/>
      </c>
      <c r="J345" s="13">
        <f>((((VLOOKUP(B345,Database!$A:$AS,MATCH($J$1,Database!$A$1:$AS$1,),))))-(((VLOOKUP(EDATE(B345,-12),Database!$A:$AS,MATCH($J$1,Database!$A$1:$AS$1,),)))))/(((VLOOKUP(EDATE(B345,-12),Database!$A:$AS,MATCH($J$1,Database!$A$1:$AS$1,),))))</f>
        <v/>
      </c>
      <c r="K345" s="13">
        <f>((((VLOOKUP(B345,Database!$A:$AS,MATCH($K$1,Database!$A$1:$AS$1,),))))-(((VLOOKUP(EDATE(B345,-12),Database!$A:$AS,MATCH($K$1,Database!$A$1:$AS$1,),)))))/(((VLOOKUP(EDATE(B345,-12),Database!$A:$AS,MATCH($K$1,Database!$A$1:$AS$1,),))))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((((VLOOKUP(B345,Database!$A:$AS,MATCH($O$1,Database!$A$1:$AS$1,),))))-(((VLOOKUP(EDATE(B345,-12),Database!$A:$AS,MATCH($O$1,Database!$A$1:$AS$1,),)))))/(((VLOOKUP(EDATE(B345,-12),Database!$A:$AS,MATCH($O$1,Database!$A$1:$AS$1,),))))</f>
        <v/>
      </c>
      <c r="P345" s="13">
        <f>((((VLOOKUP(B345,Database!$A:$AS,MATCH($P$1,Database!$A$1:$AS$1,),))))-(((VLOOKUP(EDATE(B345,-12),Database!$A:$AS,MATCH($P$1,Database!$A$1:$AS$1,),)))))/(((VLOOKUP(EDATE(B345,-12),Database!$A:$AS,MATCH($P$1,Database!$A$1:$AS$1,),))))</f>
        <v/>
      </c>
      <c r="Q345" s="13">
        <f>((((VLOOKUP(B345,Database!$A:$AS,MATCH($Q$1,Database!$A$1:$AS$1,),))))-(((VLOOKUP(EDATE(B345,-12),Database!$A:$AS,MATCH($Q$1,Database!$A$1:$AS$1,),)))))/(((VLOOKUP(EDATE(B345,-12),Database!$A:$AS,MATCH($Q$1,Database!$A$1:$AS$1,),))))</f>
        <v/>
      </c>
      <c r="R345" s="13">
        <f>((((VLOOKUP(B345,Database!$A:$AS,MATCH($R$1,Database!$A$1:$AS$1,),))))-(((VLOOKUP(EDATE(B345,-12),Database!$A:$AS,MATCH($R$1,Database!$A$1:$AS$1,),)))))/(((VLOOKUP(EDATE(B345,-12),Database!$A:$AS,MATCH($R$1,Database!$A$1:$AS$1,),))))</f>
        <v/>
      </c>
      <c r="S345" s="13">
        <f>((((VLOOKUP(B345,Database!$A:$AS,MATCH($S$1,Database!$A$1:$AS$1,),))))-(((VLOOKUP(EDATE(B345,-12),Database!$A:$AS,MATCH($S$1,Database!$A$1:$AS$1,),)))))/(((VLOOKUP(EDATE(B345,-12),Database!$A:$AS,MATCH($S$1,Database!$A$1:$AS$1,),))))</f>
        <v/>
      </c>
      <c r="T345" s="13">
        <f>((((VLOOKUP(B345,Database!$A:$AS,MATCH($T$1,Database!$A$1:$AS$1,),))))-(((VLOOKUP(EDATE(B345,-12),Database!$A:$AS,MATCH($T$1,Database!$A$1:$AS$1,),)))))/(((VLOOKUP(EDATE(B345,-12),Database!$A:$AS,MATCH($T$1,Database!$A$1:$AS$1,),))))</f>
        <v/>
      </c>
      <c r="U345" s="13">
        <f>((((VLOOKUP(B345,Database!$A:$AS,MATCH($U$1,Database!$A$1:$AS$1,),))))-(((VLOOKUP(EDATE(B345,-12),Database!$A:$AS,MATCH($U$1,Database!$A$1:$AS$1,),)))))/(((VLOOKUP(EDATE(B345,-12),Database!$A:$AS,MATCH($U$1,Database!$A$1:$AS$1,),))))</f>
        <v/>
      </c>
      <c r="V345" s="13">
        <f>((((VLOOKUP(B345,Database!$A:$AS,MATCH($V$1,Database!$A$1:$AS$1,),))))-(((VLOOKUP(EDATE(B345,-12),Database!$A:$AS,MATCH($V$1,Database!$A$1:$AS$1,),)))))/(((VLOOKUP(EDATE(B345,-12),Database!$A:$AS,MATCH($V$1,Database!$A$1:$AS$1,),))))</f>
        <v/>
      </c>
    </row>
    <row r="346" customFormat="1" s="94">
      <c r="A346" s="44" t="n"/>
      <c r="B346" s="85" t="n">
        <v>42675</v>
      </c>
      <c r="C346" s="13">
        <f>((((VLOOKUP(B346,Database!$A:$AS,MATCH($C$1,Database!$A$1:$AS$1,),))))-(((VLOOKUP(EDATE(B346,-12),Database!$A:$AS,MATCH($C$1,Database!$A$1:$AS$1,),)))))/(((VLOOKUP(EDATE(B346,-12),Database!$A:$AS,MATCH($C$1,Database!$A$1:$AS$1,),))))</f>
        <v/>
      </c>
      <c r="D346" s="13">
        <f>((((VLOOKUP(B346,Database!$A:$AS,MATCH($D$1,Database!$A$1:$AS$1,),))))-(((VLOOKUP(EDATE(B346,-12),Database!$A:$AS,MATCH($D$1,Database!$A$1:$AS$1,),)))))/(((VLOOKUP(EDATE(B346,-12),Database!$A:$AS,MATCH($D$1,Database!$A$1:$AS$1,),))))</f>
        <v/>
      </c>
      <c r="E346" s="13">
        <f>((((VLOOKUP(B346,Database!$A:$AS,MATCH($E$1,Database!$A$1:$AS$1,),))))-(((VLOOKUP(EDATE(B346,-12),Database!$A:$AS,MATCH($E$1,Database!$A$1:$AS$1,),)))))/(((VLOOKUP(EDATE(B346,-12),Database!$A:$AS,MATCH($E$1,Database!$A$1:$AS$1,),))))</f>
        <v/>
      </c>
      <c r="F346" s="13">
        <f>((((VLOOKUP(B346,Database!$A:$AS,MATCH($F$1,Database!$A$1:$AS$1,),))))-(((VLOOKUP(EDATE(B346,-12),Database!$A:$AS,MATCH($F$1,Database!$A$1:$AS$1,),)))))/(((VLOOKUP(EDATE(B346,-12),Database!$A:$AS,MATCH($F$1,Database!$A$1:$AS$1,),))))</f>
        <v/>
      </c>
      <c r="G346" s="13">
        <f>((((VLOOKUP(B346,Database!$A:$AS,MATCH($G$1,Database!$A$1:$AS$1,),))))-(((VLOOKUP(EDATE(B346,-12),Database!$A:$AS,MATCH($G$1,Database!$A$1:$AS$1,),)))))/(((VLOOKUP(EDATE(B346,-12),Database!$A:$AS,MATCH($G$1,Database!$A$1:$AS$1,),))))</f>
        <v/>
      </c>
      <c r="H346" s="13">
        <f>((((VLOOKUP(B346,Database!$A:$AS,MATCH($H$1,Database!$A$1:$AS$1,),))))-(((VLOOKUP(EDATE(B346,-12),Database!$A:$AS,MATCH($H$1,Database!$A$1:$AS$1,),)))))/(((VLOOKUP(EDATE(B346,-12),Database!$A:$AS,MATCH($H$1,Database!$A$1:$AS$1,),))))</f>
        <v/>
      </c>
      <c r="I346" s="13">
        <f>((((VLOOKUP(B346,Database!$A:$AS,MATCH($I$1,Database!$A$1:$AS$1,),))))-(((VLOOKUP(EDATE(B346,-12),Database!$A:$AS,MATCH($I$1,Database!$A$1:$AS$1,),)))))/(((VLOOKUP(EDATE(B346,-12),Database!$A:$AS,MATCH($I$1,Database!$A$1:$AS$1,),))))</f>
        <v/>
      </c>
      <c r="J346" s="13">
        <f>((((VLOOKUP(B346,Database!$A:$AS,MATCH($J$1,Database!$A$1:$AS$1,),))))-(((VLOOKUP(EDATE(B346,-12),Database!$A:$AS,MATCH($J$1,Database!$A$1:$AS$1,),)))))/(((VLOOKUP(EDATE(B346,-12),Database!$A:$AS,MATCH($J$1,Database!$A$1:$AS$1,),))))</f>
        <v/>
      </c>
      <c r="K346" s="13">
        <f>((((VLOOKUP(B346,Database!$A:$AS,MATCH($K$1,Database!$A$1:$AS$1,),))))-(((VLOOKUP(EDATE(B346,-12),Database!$A:$AS,MATCH($K$1,Database!$A$1:$AS$1,),)))))/(((VLOOKUP(EDATE(B346,-12),Database!$A:$AS,MATCH($K$1,Database!$A$1:$AS$1,),))))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((((VLOOKUP(B346,Database!$A:$AS,MATCH($O$1,Database!$A$1:$AS$1,),))))-(((VLOOKUP(EDATE(B346,-12),Database!$A:$AS,MATCH($O$1,Database!$A$1:$AS$1,),)))))/(((VLOOKUP(EDATE(B346,-12),Database!$A:$AS,MATCH($O$1,Database!$A$1:$AS$1,),))))</f>
        <v/>
      </c>
      <c r="P346" s="13">
        <f>((((VLOOKUP(B346,Database!$A:$AS,MATCH($P$1,Database!$A$1:$AS$1,),))))-(((VLOOKUP(EDATE(B346,-12),Database!$A:$AS,MATCH($P$1,Database!$A$1:$AS$1,),)))))/(((VLOOKUP(EDATE(B346,-12),Database!$A:$AS,MATCH($P$1,Database!$A$1:$AS$1,),))))</f>
        <v/>
      </c>
      <c r="Q346" s="13">
        <f>((((VLOOKUP(B346,Database!$A:$AS,MATCH($Q$1,Database!$A$1:$AS$1,),))))-(((VLOOKUP(EDATE(B346,-12),Database!$A:$AS,MATCH($Q$1,Database!$A$1:$AS$1,),)))))/(((VLOOKUP(EDATE(B346,-12),Database!$A:$AS,MATCH($Q$1,Database!$A$1:$AS$1,),))))</f>
        <v/>
      </c>
      <c r="R346" s="13">
        <f>((((VLOOKUP(B346,Database!$A:$AS,MATCH($R$1,Database!$A$1:$AS$1,),))))-(((VLOOKUP(EDATE(B346,-12),Database!$A:$AS,MATCH($R$1,Database!$A$1:$AS$1,),)))))/(((VLOOKUP(EDATE(B346,-12),Database!$A:$AS,MATCH($R$1,Database!$A$1:$AS$1,),))))</f>
        <v/>
      </c>
      <c r="S346" s="13">
        <f>((((VLOOKUP(B346,Database!$A:$AS,MATCH($S$1,Database!$A$1:$AS$1,),))))-(((VLOOKUP(EDATE(B346,-12),Database!$A:$AS,MATCH($S$1,Database!$A$1:$AS$1,),)))))/(((VLOOKUP(EDATE(B346,-12),Database!$A:$AS,MATCH($S$1,Database!$A$1:$AS$1,),))))</f>
        <v/>
      </c>
      <c r="T346" s="13">
        <f>((((VLOOKUP(B346,Database!$A:$AS,MATCH($T$1,Database!$A$1:$AS$1,),))))-(((VLOOKUP(EDATE(B346,-12),Database!$A:$AS,MATCH($T$1,Database!$A$1:$AS$1,),)))))/(((VLOOKUP(EDATE(B346,-12),Database!$A:$AS,MATCH($T$1,Database!$A$1:$AS$1,),))))</f>
        <v/>
      </c>
      <c r="U346" s="13">
        <f>((((VLOOKUP(B346,Database!$A:$AS,MATCH($U$1,Database!$A$1:$AS$1,),))))-(((VLOOKUP(EDATE(B346,-12),Database!$A:$AS,MATCH($U$1,Database!$A$1:$AS$1,),)))))/(((VLOOKUP(EDATE(B346,-12),Database!$A:$AS,MATCH($U$1,Database!$A$1:$AS$1,),))))</f>
        <v/>
      </c>
      <c r="V346" s="13">
        <f>((((VLOOKUP(B346,Database!$A:$AS,MATCH($V$1,Database!$A$1:$AS$1,),))))-(((VLOOKUP(EDATE(B346,-12),Database!$A:$AS,MATCH($V$1,Database!$A$1:$AS$1,),)))))/(((VLOOKUP(EDATE(B346,-12),Database!$A:$AS,MATCH($V$1,Database!$A$1:$AS$1,),))))</f>
        <v/>
      </c>
    </row>
    <row r="347" customFormat="1" s="94">
      <c r="A347" s="44" t="n"/>
      <c r="B347" s="85" t="n">
        <v>42705</v>
      </c>
      <c r="C347" s="13">
        <f>((((VLOOKUP(B347,Database!$A:$AS,MATCH($C$1,Database!$A$1:$AS$1,),))))-(((VLOOKUP(EDATE(B347,-12),Database!$A:$AS,MATCH($C$1,Database!$A$1:$AS$1,),)))))/(((VLOOKUP(EDATE(B347,-12),Database!$A:$AS,MATCH($C$1,Database!$A$1:$AS$1,),))))</f>
        <v/>
      </c>
      <c r="D347" s="13">
        <f>((((VLOOKUP(B347,Database!$A:$AS,MATCH($D$1,Database!$A$1:$AS$1,),))))-(((VLOOKUP(EDATE(B347,-12),Database!$A:$AS,MATCH($D$1,Database!$A$1:$AS$1,),)))))/(((VLOOKUP(EDATE(B347,-12),Database!$A:$AS,MATCH($D$1,Database!$A$1:$AS$1,),))))</f>
        <v/>
      </c>
      <c r="E347" s="13">
        <f>((((VLOOKUP(B347,Database!$A:$AS,MATCH($E$1,Database!$A$1:$AS$1,),))))-(((VLOOKUP(EDATE(B347,-12),Database!$A:$AS,MATCH($E$1,Database!$A$1:$AS$1,),)))))/(((VLOOKUP(EDATE(B347,-12),Database!$A:$AS,MATCH($E$1,Database!$A$1:$AS$1,),))))</f>
        <v/>
      </c>
      <c r="F347" s="13">
        <f>((((VLOOKUP(B347,Database!$A:$AS,MATCH($F$1,Database!$A$1:$AS$1,),))))-(((VLOOKUP(EDATE(B347,-12),Database!$A:$AS,MATCH($F$1,Database!$A$1:$AS$1,),)))))/(((VLOOKUP(EDATE(B347,-12),Database!$A:$AS,MATCH($F$1,Database!$A$1:$AS$1,),))))</f>
        <v/>
      </c>
      <c r="G347" s="13">
        <f>((((VLOOKUP(B347,Database!$A:$AS,MATCH($G$1,Database!$A$1:$AS$1,),))))-(((VLOOKUP(EDATE(B347,-12),Database!$A:$AS,MATCH($G$1,Database!$A$1:$AS$1,),)))))/(((VLOOKUP(EDATE(B347,-12),Database!$A:$AS,MATCH($G$1,Database!$A$1:$AS$1,),))))</f>
        <v/>
      </c>
      <c r="H347" s="13">
        <f>((((VLOOKUP(B347,Database!$A:$AS,MATCH($H$1,Database!$A$1:$AS$1,),))))-(((VLOOKUP(EDATE(B347,-12),Database!$A:$AS,MATCH($H$1,Database!$A$1:$AS$1,),)))))/(((VLOOKUP(EDATE(B347,-12),Database!$A:$AS,MATCH($H$1,Database!$A$1:$AS$1,),))))</f>
        <v/>
      </c>
      <c r="I347" s="13">
        <f>((((VLOOKUP(B347,Database!$A:$AS,MATCH($I$1,Database!$A$1:$AS$1,),))))-(((VLOOKUP(EDATE(B347,-12),Database!$A:$AS,MATCH($I$1,Database!$A$1:$AS$1,),)))))/(((VLOOKUP(EDATE(B347,-12),Database!$A:$AS,MATCH($I$1,Database!$A$1:$AS$1,),))))</f>
        <v/>
      </c>
      <c r="J347" s="13">
        <f>((((VLOOKUP(B347,Database!$A:$AS,MATCH($J$1,Database!$A$1:$AS$1,),))))-(((VLOOKUP(EDATE(B347,-12),Database!$A:$AS,MATCH($J$1,Database!$A$1:$AS$1,),)))))/(((VLOOKUP(EDATE(B347,-12),Database!$A:$AS,MATCH($J$1,Database!$A$1:$AS$1,),))))</f>
        <v/>
      </c>
      <c r="K347" s="13">
        <f>((((VLOOKUP(B347,Database!$A:$AS,MATCH($K$1,Database!$A$1:$AS$1,),))))-(((VLOOKUP(EDATE(B347,-12),Database!$A:$AS,MATCH($K$1,Database!$A$1:$AS$1,),)))))/(((VLOOKUP(EDATE(B347,-12),Database!$A:$AS,MATCH($K$1,Database!$A$1:$AS$1,),))))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((((VLOOKUP(B347,Database!$A:$AS,MATCH($O$1,Database!$A$1:$AS$1,),))))-(((VLOOKUP(EDATE(B347,-12),Database!$A:$AS,MATCH($O$1,Database!$A$1:$AS$1,),)))))/(((VLOOKUP(EDATE(B347,-12),Database!$A:$AS,MATCH($O$1,Database!$A$1:$AS$1,),))))</f>
        <v/>
      </c>
      <c r="P347" s="13">
        <f>((((VLOOKUP(B347,Database!$A:$AS,MATCH($P$1,Database!$A$1:$AS$1,),))))-(((VLOOKUP(EDATE(B347,-12),Database!$A:$AS,MATCH($P$1,Database!$A$1:$AS$1,),)))))/(((VLOOKUP(EDATE(B347,-12),Database!$A:$AS,MATCH($P$1,Database!$A$1:$AS$1,),))))</f>
        <v/>
      </c>
      <c r="Q347" s="13">
        <f>((((VLOOKUP(B347,Database!$A:$AS,MATCH($Q$1,Database!$A$1:$AS$1,),))))-(((VLOOKUP(EDATE(B347,-12),Database!$A:$AS,MATCH($Q$1,Database!$A$1:$AS$1,),)))))/(((VLOOKUP(EDATE(B347,-12),Database!$A:$AS,MATCH($Q$1,Database!$A$1:$AS$1,),))))</f>
        <v/>
      </c>
      <c r="R347" s="13">
        <f>((((VLOOKUP(B347,Database!$A:$AS,MATCH($R$1,Database!$A$1:$AS$1,),))))-(((VLOOKUP(EDATE(B347,-12),Database!$A:$AS,MATCH($R$1,Database!$A$1:$AS$1,),)))))/(((VLOOKUP(EDATE(B347,-12),Database!$A:$AS,MATCH($R$1,Database!$A$1:$AS$1,),))))</f>
        <v/>
      </c>
      <c r="S347" s="13">
        <f>((((VLOOKUP(B347,Database!$A:$AS,MATCH($S$1,Database!$A$1:$AS$1,),))))-(((VLOOKUP(EDATE(B347,-12),Database!$A:$AS,MATCH($S$1,Database!$A$1:$AS$1,),)))))/(((VLOOKUP(EDATE(B347,-12),Database!$A:$AS,MATCH($S$1,Database!$A$1:$AS$1,),))))</f>
        <v/>
      </c>
      <c r="T347" s="13">
        <f>((((VLOOKUP(B347,Database!$A:$AS,MATCH($T$1,Database!$A$1:$AS$1,),))))-(((VLOOKUP(EDATE(B347,-12),Database!$A:$AS,MATCH($T$1,Database!$A$1:$AS$1,),)))))/(((VLOOKUP(EDATE(B347,-12),Database!$A:$AS,MATCH($T$1,Database!$A$1:$AS$1,),))))</f>
        <v/>
      </c>
      <c r="U347" s="13">
        <f>((((VLOOKUP(B347,Database!$A:$AS,MATCH($U$1,Database!$A$1:$AS$1,),))))-(((VLOOKUP(EDATE(B347,-12),Database!$A:$AS,MATCH($U$1,Database!$A$1:$AS$1,),)))))/(((VLOOKUP(EDATE(B347,-12),Database!$A:$AS,MATCH($U$1,Database!$A$1:$AS$1,),))))</f>
        <v/>
      </c>
      <c r="V347" s="13">
        <f>((((VLOOKUP(B347,Database!$A:$AS,MATCH($V$1,Database!$A$1:$AS$1,),))))-(((VLOOKUP(EDATE(B347,-12),Database!$A:$AS,MATCH($V$1,Database!$A$1:$AS$1,),)))))/(((VLOOKUP(EDATE(B347,-12),Database!$A:$AS,MATCH($V$1,Database!$A$1:$AS$1,),))))</f>
        <v/>
      </c>
    </row>
    <row r="348" customFormat="1" s="94">
      <c r="A348" s="44" t="n"/>
      <c r="B348" s="85" t="n">
        <v>42736</v>
      </c>
      <c r="C348" s="13">
        <f>((((VLOOKUP(B348,Database!$A:$AS,MATCH($C$1,Database!$A$1:$AS$1,),))))-(((VLOOKUP(EDATE(B348,-12),Database!$A:$AS,MATCH($C$1,Database!$A$1:$AS$1,),)))))/(((VLOOKUP(EDATE(B348,-12),Database!$A:$AS,MATCH($C$1,Database!$A$1:$AS$1,),))))</f>
        <v/>
      </c>
      <c r="D348" s="13">
        <f>((((VLOOKUP(B348,Database!$A:$AS,MATCH($D$1,Database!$A$1:$AS$1,),))))-(((VLOOKUP(EDATE(B348,-12),Database!$A:$AS,MATCH($D$1,Database!$A$1:$AS$1,),)))))/(((VLOOKUP(EDATE(B348,-12),Database!$A:$AS,MATCH($D$1,Database!$A$1:$AS$1,),))))</f>
        <v/>
      </c>
      <c r="E348" s="13">
        <f>((((VLOOKUP(B348,Database!$A:$AS,MATCH($E$1,Database!$A$1:$AS$1,),))))-(((VLOOKUP(EDATE(B348,-12),Database!$A:$AS,MATCH($E$1,Database!$A$1:$AS$1,),)))))/(((VLOOKUP(EDATE(B348,-12),Database!$A:$AS,MATCH($E$1,Database!$A$1:$AS$1,),))))</f>
        <v/>
      </c>
      <c r="F348" s="13">
        <f>((((VLOOKUP(B348,Database!$A:$AS,MATCH($F$1,Database!$A$1:$AS$1,),))))-(((VLOOKUP(EDATE(B348,-12),Database!$A:$AS,MATCH($F$1,Database!$A$1:$AS$1,),)))))/(((VLOOKUP(EDATE(B348,-12),Database!$A:$AS,MATCH($F$1,Database!$A$1:$AS$1,),))))</f>
        <v/>
      </c>
      <c r="G348" s="13">
        <f>((((VLOOKUP(B348,Database!$A:$AS,MATCH($G$1,Database!$A$1:$AS$1,),))))-(((VLOOKUP(EDATE(B348,-12),Database!$A:$AS,MATCH($G$1,Database!$A$1:$AS$1,),)))))/(((VLOOKUP(EDATE(B348,-12),Database!$A:$AS,MATCH($G$1,Database!$A$1:$AS$1,),))))</f>
        <v/>
      </c>
      <c r="H348" s="13">
        <f>((((VLOOKUP(B348,Database!$A:$AS,MATCH($H$1,Database!$A$1:$AS$1,),))))-(((VLOOKUP(EDATE(B348,-12),Database!$A:$AS,MATCH($H$1,Database!$A$1:$AS$1,),)))))/(((VLOOKUP(EDATE(B348,-12),Database!$A:$AS,MATCH($H$1,Database!$A$1:$AS$1,),))))</f>
        <v/>
      </c>
      <c r="I348" s="13">
        <f>((((VLOOKUP(B348,Database!$A:$AS,MATCH($I$1,Database!$A$1:$AS$1,),))))-(((VLOOKUP(EDATE(B348,-12),Database!$A:$AS,MATCH($I$1,Database!$A$1:$AS$1,),)))))/(((VLOOKUP(EDATE(B348,-12),Database!$A:$AS,MATCH($I$1,Database!$A$1:$AS$1,),))))</f>
        <v/>
      </c>
      <c r="J348" s="13">
        <f>((((VLOOKUP(B348,Database!$A:$AS,MATCH($J$1,Database!$A$1:$AS$1,),))))-(((VLOOKUP(EDATE(B348,-12),Database!$A:$AS,MATCH($J$1,Database!$A$1:$AS$1,),)))))/(((VLOOKUP(EDATE(B348,-12),Database!$A:$AS,MATCH($J$1,Database!$A$1:$AS$1,),))))</f>
        <v/>
      </c>
      <c r="K348" s="13">
        <f>((((VLOOKUP(B348,Database!$A:$AS,MATCH($K$1,Database!$A$1:$AS$1,),))))-(((VLOOKUP(EDATE(B348,-12),Database!$A:$AS,MATCH($K$1,Database!$A$1:$AS$1,),)))))/(((VLOOKUP(EDATE(B348,-12),Database!$A:$AS,MATCH($K$1,Database!$A$1:$AS$1,),))))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((((VLOOKUP(B348,Database!$A:$AS,MATCH($O$1,Database!$A$1:$AS$1,),))))-(((VLOOKUP(EDATE(B348,-12),Database!$A:$AS,MATCH($O$1,Database!$A$1:$AS$1,),)))))/(((VLOOKUP(EDATE(B348,-12),Database!$A:$AS,MATCH($O$1,Database!$A$1:$AS$1,),))))</f>
        <v/>
      </c>
      <c r="P348" s="13">
        <f>((((VLOOKUP(B348,Database!$A:$AS,MATCH($P$1,Database!$A$1:$AS$1,),))))-(((VLOOKUP(EDATE(B348,-12),Database!$A:$AS,MATCH($P$1,Database!$A$1:$AS$1,),)))))/(((VLOOKUP(EDATE(B348,-12),Database!$A:$AS,MATCH($P$1,Database!$A$1:$AS$1,),))))</f>
        <v/>
      </c>
      <c r="Q348" s="13">
        <f>((((VLOOKUP(B348,Database!$A:$AS,MATCH($Q$1,Database!$A$1:$AS$1,),))))-(((VLOOKUP(EDATE(B348,-12),Database!$A:$AS,MATCH($Q$1,Database!$A$1:$AS$1,),)))))/(((VLOOKUP(EDATE(B348,-12),Database!$A:$AS,MATCH($Q$1,Database!$A$1:$AS$1,),))))</f>
        <v/>
      </c>
      <c r="R348" s="13">
        <f>((((VLOOKUP(B348,Database!$A:$AS,MATCH($R$1,Database!$A$1:$AS$1,),))))-(((VLOOKUP(EDATE(B348,-12),Database!$A:$AS,MATCH($R$1,Database!$A$1:$AS$1,),)))))/(((VLOOKUP(EDATE(B348,-12),Database!$A:$AS,MATCH($R$1,Database!$A$1:$AS$1,),))))</f>
        <v/>
      </c>
      <c r="S348" s="13">
        <f>((((VLOOKUP(B348,Database!$A:$AS,MATCH($S$1,Database!$A$1:$AS$1,),))))-(((VLOOKUP(EDATE(B348,-12),Database!$A:$AS,MATCH($S$1,Database!$A$1:$AS$1,),)))))/(((VLOOKUP(EDATE(B348,-12),Database!$A:$AS,MATCH($S$1,Database!$A$1:$AS$1,),))))</f>
        <v/>
      </c>
      <c r="T348" s="13">
        <f>((((VLOOKUP(B348,Database!$A:$AS,MATCH($T$1,Database!$A$1:$AS$1,),))))-(((VLOOKUP(EDATE(B348,-12),Database!$A:$AS,MATCH($T$1,Database!$A$1:$AS$1,),)))))/(((VLOOKUP(EDATE(B348,-12),Database!$A:$AS,MATCH($T$1,Database!$A$1:$AS$1,),))))</f>
        <v/>
      </c>
      <c r="U348" s="13">
        <f>((((VLOOKUP(B348,Database!$A:$AS,MATCH($U$1,Database!$A$1:$AS$1,),))))-(((VLOOKUP(EDATE(B348,-12),Database!$A:$AS,MATCH($U$1,Database!$A$1:$AS$1,),)))))/(((VLOOKUP(EDATE(B348,-12),Database!$A:$AS,MATCH($U$1,Database!$A$1:$AS$1,),))))</f>
        <v/>
      </c>
      <c r="V348" s="13">
        <f>((((VLOOKUP(B348,Database!$A:$AS,MATCH($V$1,Database!$A$1:$AS$1,),))))-(((VLOOKUP(EDATE(B348,-12),Database!$A:$AS,MATCH($V$1,Database!$A$1:$AS$1,),)))))/(((VLOOKUP(EDATE(B348,-12),Database!$A:$AS,MATCH($V$1,Database!$A$1:$AS$1,),))))</f>
        <v/>
      </c>
    </row>
    <row r="349" customFormat="1" s="94">
      <c r="A349" s="44" t="n"/>
      <c r="B349" s="85" t="n">
        <v>42767</v>
      </c>
      <c r="C349" s="13">
        <f>((((VLOOKUP(B349,Database!$A:$AS,MATCH($C$1,Database!$A$1:$AS$1,),))))-(((VLOOKUP(EDATE(B349,-12),Database!$A:$AS,MATCH($C$1,Database!$A$1:$AS$1,),)))))/(((VLOOKUP(EDATE(B349,-12),Database!$A:$AS,MATCH($C$1,Database!$A$1:$AS$1,),))))</f>
        <v/>
      </c>
      <c r="D349" s="13">
        <f>((((VLOOKUP(B349,Database!$A:$AS,MATCH($D$1,Database!$A$1:$AS$1,),))))-(((VLOOKUP(EDATE(B349,-12),Database!$A:$AS,MATCH($D$1,Database!$A$1:$AS$1,),)))))/(((VLOOKUP(EDATE(B349,-12),Database!$A:$AS,MATCH($D$1,Database!$A$1:$AS$1,),))))</f>
        <v/>
      </c>
      <c r="E349" s="13">
        <f>((((VLOOKUP(B349,Database!$A:$AS,MATCH($E$1,Database!$A$1:$AS$1,),))))-(((VLOOKUP(EDATE(B349,-12),Database!$A:$AS,MATCH($E$1,Database!$A$1:$AS$1,),)))))/(((VLOOKUP(EDATE(B349,-12),Database!$A:$AS,MATCH($E$1,Database!$A$1:$AS$1,),))))</f>
        <v/>
      </c>
      <c r="F349" s="13">
        <f>((((VLOOKUP(B349,Database!$A:$AS,MATCH($F$1,Database!$A$1:$AS$1,),))))-(((VLOOKUP(EDATE(B349,-12),Database!$A:$AS,MATCH($F$1,Database!$A$1:$AS$1,),)))))/(((VLOOKUP(EDATE(B349,-12),Database!$A:$AS,MATCH($F$1,Database!$A$1:$AS$1,),))))</f>
        <v/>
      </c>
      <c r="G349" s="13">
        <f>((((VLOOKUP(B349,Database!$A:$AS,MATCH($G$1,Database!$A$1:$AS$1,),))))-(((VLOOKUP(EDATE(B349,-12),Database!$A:$AS,MATCH($G$1,Database!$A$1:$AS$1,),)))))/(((VLOOKUP(EDATE(B349,-12),Database!$A:$AS,MATCH($G$1,Database!$A$1:$AS$1,),))))</f>
        <v/>
      </c>
      <c r="H349" s="13">
        <f>((((VLOOKUP(B349,Database!$A:$AS,MATCH($H$1,Database!$A$1:$AS$1,),))))-(((VLOOKUP(EDATE(B349,-12),Database!$A:$AS,MATCH($H$1,Database!$A$1:$AS$1,),)))))/(((VLOOKUP(EDATE(B349,-12),Database!$A:$AS,MATCH($H$1,Database!$A$1:$AS$1,),))))</f>
        <v/>
      </c>
      <c r="I349" s="13">
        <f>((((VLOOKUP(B349,Database!$A:$AS,MATCH($I$1,Database!$A$1:$AS$1,),))))-(((VLOOKUP(EDATE(B349,-12),Database!$A:$AS,MATCH($I$1,Database!$A$1:$AS$1,),)))))/(((VLOOKUP(EDATE(B349,-12),Database!$A:$AS,MATCH($I$1,Database!$A$1:$AS$1,),))))</f>
        <v/>
      </c>
      <c r="J349" s="13">
        <f>((((VLOOKUP(B349,Database!$A:$AS,MATCH($J$1,Database!$A$1:$AS$1,),))))-(((VLOOKUP(EDATE(B349,-12),Database!$A:$AS,MATCH($J$1,Database!$A$1:$AS$1,),)))))/(((VLOOKUP(EDATE(B349,-12),Database!$A:$AS,MATCH($J$1,Database!$A$1:$AS$1,),))))</f>
        <v/>
      </c>
      <c r="K349" s="13">
        <f>((((VLOOKUP(B349,Database!$A:$AS,MATCH($K$1,Database!$A$1:$AS$1,),))))-(((VLOOKUP(EDATE(B349,-12),Database!$A:$AS,MATCH($K$1,Database!$A$1:$AS$1,),)))))/(((VLOOKUP(EDATE(B349,-12),Database!$A:$AS,MATCH($K$1,Database!$A$1:$AS$1,),))))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((((VLOOKUP(B349,Database!$A:$AS,MATCH($O$1,Database!$A$1:$AS$1,),))))-(((VLOOKUP(EDATE(B349,-12),Database!$A:$AS,MATCH($O$1,Database!$A$1:$AS$1,),)))))/(((VLOOKUP(EDATE(B349,-12),Database!$A:$AS,MATCH($O$1,Database!$A$1:$AS$1,),))))</f>
        <v/>
      </c>
      <c r="P349" s="13">
        <f>((((VLOOKUP(B349,Database!$A:$AS,MATCH($P$1,Database!$A$1:$AS$1,),))))-(((VLOOKUP(EDATE(B349,-12),Database!$A:$AS,MATCH($P$1,Database!$A$1:$AS$1,),)))))/(((VLOOKUP(EDATE(B349,-12),Database!$A:$AS,MATCH($P$1,Database!$A$1:$AS$1,),))))</f>
        <v/>
      </c>
      <c r="Q349" s="13">
        <f>((((VLOOKUP(B349,Database!$A:$AS,MATCH($Q$1,Database!$A$1:$AS$1,),))))-(((VLOOKUP(EDATE(B349,-12),Database!$A:$AS,MATCH($Q$1,Database!$A$1:$AS$1,),)))))/(((VLOOKUP(EDATE(B349,-12),Database!$A:$AS,MATCH($Q$1,Database!$A$1:$AS$1,),))))</f>
        <v/>
      </c>
      <c r="R349" s="13">
        <f>((((VLOOKUP(B349,Database!$A:$AS,MATCH($R$1,Database!$A$1:$AS$1,),))))-(((VLOOKUP(EDATE(B349,-12),Database!$A:$AS,MATCH($R$1,Database!$A$1:$AS$1,),)))))/(((VLOOKUP(EDATE(B349,-12),Database!$A:$AS,MATCH($R$1,Database!$A$1:$AS$1,),))))</f>
        <v/>
      </c>
      <c r="S349" s="13">
        <f>((((VLOOKUP(B349,Database!$A:$AS,MATCH($S$1,Database!$A$1:$AS$1,),))))-(((VLOOKUP(EDATE(B349,-12),Database!$A:$AS,MATCH($S$1,Database!$A$1:$AS$1,),)))))/(((VLOOKUP(EDATE(B349,-12),Database!$A:$AS,MATCH($S$1,Database!$A$1:$AS$1,),))))</f>
        <v/>
      </c>
      <c r="T349" s="13">
        <f>((((VLOOKUP(B349,Database!$A:$AS,MATCH($T$1,Database!$A$1:$AS$1,),))))-(((VLOOKUP(EDATE(B349,-12),Database!$A:$AS,MATCH($T$1,Database!$A$1:$AS$1,),)))))/(((VLOOKUP(EDATE(B349,-12),Database!$A:$AS,MATCH($T$1,Database!$A$1:$AS$1,),))))</f>
        <v/>
      </c>
      <c r="U349" s="13">
        <f>((((VLOOKUP(B349,Database!$A:$AS,MATCH($U$1,Database!$A$1:$AS$1,),))))-(((VLOOKUP(EDATE(B349,-12),Database!$A:$AS,MATCH($U$1,Database!$A$1:$AS$1,),)))))/(((VLOOKUP(EDATE(B349,-12),Database!$A:$AS,MATCH($U$1,Database!$A$1:$AS$1,),))))</f>
        <v/>
      </c>
      <c r="V349" s="13">
        <f>((((VLOOKUP(B349,Database!$A:$AS,MATCH($V$1,Database!$A$1:$AS$1,),))))-(((VLOOKUP(EDATE(B349,-12),Database!$A:$AS,MATCH($V$1,Database!$A$1:$AS$1,),)))))/(((VLOOKUP(EDATE(B349,-12),Database!$A:$AS,MATCH($V$1,Database!$A$1:$AS$1,),))))</f>
        <v/>
      </c>
    </row>
    <row r="350" customFormat="1" s="94">
      <c r="A350" s="44" t="n"/>
      <c r="B350" s="85" t="n">
        <v>42795</v>
      </c>
      <c r="C350" s="13">
        <f>((((VLOOKUP(B350,Database!$A:$AS,MATCH($C$1,Database!$A$1:$AS$1,),))))-(((VLOOKUP(EDATE(B350,-12),Database!$A:$AS,MATCH($C$1,Database!$A$1:$AS$1,),)))))/(((VLOOKUP(EDATE(B350,-12),Database!$A:$AS,MATCH($C$1,Database!$A$1:$AS$1,),))))</f>
        <v/>
      </c>
      <c r="D350" s="13">
        <f>((((VLOOKUP(B350,Database!$A:$AS,MATCH($D$1,Database!$A$1:$AS$1,),))))-(((VLOOKUP(EDATE(B350,-12),Database!$A:$AS,MATCH($D$1,Database!$A$1:$AS$1,),)))))/(((VLOOKUP(EDATE(B350,-12),Database!$A:$AS,MATCH($D$1,Database!$A$1:$AS$1,),))))</f>
        <v/>
      </c>
      <c r="E350" s="13">
        <f>((((VLOOKUP(B350,Database!$A:$AS,MATCH($E$1,Database!$A$1:$AS$1,),))))-(((VLOOKUP(EDATE(B350,-12),Database!$A:$AS,MATCH($E$1,Database!$A$1:$AS$1,),)))))/(((VLOOKUP(EDATE(B350,-12),Database!$A:$AS,MATCH($E$1,Database!$A$1:$AS$1,),))))</f>
        <v/>
      </c>
      <c r="F350" s="13">
        <f>((((VLOOKUP(B350,Database!$A:$AS,MATCH($F$1,Database!$A$1:$AS$1,),))))-(((VLOOKUP(EDATE(B350,-12),Database!$A:$AS,MATCH($F$1,Database!$A$1:$AS$1,),)))))/(((VLOOKUP(EDATE(B350,-12),Database!$A:$AS,MATCH($F$1,Database!$A$1:$AS$1,),))))</f>
        <v/>
      </c>
      <c r="G350" s="13">
        <f>((((VLOOKUP(B350,Database!$A:$AS,MATCH($G$1,Database!$A$1:$AS$1,),))))-(((VLOOKUP(EDATE(B350,-12),Database!$A:$AS,MATCH($G$1,Database!$A$1:$AS$1,),)))))/(((VLOOKUP(EDATE(B350,-12),Database!$A:$AS,MATCH($G$1,Database!$A$1:$AS$1,),))))</f>
        <v/>
      </c>
      <c r="H350" s="13">
        <f>((((VLOOKUP(B350,Database!$A:$AS,MATCH($H$1,Database!$A$1:$AS$1,),))))-(((VLOOKUP(EDATE(B350,-12),Database!$A:$AS,MATCH($H$1,Database!$A$1:$AS$1,),)))))/(((VLOOKUP(EDATE(B350,-12),Database!$A:$AS,MATCH($H$1,Database!$A$1:$AS$1,),))))</f>
        <v/>
      </c>
      <c r="I350" s="13">
        <f>((((VLOOKUP(B350,Database!$A:$AS,MATCH($I$1,Database!$A$1:$AS$1,),))))-(((VLOOKUP(EDATE(B350,-12),Database!$A:$AS,MATCH($I$1,Database!$A$1:$AS$1,),)))))/(((VLOOKUP(EDATE(B350,-12),Database!$A:$AS,MATCH($I$1,Database!$A$1:$AS$1,),))))</f>
        <v/>
      </c>
      <c r="J350" s="13">
        <f>((((VLOOKUP(B350,Database!$A:$AS,MATCH($J$1,Database!$A$1:$AS$1,),))))-(((VLOOKUP(EDATE(B350,-12),Database!$A:$AS,MATCH($J$1,Database!$A$1:$AS$1,),)))))/(((VLOOKUP(EDATE(B350,-12),Database!$A:$AS,MATCH($J$1,Database!$A$1:$AS$1,),))))</f>
        <v/>
      </c>
      <c r="K350" s="13">
        <f>((((VLOOKUP(B350,Database!$A:$AS,MATCH($K$1,Database!$A$1:$AS$1,),))))-(((VLOOKUP(EDATE(B350,-12),Database!$A:$AS,MATCH($K$1,Database!$A$1:$AS$1,),)))))/(((VLOOKUP(EDATE(B350,-12),Database!$A:$AS,MATCH($K$1,Database!$A$1:$AS$1,),))))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((((VLOOKUP(B350,Database!$A:$AS,MATCH($O$1,Database!$A$1:$AS$1,),))))-(((VLOOKUP(EDATE(B350,-12),Database!$A:$AS,MATCH($O$1,Database!$A$1:$AS$1,),)))))/(((VLOOKUP(EDATE(B350,-12),Database!$A:$AS,MATCH($O$1,Database!$A$1:$AS$1,),))))</f>
        <v/>
      </c>
      <c r="P350" s="13">
        <f>((((VLOOKUP(B350,Database!$A:$AS,MATCH($P$1,Database!$A$1:$AS$1,),))))-(((VLOOKUP(EDATE(B350,-12),Database!$A:$AS,MATCH($P$1,Database!$A$1:$AS$1,),)))))/(((VLOOKUP(EDATE(B350,-12),Database!$A:$AS,MATCH($P$1,Database!$A$1:$AS$1,),))))</f>
        <v/>
      </c>
      <c r="Q350" s="13">
        <f>((((VLOOKUP(B350,Database!$A:$AS,MATCH($Q$1,Database!$A$1:$AS$1,),))))-(((VLOOKUP(EDATE(B350,-12),Database!$A:$AS,MATCH($Q$1,Database!$A$1:$AS$1,),)))))/(((VLOOKUP(EDATE(B350,-12),Database!$A:$AS,MATCH($Q$1,Database!$A$1:$AS$1,),))))</f>
        <v/>
      </c>
      <c r="R350" s="13">
        <f>((((VLOOKUP(B350,Database!$A:$AS,MATCH($R$1,Database!$A$1:$AS$1,),))))-(((VLOOKUP(EDATE(B350,-12),Database!$A:$AS,MATCH($R$1,Database!$A$1:$AS$1,),)))))/(((VLOOKUP(EDATE(B350,-12),Database!$A:$AS,MATCH($R$1,Database!$A$1:$AS$1,),))))</f>
        <v/>
      </c>
      <c r="S350" s="13">
        <f>((((VLOOKUP(B350,Database!$A:$AS,MATCH($S$1,Database!$A$1:$AS$1,),))))-(((VLOOKUP(EDATE(B350,-12),Database!$A:$AS,MATCH($S$1,Database!$A$1:$AS$1,),)))))/(((VLOOKUP(EDATE(B350,-12),Database!$A:$AS,MATCH($S$1,Database!$A$1:$AS$1,),))))</f>
        <v/>
      </c>
      <c r="T350" s="13">
        <f>((((VLOOKUP(B350,Database!$A:$AS,MATCH($T$1,Database!$A$1:$AS$1,),))))-(((VLOOKUP(EDATE(B350,-12),Database!$A:$AS,MATCH($T$1,Database!$A$1:$AS$1,),)))))/(((VLOOKUP(EDATE(B350,-12),Database!$A:$AS,MATCH($T$1,Database!$A$1:$AS$1,),))))</f>
        <v/>
      </c>
      <c r="U350" s="13">
        <f>((((VLOOKUP(B350,Database!$A:$AS,MATCH($U$1,Database!$A$1:$AS$1,),))))-(((VLOOKUP(EDATE(B350,-12),Database!$A:$AS,MATCH($U$1,Database!$A$1:$AS$1,),)))))/(((VLOOKUP(EDATE(B350,-12),Database!$A:$AS,MATCH($U$1,Database!$A$1:$AS$1,),))))</f>
        <v/>
      </c>
      <c r="V350" s="13">
        <f>((((VLOOKUP(B350,Database!$A:$AS,MATCH($V$1,Database!$A$1:$AS$1,),))))-(((VLOOKUP(EDATE(B350,-12),Database!$A:$AS,MATCH($V$1,Database!$A$1:$AS$1,),)))))/(((VLOOKUP(EDATE(B350,-12),Database!$A:$AS,MATCH($V$1,Database!$A$1:$AS$1,),))))</f>
        <v/>
      </c>
    </row>
    <row r="351" customFormat="1" s="94">
      <c r="A351" s="44" t="n"/>
      <c r="B351" s="85" t="n">
        <v>42826</v>
      </c>
      <c r="C351" s="13">
        <f>((((VLOOKUP(B351,Database!$A:$AS,MATCH($C$1,Database!$A$1:$AS$1,),))))-(((VLOOKUP(EDATE(B351,-12),Database!$A:$AS,MATCH($C$1,Database!$A$1:$AS$1,),)))))/(((VLOOKUP(EDATE(B351,-12),Database!$A:$AS,MATCH($C$1,Database!$A$1:$AS$1,),))))</f>
        <v/>
      </c>
      <c r="D351" s="13">
        <f>((((VLOOKUP(B351,Database!$A:$AS,MATCH($D$1,Database!$A$1:$AS$1,),))))-(((VLOOKUP(EDATE(B351,-12),Database!$A:$AS,MATCH($D$1,Database!$A$1:$AS$1,),)))))/(((VLOOKUP(EDATE(B351,-12),Database!$A:$AS,MATCH($D$1,Database!$A$1:$AS$1,),))))</f>
        <v/>
      </c>
      <c r="E351" s="13">
        <f>((((VLOOKUP(B351,Database!$A:$AS,MATCH($E$1,Database!$A$1:$AS$1,),))))-(((VLOOKUP(EDATE(B351,-12),Database!$A:$AS,MATCH($E$1,Database!$A$1:$AS$1,),)))))/(((VLOOKUP(EDATE(B351,-12),Database!$A:$AS,MATCH($E$1,Database!$A$1:$AS$1,),))))</f>
        <v/>
      </c>
      <c r="F351" s="13">
        <f>((((VLOOKUP(B351,Database!$A:$AS,MATCH($F$1,Database!$A$1:$AS$1,),))))-(((VLOOKUP(EDATE(B351,-12),Database!$A:$AS,MATCH($F$1,Database!$A$1:$AS$1,),)))))/(((VLOOKUP(EDATE(B351,-12),Database!$A:$AS,MATCH($F$1,Database!$A$1:$AS$1,),))))</f>
        <v/>
      </c>
      <c r="G351" s="13">
        <f>((((VLOOKUP(B351,Database!$A:$AS,MATCH($G$1,Database!$A$1:$AS$1,),))))-(((VLOOKUP(EDATE(B351,-12),Database!$A:$AS,MATCH($G$1,Database!$A$1:$AS$1,),)))))/(((VLOOKUP(EDATE(B351,-12),Database!$A:$AS,MATCH($G$1,Database!$A$1:$AS$1,),))))</f>
        <v/>
      </c>
      <c r="H351" s="13">
        <f>((((VLOOKUP(B351,Database!$A:$AS,MATCH($H$1,Database!$A$1:$AS$1,),))))-(((VLOOKUP(EDATE(B351,-12),Database!$A:$AS,MATCH($H$1,Database!$A$1:$AS$1,),)))))/(((VLOOKUP(EDATE(B351,-12),Database!$A:$AS,MATCH($H$1,Database!$A$1:$AS$1,),))))</f>
        <v/>
      </c>
      <c r="I351" s="13">
        <f>((((VLOOKUP(B351,Database!$A:$AS,MATCH($I$1,Database!$A$1:$AS$1,),))))-(((VLOOKUP(EDATE(B351,-12),Database!$A:$AS,MATCH($I$1,Database!$A$1:$AS$1,),)))))/(((VLOOKUP(EDATE(B351,-12),Database!$A:$AS,MATCH($I$1,Database!$A$1:$AS$1,),))))</f>
        <v/>
      </c>
      <c r="J351" s="13">
        <f>((((VLOOKUP(B351,Database!$A:$AS,MATCH($J$1,Database!$A$1:$AS$1,),))))-(((VLOOKUP(EDATE(B351,-12),Database!$A:$AS,MATCH($J$1,Database!$A$1:$AS$1,),)))))/(((VLOOKUP(EDATE(B351,-12),Database!$A:$AS,MATCH($J$1,Database!$A$1:$AS$1,),))))</f>
        <v/>
      </c>
      <c r="K351" s="13">
        <f>((((VLOOKUP(B351,Database!$A:$AS,MATCH($K$1,Database!$A$1:$AS$1,),))))-(((VLOOKUP(EDATE(B351,-12),Database!$A:$AS,MATCH($K$1,Database!$A$1:$AS$1,),)))))/(((VLOOKUP(EDATE(B351,-12),Database!$A:$AS,MATCH($K$1,Database!$A$1:$AS$1,),))))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((((VLOOKUP(B351,Database!$A:$AS,MATCH($O$1,Database!$A$1:$AS$1,),))))-(((VLOOKUP(EDATE(B351,-12),Database!$A:$AS,MATCH($O$1,Database!$A$1:$AS$1,),)))))/(((VLOOKUP(EDATE(B351,-12),Database!$A:$AS,MATCH($O$1,Database!$A$1:$AS$1,),))))</f>
        <v/>
      </c>
      <c r="P351" s="13">
        <f>((((VLOOKUP(B351,Database!$A:$AS,MATCH($P$1,Database!$A$1:$AS$1,),))))-(((VLOOKUP(EDATE(B351,-12),Database!$A:$AS,MATCH($P$1,Database!$A$1:$AS$1,),)))))/(((VLOOKUP(EDATE(B351,-12),Database!$A:$AS,MATCH($P$1,Database!$A$1:$AS$1,),))))</f>
        <v/>
      </c>
      <c r="Q351" s="13">
        <f>((((VLOOKUP(B351,Database!$A:$AS,MATCH($Q$1,Database!$A$1:$AS$1,),))))-(((VLOOKUP(EDATE(B351,-12),Database!$A:$AS,MATCH($Q$1,Database!$A$1:$AS$1,),)))))/(((VLOOKUP(EDATE(B351,-12),Database!$A:$AS,MATCH($Q$1,Database!$A$1:$AS$1,),))))</f>
        <v/>
      </c>
      <c r="R351" s="13">
        <f>((((VLOOKUP(B351,Database!$A:$AS,MATCH($R$1,Database!$A$1:$AS$1,),))))-(((VLOOKUP(EDATE(B351,-12),Database!$A:$AS,MATCH($R$1,Database!$A$1:$AS$1,),)))))/(((VLOOKUP(EDATE(B351,-12),Database!$A:$AS,MATCH($R$1,Database!$A$1:$AS$1,),))))</f>
        <v/>
      </c>
      <c r="S351" s="13">
        <f>((((VLOOKUP(B351,Database!$A:$AS,MATCH($S$1,Database!$A$1:$AS$1,),))))-(((VLOOKUP(EDATE(B351,-12),Database!$A:$AS,MATCH($S$1,Database!$A$1:$AS$1,),)))))/(((VLOOKUP(EDATE(B351,-12),Database!$A:$AS,MATCH($S$1,Database!$A$1:$AS$1,),))))</f>
        <v/>
      </c>
      <c r="T351" s="13">
        <f>((((VLOOKUP(B351,Database!$A:$AS,MATCH($T$1,Database!$A$1:$AS$1,),))))-(((VLOOKUP(EDATE(B351,-12),Database!$A:$AS,MATCH($T$1,Database!$A$1:$AS$1,),)))))/(((VLOOKUP(EDATE(B351,-12),Database!$A:$AS,MATCH($T$1,Database!$A$1:$AS$1,),))))</f>
        <v/>
      </c>
      <c r="U351" s="13">
        <f>((((VLOOKUP(B351,Database!$A:$AS,MATCH($U$1,Database!$A$1:$AS$1,),))))-(((VLOOKUP(EDATE(B351,-12),Database!$A:$AS,MATCH($U$1,Database!$A$1:$AS$1,),)))))/(((VLOOKUP(EDATE(B351,-12),Database!$A:$AS,MATCH($U$1,Database!$A$1:$AS$1,),))))</f>
        <v/>
      </c>
      <c r="V351" s="13">
        <f>((((VLOOKUP(B351,Database!$A:$AS,MATCH($V$1,Database!$A$1:$AS$1,),))))-(((VLOOKUP(EDATE(B351,-12),Database!$A:$AS,MATCH($V$1,Database!$A$1:$AS$1,),)))))/(((VLOOKUP(EDATE(B351,-12),Database!$A:$AS,MATCH($V$1,Database!$A$1:$AS$1,),))))</f>
        <v/>
      </c>
    </row>
    <row r="352" customFormat="1" s="94">
      <c r="A352" s="44" t="n"/>
      <c r="B352" s="85" t="n">
        <v>42856</v>
      </c>
      <c r="C352" s="13">
        <f>((((VLOOKUP(B352,Database!$A:$AS,MATCH($C$1,Database!$A$1:$AS$1,),))))-(((VLOOKUP(EDATE(B352,-12),Database!$A:$AS,MATCH($C$1,Database!$A$1:$AS$1,),)))))/(((VLOOKUP(EDATE(B352,-12),Database!$A:$AS,MATCH($C$1,Database!$A$1:$AS$1,),))))</f>
        <v/>
      </c>
      <c r="D352" s="13">
        <f>((((VLOOKUP(B352,Database!$A:$AS,MATCH($D$1,Database!$A$1:$AS$1,),))))-(((VLOOKUP(EDATE(B352,-12),Database!$A:$AS,MATCH($D$1,Database!$A$1:$AS$1,),)))))/(((VLOOKUP(EDATE(B352,-12),Database!$A:$AS,MATCH($D$1,Database!$A$1:$AS$1,),))))</f>
        <v/>
      </c>
      <c r="E352" s="13">
        <f>((((VLOOKUP(B352,Database!$A:$AS,MATCH($E$1,Database!$A$1:$AS$1,),))))-(((VLOOKUP(EDATE(B352,-12),Database!$A:$AS,MATCH($E$1,Database!$A$1:$AS$1,),)))))/(((VLOOKUP(EDATE(B352,-12),Database!$A:$AS,MATCH($E$1,Database!$A$1:$AS$1,),))))</f>
        <v/>
      </c>
      <c r="F352" s="13">
        <f>((((VLOOKUP(B352,Database!$A:$AS,MATCH($F$1,Database!$A$1:$AS$1,),))))-(((VLOOKUP(EDATE(B352,-12),Database!$A:$AS,MATCH($F$1,Database!$A$1:$AS$1,),)))))/(((VLOOKUP(EDATE(B352,-12),Database!$A:$AS,MATCH($F$1,Database!$A$1:$AS$1,),))))</f>
        <v/>
      </c>
      <c r="G352" s="13">
        <f>((((VLOOKUP(B352,Database!$A:$AS,MATCH($G$1,Database!$A$1:$AS$1,),))))-(((VLOOKUP(EDATE(B352,-12),Database!$A:$AS,MATCH($G$1,Database!$A$1:$AS$1,),)))))/(((VLOOKUP(EDATE(B352,-12),Database!$A:$AS,MATCH($G$1,Database!$A$1:$AS$1,),))))</f>
        <v/>
      </c>
      <c r="H352" s="13">
        <f>((((VLOOKUP(B352,Database!$A:$AS,MATCH($H$1,Database!$A$1:$AS$1,),))))-(((VLOOKUP(EDATE(B352,-12),Database!$A:$AS,MATCH($H$1,Database!$A$1:$AS$1,),)))))/(((VLOOKUP(EDATE(B352,-12),Database!$A:$AS,MATCH($H$1,Database!$A$1:$AS$1,),))))</f>
        <v/>
      </c>
      <c r="I352" s="13">
        <f>((((VLOOKUP(B352,Database!$A:$AS,MATCH($I$1,Database!$A$1:$AS$1,),))))-(((VLOOKUP(EDATE(B352,-12),Database!$A:$AS,MATCH($I$1,Database!$A$1:$AS$1,),)))))/(((VLOOKUP(EDATE(B352,-12),Database!$A:$AS,MATCH($I$1,Database!$A$1:$AS$1,),))))</f>
        <v/>
      </c>
      <c r="J352" s="13">
        <f>((((VLOOKUP(B352,Database!$A:$AS,MATCH($J$1,Database!$A$1:$AS$1,),))))-(((VLOOKUP(EDATE(B352,-12),Database!$A:$AS,MATCH($J$1,Database!$A$1:$AS$1,),)))))/(((VLOOKUP(EDATE(B352,-12),Database!$A:$AS,MATCH($J$1,Database!$A$1:$AS$1,),))))</f>
        <v/>
      </c>
      <c r="K352" s="13">
        <f>((((VLOOKUP(B352,Database!$A:$AS,MATCH($K$1,Database!$A$1:$AS$1,),))))-(((VLOOKUP(EDATE(B352,-12),Database!$A:$AS,MATCH($K$1,Database!$A$1:$AS$1,),)))))/(((VLOOKUP(EDATE(B352,-12),Database!$A:$AS,MATCH($K$1,Database!$A$1:$AS$1,),))))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((((VLOOKUP(B352,Database!$A:$AS,MATCH($O$1,Database!$A$1:$AS$1,),))))-(((VLOOKUP(EDATE(B352,-12),Database!$A:$AS,MATCH($O$1,Database!$A$1:$AS$1,),)))))/(((VLOOKUP(EDATE(B352,-12),Database!$A:$AS,MATCH($O$1,Database!$A$1:$AS$1,),))))</f>
        <v/>
      </c>
      <c r="P352" s="13">
        <f>((((VLOOKUP(B352,Database!$A:$AS,MATCH($P$1,Database!$A$1:$AS$1,),))))-(((VLOOKUP(EDATE(B352,-12),Database!$A:$AS,MATCH($P$1,Database!$A$1:$AS$1,),)))))/(((VLOOKUP(EDATE(B352,-12),Database!$A:$AS,MATCH($P$1,Database!$A$1:$AS$1,),))))</f>
        <v/>
      </c>
      <c r="Q352" s="13">
        <f>((((VLOOKUP(B352,Database!$A:$AS,MATCH($Q$1,Database!$A$1:$AS$1,),))))-(((VLOOKUP(EDATE(B352,-12),Database!$A:$AS,MATCH($Q$1,Database!$A$1:$AS$1,),)))))/(((VLOOKUP(EDATE(B352,-12),Database!$A:$AS,MATCH($Q$1,Database!$A$1:$AS$1,),))))</f>
        <v/>
      </c>
      <c r="R352" s="13">
        <f>((((VLOOKUP(B352,Database!$A:$AS,MATCH($R$1,Database!$A$1:$AS$1,),))))-(((VLOOKUP(EDATE(B352,-12),Database!$A:$AS,MATCH($R$1,Database!$A$1:$AS$1,),)))))/(((VLOOKUP(EDATE(B352,-12),Database!$A:$AS,MATCH($R$1,Database!$A$1:$AS$1,),))))</f>
        <v/>
      </c>
      <c r="S352" s="13">
        <f>((((VLOOKUP(B352,Database!$A:$AS,MATCH($S$1,Database!$A$1:$AS$1,),))))-(((VLOOKUP(EDATE(B352,-12),Database!$A:$AS,MATCH($S$1,Database!$A$1:$AS$1,),)))))/(((VLOOKUP(EDATE(B352,-12),Database!$A:$AS,MATCH($S$1,Database!$A$1:$AS$1,),))))</f>
        <v/>
      </c>
      <c r="T352" s="13">
        <f>((((VLOOKUP(B352,Database!$A:$AS,MATCH($T$1,Database!$A$1:$AS$1,),))))-(((VLOOKUP(EDATE(B352,-12),Database!$A:$AS,MATCH($T$1,Database!$A$1:$AS$1,),)))))/(((VLOOKUP(EDATE(B352,-12),Database!$A:$AS,MATCH($T$1,Database!$A$1:$AS$1,),))))</f>
        <v/>
      </c>
      <c r="U352" s="13">
        <f>((((VLOOKUP(B352,Database!$A:$AS,MATCH($U$1,Database!$A$1:$AS$1,),))))-(((VLOOKUP(EDATE(B352,-12),Database!$A:$AS,MATCH($U$1,Database!$A$1:$AS$1,),)))))/(((VLOOKUP(EDATE(B352,-12),Database!$A:$AS,MATCH($U$1,Database!$A$1:$AS$1,),))))</f>
        <v/>
      </c>
      <c r="V352" s="13">
        <f>((((VLOOKUP(B352,Database!$A:$AS,MATCH($V$1,Database!$A$1:$AS$1,),))))-(((VLOOKUP(EDATE(B352,-12),Database!$A:$AS,MATCH($V$1,Database!$A$1:$AS$1,),)))))/(((VLOOKUP(EDATE(B352,-12),Database!$A:$AS,MATCH($V$1,Database!$A$1:$AS$1,),))))</f>
        <v/>
      </c>
    </row>
    <row r="353" customFormat="1" s="94">
      <c r="A353" s="44" t="n"/>
      <c r="B353" s="85" t="n">
        <v>42887</v>
      </c>
      <c r="C353" s="13">
        <f>((((VLOOKUP(B353,Database!$A:$AS,MATCH($C$1,Database!$A$1:$AS$1,),))))-(((VLOOKUP(EDATE(B353,-12),Database!$A:$AS,MATCH($C$1,Database!$A$1:$AS$1,),)))))/(((VLOOKUP(EDATE(B353,-12),Database!$A:$AS,MATCH($C$1,Database!$A$1:$AS$1,),))))</f>
        <v/>
      </c>
      <c r="D353" s="13">
        <f>((((VLOOKUP(B353,Database!$A:$AS,MATCH($D$1,Database!$A$1:$AS$1,),))))-(((VLOOKUP(EDATE(B353,-12),Database!$A:$AS,MATCH($D$1,Database!$A$1:$AS$1,),)))))/(((VLOOKUP(EDATE(B353,-12),Database!$A:$AS,MATCH($D$1,Database!$A$1:$AS$1,),))))</f>
        <v/>
      </c>
      <c r="E353" s="13">
        <f>((((VLOOKUP(B353,Database!$A:$AS,MATCH($E$1,Database!$A$1:$AS$1,),))))-(((VLOOKUP(EDATE(B353,-12),Database!$A:$AS,MATCH($E$1,Database!$A$1:$AS$1,),)))))/(((VLOOKUP(EDATE(B353,-12),Database!$A:$AS,MATCH($E$1,Database!$A$1:$AS$1,),))))</f>
        <v/>
      </c>
      <c r="F353" s="13">
        <f>((((VLOOKUP(B353,Database!$A:$AS,MATCH($F$1,Database!$A$1:$AS$1,),))))-(((VLOOKUP(EDATE(B353,-12),Database!$A:$AS,MATCH($F$1,Database!$A$1:$AS$1,),)))))/(((VLOOKUP(EDATE(B353,-12),Database!$A:$AS,MATCH($F$1,Database!$A$1:$AS$1,),))))</f>
        <v/>
      </c>
      <c r="G353" s="13">
        <f>((((VLOOKUP(B353,Database!$A:$AS,MATCH($G$1,Database!$A$1:$AS$1,),))))-(((VLOOKUP(EDATE(B353,-12),Database!$A:$AS,MATCH($G$1,Database!$A$1:$AS$1,),)))))/(((VLOOKUP(EDATE(B353,-12),Database!$A:$AS,MATCH($G$1,Database!$A$1:$AS$1,),))))</f>
        <v/>
      </c>
      <c r="H353" s="13">
        <f>((((VLOOKUP(B353,Database!$A:$AS,MATCH($H$1,Database!$A$1:$AS$1,),))))-(((VLOOKUP(EDATE(B353,-12),Database!$A:$AS,MATCH($H$1,Database!$A$1:$AS$1,),)))))/(((VLOOKUP(EDATE(B353,-12),Database!$A:$AS,MATCH($H$1,Database!$A$1:$AS$1,),))))</f>
        <v/>
      </c>
      <c r="I353" s="13">
        <f>((((VLOOKUP(B353,Database!$A:$AS,MATCH($I$1,Database!$A$1:$AS$1,),))))-(((VLOOKUP(EDATE(B353,-12),Database!$A:$AS,MATCH($I$1,Database!$A$1:$AS$1,),)))))/(((VLOOKUP(EDATE(B353,-12),Database!$A:$AS,MATCH($I$1,Database!$A$1:$AS$1,),))))</f>
        <v/>
      </c>
      <c r="J353" s="13">
        <f>((((VLOOKUP(B353,Database!$A:$AS,MATCH($J$1,Database!$A$1:$AS$1,),))))-(((VLOOKUP(EDATE(B353,-12),Database!$A:$AS,MATCH($J$1,Database!$A$1:$AS$1,),)))))/(((VLOOKUP(EDATE(B353,-12),Database!$A:$AS,MATCH($J$1,Database!$A$1:$AS$1,),))))</f>
        <v/>
      </c>
      <c r="K353" s="13">
        <f>((((VLOOKUP(B353,Database!$A:$AS,MATCH($K$1,Database!$A$1:$AS$1,),))))-(((VLOOKUP(EDATE(B353,-12),Database!$A:$AS,MATCH($K$1,Database!$A$1:$AS$1,),)))))/(((VLOOKUP(EDATE(B353,-12),Database!$A:$AS,MATCH($K$1,Database!$A$1:$AS$1,),))))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((((VLOOKUP(B353,Database!$A:$AS,MATCH($O$1,Database!$A$1:$AS$1,),))))-(((VLOOKUP(EDATE(B353,-12),Database!$A:$AS,MATCH($O$1,Database!$A$1:$AS$1,),)))))/(((VLOOKUP(EDATE(B353,-12),Database!$A:$AS,MATCH($O$1,Database!$A$1:$AS$1,),))))</f>
        <v/>
      </c>
      <c r="P353" s="13">
        <f>((((VLOOKUP(B353,Database!$A:$AS,MATCH($P$1,Database!$A$1:$AS$1,),))))-(((VLOOKUP(EDATE(B353,-12),Database!$A:$AS,MATCH($P$1,Database!$A$1:$AS$1,),)))))/(((VLOOKUP(EDATE(B353,-12),Database!$A:$AS,MATCH($P$1,Database!$A$1:$AS$1,),))))</f>
        <v/>
      </c>
      <c r="Q353" s="13">
        <f>((((VLOOKUP(B353,Database!$A:$AS,MATCH($Q$1,Database!$A$1:$AS$1,),))))-(((VLOOKUP(EDATE(B353,-12),Database!$A:$AS,MATCH($Q$1,Database!$A$1:$AS$1,),)))))/(((VLOOKUP(EDATE(B353,-12),Database!$A:$AS,MATCH($Q$1,Database!$A$1:$AS$1,),))))</f>
        <v/>
      </c>
      <c r="R353" s="13">
        <f>((((VLOOKUP(B353,Database!$A:$AS,MATCH($R$1,Database!$A$1:$AS$1,),))))-(((VLOOKUP(EDATE(B353,-12),Database!$A:$AS,MATCH($R$1,Database!$A$1:$AS$1,),)))))/(((VLOOKUP(EDATE(B353,-12),Database!$A:$AS,MATCH($R$1,Database!$A$1:$AS$1,),))))</f>
        <v/>
      </c>
      <c r="S353" s="13">
        <f>((((VLOOKUP(B353,Database!$A:$AS,MATCH($S$1,Database!$A$1:$AS$1,),))))-(((VLOOKUP(EDATE(B353,-12),Database!$A:$AS,MATCH($S$1,Database!$A$1:$AS$1,),)))))/(((VLOOKUP(EDATE(B353,-12),Database!$A:$AS,MATCH($S$1,Database!$A$1:$AS$1,),))))</f>
        <v/>
      </c>
      <c r="T353" s="13">
        <f>((((VLOOKUP(B353,Database!$A:$AS,MATCH($T$1,Database!$A$1:$AS$1,),))))-(((VLOOKUP(EDATE(B353,-12),Database!$A:$AS,MATCH($T$1,Database!$A$1:$AS$1,),)))))/(((VLOOKUP(EDATE(B353,-12),Database!$A:$AS,MATCH($T$1,Database!$A$1:$AS$1,),))))</f>
        <v/>
      </c>
      <c r="U353" s="13">
        <f>((((VLOOKUP(B353,Database!$A:$AS,MATCH($U$1,Database!$A$1:$AS$1,),))))-(((VLOOKUP(EDATE(B353,-12),Database!$A:$AS,MATCH($U$1,Database!$A$1:$AS$1,),)))))/(((VLOOKUP(EDATE(B353,-12),Database!$A:$AS,MATCH($U$1,Database!$A$1:$AS$1,),))))</f>
        <v/>
      </c>
      <c r="V353" s="13">
        <f>((((VLOOKUP(B353,Database!$A:$AS,MATCH($V$1,Database!$A$1:$AS$1,),))))-(((VLOOKUP(EDATE(B353,-12),Database!$A:$AS,MATCH($V$1,Database!$A$1:$AS$1,),)))))/(((VLOOKUP(EDATE(B353,-12),Database!$A:$AS,MATCH($V$1,Database!$A$1:$AS$1,),))))</f>
        <v/>
      </c>
    </row>
    <row r="354" customFormat="1" s="94">
      <c r="A354" s="44" t="n"/>
      <c r="B354" s="85" t="n">
        <v>42917</v>
      </c>
      <c r="C354" s="13">
        <f>((((VLOOKUP(B354,Database!$A:$AS,MATCH($C$1,Database!$A$1:$AS$1,),))))-(((VLOOKUP(EDATE(B354,-12),Database!$A:$AS,MATCH($C$1,Database!$A$1:$AS$1,),)))))/(((VLOOKUP(EDATE(B354,-12),Database!$A:$AS,MATCH($C$1,Database!$A$1:$AS$1,),))))</f>
        <v/>
      </c>
      <c r="D354" s="13">
        <f>((((VLOOKUP(B354,Database!$A:$AS,MATCH($D$1,Database!$A$1:$AS$1,),))))-(((VLOOKUP(EDATE(B354,-12),Database!$A:$AS,MATCH($D$1,Database!$A$1:$AS$1,),)))))/(((VLOOKUP(EDATE(B354,-12),Database!$A:$AS,MATCH($D$1,Database!$A$1:$AS$1,),))))</f>
        <v/>
      </c>
      <c r="E354" s="13">
        <f>((((VLOOKUP(B354,Database!$A:$AS,MATCH($E$1,Database!$A$1:$AS$1,),))))-(((VLOOKUP(EDATE(B354,-12),Database!$A:$AS,MATCH($E$1,Database!$A$1:$AS$1,),)))))/(((VLOOKUP(EDATE(B354,-12),Database!$A:$AS,MATCH($E$1,Database!$A$1:$AS$1,),))))</f>
        <v/>
      </c>
      <c r="F354" s="13">
        <f>((((VLOOKUP(B354,Database!$A:$AS,MATCH($F$1,Database!$A$1:$AS$1,),))))-(((VLOOKUP(EDATE(B354,-12),Database!$A:$AS,MATCH($F$1,Database!$A$1:$AS$1,),)))))/(((VLOOKUP(EDATE(B354,-12),Database!$A:$AS,MATCH($F$1,Database!$A$1:$AS$1,),))))</f>
        <v/>
      </c>
      <c r="G354" s="13">
        <f>((((VLOOKUP(B354,Database!$A:$AS,MATCH($G$1,Database!$A$1:$AS$1,),))))-(((VLOOKUP(EDATE(B354,-12),Database!$A:$AS,MATCH($G$1,Database!$A$1:$AS$1,),)))))/(((VLOOKUP(EDATE(B354,-12),Database!$A:$AS,MATCH($G$1,Database!$A$1:$AS$1,),))))</f>
        <v/>
      </c>
      <c r="H354" s="13">
        <f>((((VLOOKUP(B354,Database!$A:$AS,MATCH($H$1,Database!$A$1:$AS$1,),))))-(((VLOOKUP(EDATE(B354,-12),Database!$A:$AS,MATCH($H$1,Database!$A$1:$AS$1,),)))))/(((VLOOKUP(EDATE(B354,-12),Database!$A:$AS,MATCH($H$1,Database!$A$1:$AS$1,),))))</f>
        <v/>
      </c>
      <c r="I354" s="13">
        <f>((((VLOOKUP(B354,Database!$A:$AS,MATCH($I$1,Database!$A$1:$AS$1,),))))-(((VLOOKUP(EDATE(B354,-12),Database!$A:$AS,MATCH($I$1,Database!$A$1:$AS$1,),)))))/(((VLOOKUP(EDATE(B354,-12),Database!$A:$AS,MATCH($I$1,Database!$A$1:$AS$1,),))))</f>
        <v/>
      </c>
      <c r="J354" s="13">
        <f>((((VLOOKUP(B354,Database!$A:$AS,MATCH($J$1,Database!$A$1:$AS$1,),))))-(((VLOOKUP(EDATE(B354,-12),Database!$A:$AS,MATCH($J$1,Database!$A$1:$AS$1,),)))))/(((VLOOKUP(EDATE(B354,-12),Database!$A:$AS,MATCH($J$1,Database!$A$1:$AS$1,),))))</f>
        <v/>
      </c>
      <c r="K354" s="13">
        <f>((((VLOOKUP(B354,Database!$A:$AS,MATCH($K$1,Database!$A$1:$AS$1,),))))-(((VLOOKUP(EDATE(B354,-12),Database!$A:$AS,MATCH($K$1,Database!$A$1:$AS$1,),)))))/(((VLOOKUP(EDATE(B354,-12),Database!$A:$AS,MATCH($K$1,Database!$A$1:$AS$1,),))))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((((VLOOKUP(B354,Database!$A:$AS,MATCH($O$1,Database!$A$1:$AS$1,),))))-(((VLOOKUP(EDATE(B354,-12),Database!$A:$AS,MATCH($O$1,Database!$A$1:$AS$1,),)))))/(((VLOOKUP(EDATE(B354,-12),Database!$A:$AS,MATCH($O$1,Database!$A$1:$AS$1,),))))</f>
        <v/>
      </c>
      <c r="P354" s="13">
        <f>((((VLOOKUP(B354,Database!$A:$AS,MATCH($P$1,Database!$A$1:$AS$1,),))))-(((VLOOKUP(EDATE(B354,-12),Database!$A:$AS,MATCH($P$1,Database!$A$1:$AS$1,),)))))/(((VLOOKUP(EDATE(B354,-12),Database!$A:$AS,MATCH($P$1,Database!$A$1:$AS$1,),))))</f>
        <v/>
      </c>
      <c r="Q354" s="13">
        <f>((((VLOOKUP(B354,Database!$A:$AS,MATCH($Q$1,Database!$A$1:$AS$1,),))))-(((VLOOKUP(EDATE(B354,-12),Database!$A:$AS,MATCH($Q$1,Database!$A$1:$AS$1,),)))))/(((VLOOKUP(EDATE(B354,-12),Database!$A:$AS,MATCH($Q$1,Database!$A$1:$AS$1,),))))</f>
        <v/>
      </c>
      <c r="R354" s="13">
        <f>((((VLOOKUP(B354,Database!$A:$AS,MATCH($R$1,Database!$A$1:$AS$1,),))))-(((VLOOKUP(EDATE(B354,-12),Database!$A:$AS,MATCH($R$1,Database!$A$1:$AS$1,),)))))/(((VLOOKUP(EDATE(B354,-12),Database!$A:$AS,MATCH($R$1,Database!$A$1:$AS$1,),))))</f>
        <v/>
      </c>
      <c r="S354" s="13">
        <f>((((VLOOKUP(B354,Database!$A:$AS,MATCH($S$1,Database!$A$1:$AS$1,),))))-(((VLOOKUP(EDATE(B354,-12),Database!$A:$AS,MATCH($S$1,Database!$A$1:$AS$1,),)))))/(((VLOOKUP(EDATE(B354,-12),Database!$A:$AS,MATCH($S$1,Database!$A$1:$AS$1,),))))</f>
        <v/>
      </c>
      <c r="T354" s="13">
        <f>((((VLOOKUP(B354,Database!$A:$AS,MATCH($T$1,Database!$A$1:$AS$1,),))))-(((VLOOKUP(EDATE(B354,-12),Database!$A:$AS,MATCH($T$1,Database!$A$1:$AS$1,),)))))/(((VLOOKUP(EDATE(B354,-12),Database!$A:$AS,MATCH($T$1,Database!$A$1:$AS$1,),))))</f>
        <v/>
      </c>
      <c r="U354" s="13">
        <f>((((VLOOKUP(B354,Database!$A:$AS,MATCH($U$1,Database!$A$1:$AS$1,),))))-(((VLOOKUP(EDATE(B354,-12),Database!$A:$AS,MATCH($U$1,Database!$A$1:$AS$1,),)))))/(((VLOOKUP(EDATE(B354,-12),Database!$A:$AS,MATCH($U$1,Database!$A$1:$AS$1,),))))</f>
        <v/>
      </c>
      <c r="V354" s="13">
        <f>((((VLOOKUP(B354,Database!$A:$AS,MATCH($V$1,Database!$A$1:$AS$1,),))))-(((VLOOKUP(EDATE(B354,-12),Database!$A:$AS,MATCH($V$1,Database!$A$1:$AS$1,),)))))/(((VLOOKUP(EDATE(B354,-12),Database!$A:$AS,MATCH($V$1,Database!$A$1:$AS$1,),))))</f>
        <v/>
      </c>
    </row>
    <row r="355" customFormat="1" s="94">
      <c r="A355" s="44" t="n"/>
      <c r="B355" s="85" t="n">
        <v>42948</v>
      </c>
      <c r="C355" s="13">
        <f>((((VLOOKUP(B355,Database!$A:$AS,MATCH($C$1,Database!$A$1:$AS$1,),))))-(((VLOOKUP(EDATE(B355,-12),Database!$A:$AS,MATCH($C$1,Database!$A$1:$AS$1,),)))))/(((VLOOKUP(EDATE(B355,-12),Database!$A:$AS,MATCH($C$1,Database!$A$1:$AS$1,),))))</f>
        <v/>
      </c>
      <c r="D355" s="13">
        <f>((((VLOOKUP(B355,Database!$A:$AS,MATCH($D$1,Database!$A$1:$AS$1,),))))-(((VLOOKUP(EDATE(B355,-12),Database!$A:$AS,MATCH($D$1,Database!$A$1:$AS$1,),)))))/(((VLOOKUP(EDATE(B355,-12),Database!$A:$AS,MATCH($D$1,Database!$A$1:$AS$1,),))))</f>
        <v/>
      </c>
      <c r="E355" s="13">
        <f>((((VLOOKUP(B355,Database!$A:$AS,MATCH($E$1,Database!$A$1:$AS$1,),))))-(((VLOOKUP(EDATE(B355,-12),Database!$A:$AS,MATCH($E$1,Database!$A$1:$AS$1,),)))))/(((VLOOKUP(EDATE(B355,-12),Database!$A:$AS,MATCH($E$1,Database!$A$1:$AS$1,),))))</f>
        <v/>
      </c>
      <c r="F355" s="13">
        <f>((((VLOOKUP(B355,Database!$A:$AS,MATCH($F$1,Database!$A$1:$AS$1,),))))-(((VLOOKUP(EDATE(B355,-12),Database!$A:$AS,MATCH($F$1,Database!$A$1:$AS$1,),)))))/(((VLOOKUP(EDATE(B355,-12),Database!$A:$AS,MATCH($F$1,Database!$A$1:$AS$1,),))))</f>
        <v/>
      </c>
      <c r="G355" s="13">
        <f>((((VLOOKUP(B355,Database!$A:$AS,MATCH($G$1,Database!$A$1:$AS$1,),))))-(((VLOOKUP(EDATE(B355,-12),Database!$A:$AS,MATCH($G$1,Database!$A$1:$AS$1,),)))))/(((VLOOKUP(EDATE(B355,-12),Database!$A:$AS,MATCH($G$1,Database!$A$1:$AS$1,),))))</f>
        <v/>
      </c>
      <c r="H355" s="13">
        <f>((((VLOOKUP(B355,Database!$A:$AS,MATCH($H$1,Database!$A$1:$AS$1,),))))-(((VLOOKUP(EDATE(B355,-12),Database!$A:$AS,MATCH($H$1,Database!$A$1:$AS$1,),)))))/(((VLOOKUP(EDATE(B355,-12),Database!$A:$AS,MATCH($H$1,Database!$A$1:$AS$1,),))))</f>
        <v/>
      </c>
      <c r="I355" s="13">
        <f>((((VLOOKUP(B355,Database!$A:$AS,MATCH($I$1,Database!$A$1:$AS$1,),))))-(((VLOOKUP(EDATE(B355,-12),Database!$A:$AS,MATCH($I$1,Database!$A$1:$AS$1,),)))))/(((VLOOKUP(EDATE(B355,-12),Database!$A:$AS,MATCH($I$1,Database!$A$1:$AS$1,),))))</f>
        <v/>
      </c>
      <c r="J355" s="13">
        <f>((((VLOOKUP(B355,Database!$A:$AS,MATCH($J$1,Database!$A$1:$AS$1,),))))-(((VLOOKUP(EDATE(B355,-12),Database!$A:$AS,MATCH($J$1,Database!$A$1:$AS$1,),)))))/(((VLOOKUP(EDATE(B355,-12),Database!$A:$AS,MATCH($J$1,Database!$A$1:$AS$1,),))))</f>
        <v/>
      </c>
      <c r="K355" s="13">
        <f>((((VLOOKUP(B355,Database!$A:$AS,MATCH($K$1,Database!$A$1:$AS$1,),))))-(((VLOOKUP(EDATE(B355,-12),Database!$A:$AS,MATCH($K$1,Database!$A$1:$AS$1,),)))))/(((VLOOKUP(EDATE(B355,-12),Database!$A:$AS,MATCH($K$1,Database!$A$1:$AS$1,),))))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((((VLOOKUP(B355,Database!$A:$AS,MATCH($O$1,Database!$A$1:$AS$1,),))))-(((VLOOKUP(EDATE(B355,-12),Database!$A:$AS,MATCH($O$1,Database!$A$1:$AS$1,),)))))/(((VLOOKUP(EDATE(B355,-12),Database!$A:$AS,MATCH($O$1,Database!$A$1:$AS$1,),))))</f>
        <v/>
      </c>
      <c r="P355" s="13">
        <f>((((VLOOKUP(B355,Database!$A:$AS,MATCH($P$1,Database!$A$1:$AS$1,),))))-(((VLOOKUP(EDATE(B355,-12),Database!$A:$AS,MATCH($P$1,Database!$A$1:$AS$1,),)))))/(((VLOOKUP(EDATE(B355,-12),Database!$A:$AS,MATCH($P$1,Database!$A$1:$AS$1,),))))</f>
        <v/>
      </c>
      <c r="Q355" s="13">
        <f>((((VLOOKUP(B355,Database!$A:$AS,MATCH($Q$1,Database!$A$1:$AS$1,),))))-(((VLOOKUP(EDATE(B355,-12),Database!$A:$AS,MATCH($Q$1,Database!$A$1:$AS$1,),)))))/(((VLOOKUP(EDATE(B355,-12),Database!$A:$AS,MATCH($Q$1,Database!$A$1:$AS$1,),))))</f>
        <v/>
      </c>
      <c r="R355" s="13">
        <f>((((VLOOKUP(B355,Database!$A:$AS,MATCH($R$1,Database!$A$1:$AS$1,),))))-(((VLOOKUP(EDATE(B355,-12),Database!$A:$AS,MATCH($R$1,Database!$A$1:$AS$1,),)))))/(((VLOOKUP(EDATE(B355,-12),Database!$A:$AS,MATCH($R$1,Database!$A$1:$AS$1,),))))</f>
        <v/>
      </c>
      <c r="S355" s="13">
        <f>((((VLOOKUP(B355,Database!$A:$AS,MATCH($S$1,Database!$A$1:$AS$1,),))))-(((VLOOKUP(EDATE(B355,-12),Database!$A:$AS,MATCH($S$1,Database!$A$1:$AS$1,),)))))/(((VLOOKUP(EDATE(B355,-12),Database!$A:$AS,MATCH($S$1,Database!$A$1:$AS$1,),))))</f>
        <v/>
      </c>
      <c r="T355" s="13">
        <f>((((VLOOKUP(B355,Database!$A:$AS,MATCH($T$1,Database!$A$1:$AS$1,),))))-(((VLOOKUP(EDATE(B355,-12),Database!$A:$AS,MATCH($T$1,Database!$A$1:$AS$1,),)))))/(((VLOOKUP(EDATE(B355,-12),Database!$A:$AS,MATCH($T$1,Database!$A$1:$AS$1,),))))</f>
        <v/>
      </c>
      <c r="U355" s="13">
        <f>((((VLOOKUP(B355,Database!$A:$AS,MATCH($U$1,Database!$A$1:$AS$1,),))))-(((VLOOKUP(EDATE(B355,-12),Database!$A:$AS,MATCH($U$1,Database!$A$1:$AS$1,),)))))/(((VLOOKUP(EDATE(B355,-12),Database!$A:$AS,MATCH($U$1,Database!$A$1:$AS$1,),))))</f>
        <v/>
      </c>
      <c r="V355" s="13">
        <f>((((VLOOKUP(B355,Database!$A:$AS,MATCH($V$1,Database!$A$1:$AS$1,),))))-(((VLOOKUP(EDATE(B355,-12),Database!$A:$AS,MATCH($V$1,Database!$A$1:$AS$1,),)))))/(((VLOOKUP(EDATE(B355,-12),Database!$A:$AS,MATCH($V$1,Database!$A$1:$AS$1,),))))</f>
        <v/>
      </c>
    </row>
    <row r="356" customFormat="1" s="94">
      <c r="A356" s="44" t="n"/>
      <c r="B356" s="85" t="n">
        <v>42979</v>
      </c>
      <c r="C356" s="13">
        <f>((((VLOOKUP(B356,Database!$A:$AS,MATCH($C$1,Database!$A$1:$AS$1,),))))-(((VLOOKUP(EDATE(B356,-12),Database!$A:$AS,MATCH($C$1,Database!$A$1:$AS$1,),)))))/(((VLOOKUP(EDATE(B356,-12),Database!$A:$AS,MATCH($C$1,Database!$A$1:$AS$1,),))))</f>
        <v/>
      </c>
      <c r="D356" s="13">
        <f>((((VLOOKUP(B356,Database!$A:$AS,MATCH($D$1,Database!$A$1:$AS$1,),))))-(((VLOOKUP(EDATE(B356,-12),Database!$A:$AS,MATCH($D$1,Database!$A$1:$AS$1,),)))))/(((VLOOKUP(EDATE(B356,-12),Database!$A:$AS,MATCH($D$1,Database!$A$1:$AS$1,),))))</f>
        <v/>
      </c>
      <c r="E356" s="13">
        <f>((((VLOOKUP(B356,Database!$A:$AS,MATCH($E$1,Database!$A$1:$AS$1,),))))-(((VLOOKUP(EDATE(B356,-12),Database!$A:$AS,MATCH($E$1,Database!$A$1:$AS$1,),)))))/(((VLOOKUP(EDATE(B356,-12),Database!$A:$AS,MATCH($E$1,Database!$A$1:$AS$1,),))))</f>
        <v/>
      </c>
      <c r="F356" s="13">
        <f>((((VLOOKUP(B356,Database!$A:$AS,MATCH($F$1,Database!$A$1:$AS$1,),))))-(((VLOOKUP(EDATE(B356,-12),Database!$A:$AS,MATCH($F$1,Database!$A$1:$AS$1,),)))))/(((VLOOKUP(EDATE(B356,-12),Database!$A:$AS,MATCH($F$1,Database!$A$1:$AS$1,),))))</f>
        <v/>
      </c>
      <c r="G356" s="13">
        <f>((((VLOOKUP(B356,Database!$A:$AS,MATCH($G$1,Database!$A$1:$AS$1,),))))-(((VLOOKUP(EDATE(B356,-12),Database!$A:$AS,MATCH($G$1,Database!$A$1:$AS$1,),)))))/(((VLOOKUP(EDATE(B356,-12),Database!$A:$AS,MATCH($G$1,Database!$A$1:$AS$1,),))))</f>
        <v/>
      </c>
      <c r="H356" s="13">
        <f>((((VLOOKUP(B356,Database!$A:$AS,MATCH($H$1,Database!$A$1:$AS$1,),))))-(((VLOOKUP(EDATE(B356,-12),Database!$A:$AS,MATCH($H$1,Database!$A$1:$AS$1,),)))))/(((VLOOKUP(EDATE(B356,-12),Database!$A:$AS,MATCH($H$1,Database!$A$1:$AS$1,),))))</f>
        <v/>
      </c>
      <c r="I356" s="13">
        <f>((((VLOOKUP(B356,Database!$A:$AS,MATCH($I$1,Database!$A$1:$AS$1,),))))-(((VLOOKUP(EDATE(B356,-12),Database!$A:$AS,MATCH($I$1,Database!$A$1:$AS$1,),)))))/(((VLOOKUP(EDATE(B356,-12),Database!$A:$AS,MATCH($I$1,Database!$A$1:$AS$1,),))))</f>
        <v/>
      </c>
      <c r="J356" s="13">
        <f>((((VLOOKUP(B356,Database!$A:$AS,MATCH($J$1,Database!$A$1:$AS$1,),))))-(((VLOOKUP(EDATE(B356,-12),Database!$A:$AS,MATCH($J$1,Database!$A$1:$AS$1,),)))))/(((VLOOKUP(EDATE(B356,-12),Database!$A:$AS,MATCH($J$1,Database!$A$1:$AS$1,),))))</f>
        <v/>
      </c>
      <c r="K356" s="13">
        <f>((((VLOOKUP(B356,Database!$A:$AS,MATCH($K$1,Database!$A$1:$AS$1,),))))-(((VLOOKUP(EDATE(B356,-12),Database!$A:$AS,MATCH($K$1,Database!$A$1:$AS$1,),)))))/(((VLOOKUP(EDATE(B356,-12),Database!$A:$AS,MATCH($K$1,Database!$A$1:$AS$1,),))))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((((VLOOKUP(B356,Database!$A:$AS,MATCH($O$1,Database!$A$1:$AS$1,),))))-(((VLOOKUP(EDATE(B356,-12),Database!$A:$AS,MATCH($O$1,Database!$A$1:$AS$1,),)))))/(((VLOOKUP(EDATE(B356,-12),Database!$A:$AS,MATCH($O$1,Database!$A$1:$AS$1,),))))</f>
        <v/>
      </c>
      <c r="P356" s="13">
        <f>((((VLOOKUP(B356,Database!$A:$AS,MATCH($P$1,Database!$A$1:$AS$1,),))))-(((VLOOKUP(EDATE(B356,-12),Database!$A:$AS,MATCH($P$1,Database!$A$1:$AS$1,),)))))/(((VLOOKUP(EDATE(B356,-12),Database!$A:$AS,MATCH($P$1,Database!$A$1:$AS$1,),))))</f>
        <v/>
      </c>
      <c r="Q356" s="13">
        <f>((((VLOOKUP(B356,Database!$A:$AS,MATCH($Q$1,Database!$A$1:$AS$1,),))))-(((VLOOKUP(EDATE(B356,-12),Database!$A:$AS,MATCH($Q$1,Database!$A$1:$AS$1,),)))))/(((VLOOKUP(EDATE(B356,-12),Database!$A:$AS,MATCH($Q$1,Database!$A$1:$AS$1,),))))</f>
        <v/>
      </c>
      <c r="R356" s="13">
        <f>((((VLOOKUP(B356,Database!$A:$AS,MATCH($R$1,Database!$A$1:$AS$1,),))))-(((VLOOKUP(EDATE(B356,-12),Database!$A:$AS,MATCH($R$1,Database!$A$1:$AS$1,),)))))/(((VLOOKUP(EDATE(B356,-12),Database!$A:$AS,MATCH($R$1,Database!$A$1:$AS$1,),))))</f>
        <v/>
      </c>
      <c r="S356" s="13">
        <f>((((VLOOKUP(B356,Database!$A:$AS,MATCH($S$1,Database!$A$1:$AS$1,),))))-(((VLOOKUP(EDATE(B356,-12),Database!$A:$AS,MATCH($S$1,Database!$A$1:$AS$1,),)))))/(((VLOOKUP(EDATE(B356,-12),Database!$A:$AS,MATCH($S$1,Database!$A$1:$AS$1,),))))</f>
        <v/>
      </c>
      <c r="T356" s="13">
        <f>((((VLOOKUP(B356,Database!$A:$AS,MATCH($T$1,Database!$A$1:$AS$1,),))))-(((VLOOKUP(EDATE(B356,-12),Database!$A:$AS,MATCH($T$1,Database!$A$1:$AS$1,),)))))/(((VLOOKUP(EDATE(B356,-12),Database!$A:$AS,MATCH($T$1,Database!$A$1:$AS$1,),))))</f>
        <v/>
      </c>
      <c r="U356" s="13">
        <f>((((VLOOKUP(B356,Database!$A:$AS,MATCH($U$1,Database!$A$1:$AS$1,),))))-(((VLOOKUP(EDATE(B356,-12),Database!$A:$AS,MATCH($U$1,Database!$A$1:$AS$1,),)))))/(((VLOOKUP(EDATE(B356,-12),Database!$A:$AS,MATCH($U$1,Database!$A$1:$AS$1,),))))</f>
        <v/>
      </c>
      <c r="V356" s="13">
        <f>((((VLOOKUP(B356,Database!$A:$AS,MATCH($V$1,Database!$A$1:$AS$1,),))))-(((VLOOKUP(EDATE(B356,-12),Database!$A:$AS,MATCH($V$1,Database!$A$1:$AS$1,),)))))/(((VLOOKUP(EDATE(B356,-12),Database!$A:$AS,MATCH($V$1,Database!$A$1:$AS$1,),))))</f>
        <v/>
      </c>
    </row>
    <row r="357" customFormat="1" s="94">
      <c r="A357" s="44" t="n"/>
      <c r="B357" s="85" t="n">
        <v>43009</v>
      </c>
      <c r="C357" s="13">
        <f>((((VLOOKUP(B357,Database!$A:$AS,MATCH($C$1,Database!$A$1:$AS$1,),))))-(((VLOOKUP(EDATE(B357,-12),Database!$A:$AS,MATCH($C$1,Database!$A$1:$AS$1,),)))))/(((VLOOKUP(EDATE(B357,-12),Database!$A:$AS,MATCH($C$1,Database!$A$1:$AS$1,),))))</f>
        <v/>
      </c>
      <c r="D357" s="13">
        <f>((((VLOOKUP(B357,Database!$A:$AS,MATCH($D$1,Database!$A$1:$AS$1,),))))-(((VLOOKUP(EDATE(B357,-12),Database!$A:$AS,MATCH($D$1,Database!$A$1:$AS$1,),)))))/(((VLOOKUP(EDATE(B357,-12),Database!$A:$AS,MATCH($D$1,Database!$A$1:$AS$1,),))))</f>
        <v/>
      </c>
      <c r="E357" s="13">
        <f>((((VLOOKUP(B357,Database!$A:$AS,MATCH($E$1,Database!$A$1:$AS$1,),))))-(((VLOOKUP(EDATE(B357,-12),Database!$A:$AS,MATCH($E$1,Database!$A$1:$AS$1,),)))))/(((VLOOKUP(EDATE(B357,-12),Database!$A:$AS,MATCH($E$1,Database!$A$1:$AS$1,),))))</f>
        <v/>
      </c>
      <c r="F357" s="13">
        <f>((((VLOOKUP(B357,Database!$A:$AS,MATCH($F$1,Database!$A$1:$AS$1,),))))-(((VLOOKUP(EDATE(B357,-12),Database!$A:$AS,MATCH($F$1,Database!$A$1:$AS$1,),)))))/(((VLOOKUP(EDATE(B357,-12),Database!$A:$AS,MATCH($F$1,Database!$A$1:$AS$1,),))))</f>
        <v/>
      </c>
      <c r="G357" s="13">
        <f>((((VLOOKUP(B357,Database!$A:$AS,MATCH($G$1,Database!$A$1:$AS$1,),))))-(((VLOOKUP(EDATE(B357,-12),Database!$A:$AS,MATCH($G$1,Database!$A$1:$AS$1,),)))))/(((VLOOKUP(EDATE(B357,-12),Database!$A:$AS,MATCH($G$1,Database!$A$1:$AS$1,),))))</f>
        <v/>
      </c>
      <c r="H357" s="13">
        <f>((((VLOOKUP(B357,Database!$A:$AS,MATCH($H$1,Database!$A$1:$AS$1,),))))-(((VLOOKUP(EDATE(B357,-12),Database!$A:$AS,MATCH($H$1,Database!$A$1:$AS$1,),)))))/(((VLOOKUP(EDATE(B357,-12),Database!$A:$AS,MATCH($H$1,Database!$A$1:$AS$1,),))))</f>
        <v/>
      </c>
      <c r="I357" s="13">
        <f>((((VLOOKUP(B357,Database!$A:$AS,MATCH($I$1,Database!$A$1:$AS$1,),))))-(((VLOOKUP(EDATE(B357,-12),Database!$A:$AS,MATCH($I$1,Database!$A$1:$AS$1,),)))))/(((VLOOKUP(EDATE(B357,-12),Database!$A:$AS,MATCH($I$1,Database!$A$1:$AS$1,),))))</f>
        <v/>
      </c>
      <c r="J357" s="13">
        <f>((((VLOOKUP(B357,Database!$A:$AS,MATCH($J$1,Database!$A$1:$AS$1,),))))-(((VLOOKUP(EDATE(B357,-12),Database!$A:$AS,MATCH($J$1,Database!$A$1:$AS$1,),)))))/(((VLOOKUP(EDATE(B357,-12),Database!$A:$AS,MATCH($J$1,Database!$A$1:$AS$1,),))))</f>
        <v/>
      </c>
      <c r="K357" s="13">
        <f>((((VLOOKUP(B357,Database!$A:$AS,MATCH($K$1,Database!$A$1:$AS$1,),))))-(((VLOOKUP(EDATE(B357,-12),Database!$A:$AS,MATCH($K$1,Database!$A$1:$AS$1,),)))))/(((VLOOKUP(EDATE(B357,-12),Database!$A:$AS,MATCH($K$1,Database!$A$1:$AS$1,),))))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((((VLOOKUP(B357,Database!$A:$AS,MATCH($O$1,Database!$A$1:$AS$1,),))))-(((VLOOKUP(EDATE(B357,-12),Database!$A:$AS,MATCH($O$1,Database!$A$1:$AS$1,),)))))/(((VLOOKUP(EDATE(B357,-12),Database!$A:$AS,MATCH($O$1,Database!$A$1:$AS$1,),))))</f>
        <v/>
      </c>
      <c r="P357" s="13">
        <f>((((VLOOKUP(B357,Database!$A:$AS,MATCH($P$1,Database!$A$1:$AS$1,),))))-(((VLOOKUP(EDATE(B357,-12),Database!$A:$AS,MATCH($P$1,Database!$A$1:$AS$1,),)))))/(((VLOOKUP(EDATE(B357,-12),Database!$A:$AS,MATCH($P$1,Database!$A$1:$AS$1,),))))</f>
        <v/>
      </c>
      <c r="Q357" s="13">
        <f>((((VLOOKUP(B357,Database!$A:$AS,MATCH($Q$1,Database!$A$1:$AS$1,),))))-(((VLOOKUP(EDATE(B357,-12),Database!$A:$AS,MATCH($Q$1,Database!$A$1:$AS$1,),)))))/(((VLOOKUP(EDATE(B357,-12),Database!$A:$AS,MATCH($Q$1,Database!$A$1:$AS$1,),))))</f>
        <v/>
      </c>
      <c r="R357" s="13">
        <f>((((VLOOKUP(B357,Database!$A:$AS,MATCH($R$1,Database!$A$1:$AS$1,),))))-(((VLOOKUP(EDATE(B357,-12),Database!$A:$AS,MATCH($R$1,Database!$A$1:$AS$1,),)))))/(((VLOOKUP(EDATE(B357,-12),Database!$A:$AS,MATCH($R$1,Database!$A$1:$AS$1,),))))</f>
        <v/>
      </c>
      <c r="S357" s="13">
        <f>((((VLOOKUP(B357,Database!$A:$AS,MATCH($S$1,Database!$A$1:$AS$1,),))))-(((VLOOKUP(EDATE(B357,-12),Database!$A:$AS,MATCH($S$1,Database!$A$1:$AS$1,),)))))/(((VLOOKUP(EDATE(B357,-12),Database!$A:$AS,MATCH($S$1,Database!$A$1:$AS$1,),))))</f>
        <v/>
      </c>
      <c r="T357" s="13">
        <f>((((VLOOKUP(B357,Database!$A:$AS,MATCH($T$1,Database!$A$1:$AS$1,),))))-(((VLOOKUP(EDATE(B357,-12),Database!$A:$AS,MATCH($T$1,Database!$A$1:$AS$1,),)))))/(((VLOOKUP(EDATE(B357,-12),Database!$A:$AS,MATCH($T$1,Database!$A$1:$AS$1,),))))</f>
        <v/>
      </c>
      <c r="U357" s="13">
        <f>((((VLOOKUP(B357,Database!$A:$AS,MATCH($U$1,Database!$A$1:$AS$1,),))))-(((VLOOKUP(EDATE(B357,-12),Database!$A:$AS,MATCH($U$1,Database!$A$1:$AS$1,),)))))/(((VLOOKUP(EDATE(B357,-12),Database!$A:$AS,MATCH($U$1,Database!$A$1:$AS$1,),))))</f>
        <v/>
      </c>
      <c r="V357" s="13">
        <f>((((VLOOKUP(B357,Database!$A:$AS,MATCH($V$1,Database!$A$1:$AS$1,),))))-(((VLOOKUP(EDATE(B357,-12),Database!$A:$AS,MATCH($V$1,Database!$A$1:$AS$1,),)))))/(((VLOOKUP(EDATE(B357,-12),Database!$A:$AS,MATCH($V$1,Database!$A$1:$AS$1,),))))</f>
        <v/>
      </c>
    </row>
    <row r="358" customFormat="1" s="94">
      <c r="A358" s="44" t="n"/>
      <c r="B358" s="85" t="n">
        <v>43040</v>
      </c>
      <c r="C358" s="13">
        <f>((((VLOOKUP(B358,Database!$A:$AS,MATCH($C$1,Database!$A$1:$AS$1,),))))-(((VLOOKUP(EDATE(B358,-12),Database!$A:$AS,MATCH($C$1,Database!$A$1:$AS$1,),)))))/(((VLOOKUP(EDATE(B358,-12),Database!$A:$AS,MATCH($C$1,Database!$A$1:$AS$1,),))))</f>
        <v/>
      </c>
      <c r="D358" s="13">
        <f>((((VLOOKUP(B358,Database!$A:$AS,MATCH($D$1,Database!$A$1:$AS$1,),))))-(((VLOOKUP(EDATE(B358,-12),Database!$A:$AS,MATCH($D$1,Database!$A$1:$AS$1,),)))))/(((VLOOKUP(EDATE(B358,-12),Database!$A:$AS,MATCH($D$1,Database!$A$1:$AS$1,),))))</f>
        <v/>
      </c>
      <c r="E358" s="13">
        <f>((((VLOOKUP(B358,Database!$A:$AS,MATCH($E$1,Database!$A$1:$AS$1,),))))-(((VLOOKUP(EDATE(B358,-12),Database!$A:$AS,MATCH($E$1,Database!$A$1:$AS$1,),)))))/(((VLOOKUP(EDATE(B358,-12),Database!$A:$AS,MATCH($E$1,Database!$A$1:$AS$1,),))))</f>
        <v/>
      </c>
      <c r="F358" s="13">
        <f>((((VLOOKUP(B358,Database!$A:$AS,MATCH($F$1,Database!$A$1:$AS$1,),))))-(((VLOOKUP(EDATE(B358,-12),Database!$A:$AS,MATCH($F$1,Database!$A$1:$AS$1,),)))))/(((VLOOKUP(EDATE(B358,-12),Database!$A:$AS,MATCH($F$1,Database!$A$1:$AS$1,),))))</f>
        <v/>
      </c>
      <c r="G358" s="13">
        <f>((((VLOOKUP(B358,Database!$A:$AS,MATCH($G$1,Database!$A$1:$AS$1,),))))-(((VLOOKUP(EDATE(B358,-12),Database!$A:$AS,MATCH($G$1,Database!$A$1:$AS$1,),)))))/(((VLOOKUP(EDATE(B358,-12),Database!$A:$AS,MATCH($G$1,Database!$A$1:$AS$1,),))))</f>
        <v/>
      </c>
      <c r="H358" s="13">
        <f>((((VLOOKUP(B358,Database!$A:$AS,MATCH($H$1,Database!$A$1:$AS$1,),))))-(((VLOOKUP(EDATE(B358,-12),Database!$A:$AS,MATCH($H$1,Database!$A$1:$AS$1,),)))))/(((VLOOKUP(EDATE(B358,-12),Database!$A:$AS,MATCH($H$1,Database!$A$1:$AS$1,),))))</f>
        <v/>
      </c>
      <c r="I358" s="13">
        <f>((((VLOOKUP(B358,Database!$A:$AS,MATCH($I$1,Database!$A$1:$AS$1,),))))-(((VLOOKUP(EDATE(B358,-12),Database!$A:$AS,MATCH($I$1,Database!$A$1:$AS$1,),)))))/(((VLOOKUP(EDATE(B358,-12),Database!$A:$AS,MATCH($I$1,Database!$A$1:$AS$1,),))))</f>
        <v/>
      </c>
      <c r="J358" s="13">
        <f>((((VLOOKUP(B358,Database!$A:$AS,MATCH($J$1,Database!$A$1:$AS$1,),))))-(((VLOOKUP(EDATE(B358,-12),Database!$A:$AS,MATCH($J$1,Database!$A$1:$AS$1,),)))))/(((VLOOKUP(EDATE(B358,-12),Database!$A:$AS,MATCH($J$1,Database!$A$1:$AS$1,),))))</f>
        <v/>
      </c>
      <c r="K358" s="13">
        <f>((((VLOOKUP(B358,Database!$A:$AS,MATCH($K$1,Database!$A$1:$AS$1,),))))-(((VLOOKUP(EDATE(B358,-12),Database!$A:$AS,MATCH($K$1,Database!$A$1:$AS$1,),)))))/(((VLOOKUP(EDATE(B358,-12),Database!$A:$AS,MATCH($K$1,Database!$A$1:$AS$1,),))))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((((VLOOKUP(B358,Database!$A:$AS,MATCH($O$1,Database!$A$1:$AS$1,),))))-(((VLOOKUP(EDATE(B358,-12),Database!$A:$AS,MATCH($O$1,Database!$A$1:$AS$1,),)))))/(((VLOOKUP(EDATE(B358,-12),Database!$A:$AS,MATCH($O$1,Database!$A$1:$AS$1,),))))</f>
        <v/>
      </c>
      <c r="P358" s="13">
        <f>((((VLOOKUP(B358,Database!$A:$AS,MATCH($P$1,Database!$A$1:$AS$1,),))))-(((VLOOKUP(EDATE(B358,-12),Database!$A:$AS,MATCH($P$1,Database!$A$1:$AS$1,),)))))/(((VLOOKUP(EDATE(B358,-12),Database!$A:$AS,MATCH($P$1,Database!$A$1:$AS$1,),))))</f>
        <v/>
      </c>
      <c r="Q358" s="13">
        <f>((((VLOOKUP(B358,Database!$A:$AS,MATCH($Q$1,Database!$A$1:$AS$1,),))))-(((VLOOKUP(EDATE(B358,-12),Database!$A:$AS,MATCH($Q$1,Database!$A$1:$AS$1,),)))))/(((VLOOKUP(EDATE(B358,-12),Database!$A:$AS,MATCH($Q$1,Database!$A$1:$AS$1,),))))</f>
        <v/>
      </c>
      <c r="R358" s="13">
        <f>((((VLOOKUP(B358,Database!$A:$AS,MATCH($R$1,Database!$A$1:$AS$1,),))))-(((VLOOKUP(EDATE(B358,-12),Database!$A:$AS,MATCH($R$1,Database!$A$1:$AS$1,),)))))/(((VLOOKUP(EDATE(B358,-12),Database!$A:$AS,MATCH($R$1,Database!$A$1:$AS$1,),))))</f>
        <v/>
      </c>
      <c r="S358" s="13">
        <f>((((VLOOKUP(B358,Database!$A:$AS,MATCH($S$1,Database!$A$1:$AS$1,),))))-(((VLOOKUP(EDATE(B358,-12),Database!$A:$AS,MATCH($S$1,Database!$A$1:$AS$1,),)))))/(((VLOOKUP(EDATE(B358,-12),Database!$A:$AS,MATCH($S$1,Database!$A$1:$AS$1,),))))</f>
        <v/>
      </c>
      <c r="T358" s="13">
        <f>((((VLOOKUP(B358,Database!$A:$AS,MATCH($T$1,Database!$A$1:$AS$1,),))))-(((VLOOKUP(EDATE(B358,-12),Database!$A:$AS,MATCH($T$1,Database!$A$1:$AS$1,),)))))/(((VLOOKUP(EDATE(B358,-12),Database!$A:$AS,MATCH($T$1,Database!$A$1:$AS$1,),))))</f>
        <v/>
      </c>
      <c r="U358" s="13">
        <f>((((VLOOKUP(B358,Database!$A:$AS,MATCH($U$1,Database!$A$1:$AS$1,),))))-(((VLOOKUP(EDATE(B358,-12),Database!$A:$AS,MATCH($U$1,Database!$A$1:$AS$1,),)))))/(((VLOOKUP(EDATE(B358,-12),Database!$A:$AS,MATCH($U$1,Database!$A$1:$AS$1,),))))</f>
        <v/>
      </c>
      <c r="V358" s="13">
        <f>((((VLOOKUP(B358,Database!$A:$AS,MATCH($V$1,Database!$A$1:$AS$1,),))))-(((VLOOKUP(EDATE(B358,-12),Database!$A:$AS,MATCH($V$1,Database!$A$1:$AS$1,),)))))/(((VLOOKUP(EDATE(B358,-12),Database!$A:$AS,MATCH($V$1,Database!$A$1:$AS$1,),))))</f>
        <v/>
      </c>
    </row>
    <row r="359" customFormat="1" s="94">
      <c r="A359" s="44" t="n"/>
      <c r="B359" s="85" t="n">
        <v>43070</v>
      </c>
      <c r="C359" s="13">
        <f>((((VLOOKUP(B359,Database!$A:$AS,MATCH($C$1,Database!$A$1:$AS$1,),))))-(((VLOOKUP(EDATE(B359,-12),Database!$A:$AS,MATCH($C$1,Database!$A$1:$AS$1,),)))))/(((VLOOKUP(EDATE(B359,-12),Database!$A:$AS,MATCH($C$1,Database!$A$1:$AS$1,),))))</f>
        <v/>
      </c>
      <c r="D359" s="13">
        <f>((((VLOOKUP(B359,Database!$A:$AS,MATCH($D$1,Database!$A$1:$AS$1,),))))-(((VLOOKUP(EDATE(B359,-12),Database!$A:$AS,MATCH($D$1,Database!$A$1:$AS$1,),)))))/(((VLOOKUP(EDATE(B359,-12),Database!$A:$AS,MATCH($D$1,Database!$A$1:$AS$1,),))))</f>
        <v/>
      </c>
      <c r="E359" s="13">
        <f>((((VLOOKUP(B359,Database!$A:$AS,MATCH($E$1,Database!$A$1:$AS$1,),))))-(((VLOOKUP(EDATE(B359,-12),Database!$A:$AS,MATCH($E$1,Database!$A$1:$AS$1,),)))))/(((VLOOKUP(EDATE(B359,-12),Database!$A:$AS,MATCH($E$1,Database!$A$1:$AS$1,),))))</f>
        <v/>
      </c>
      <c r="F359" s="13">
        <f>((((VLOOKUP(B359,Database!$A:$AS,MATCH($F$1,Database!$A$1:$AS$1,),))))-(((VLOOKUP(EDATE(B359,-12),Database!$A:$AS,MATCH($F$1,Database!$A$1:$AS$1,),)))))/(((VLOOKUP(EDATE(B359,-12),Database!$A:$AS,MATCH($F$1,Database!$A$1:$AS$1,),))))</f>
        <v/>
      </c>
      <c r="G359" s="13">
        <f>((((VLOOKUP(B359,Database!$A:$AS,MATCH($G$1,Database!$A$1:$AS$1,),))))-(((VLOOKUP(EDATE(B359,-12),Database!$A:$AS,MATCH($G$1,Database!$A$1:$AS$1,),)))))/(((VLOOKUP(EDATE(B359,-12),Database!$A:$AS,MATCH($G$1,Database!$A$1:$AS$1,),))))</f>
        <v/>
      </c>
      <c r="H359" s="13">
        <f>((((VLOOKUP(B359,Database!$A:$AS,MATCH($H$1,Database!$A$1:$AS$1,),))))-(((VLOOKUP(EDATE(B359,-12),Database!$A:$AS,MATCH($H$1,Database!$A$1:$AS$1,),)))))/(((VLOOKUP(EDATE(B359,-12),Database!$A:$AS,MATCH($H$1,Database!$A$1:$AS$1,),))))</f>
        <v/>
      </c>
      <c r="I359" s="13">
        <f>((((VLOOKUP(B359,Database!$A:$AS,MATCH($I$1,Database!$A$1:$AS$1,),))))-(((VLOOKUP(EDATE(B359,-12),Database!$A:$AS,MATCH($I$1,Database!$A$1:$AS$1,),)))))/(((VLOOKUP(EDATE(B359,-12),Database!$A:$AS,MATCH($I$1,Database!$A$1:$AS$1,),))))</f>
        <v/>
      </c>
      <c r="J359" s="13">
        <f>((((VLOOKUP(B359,Database!$A:$AS,MATCH($J$1,Database!$A$1:$AS$1,),))))-(((VLOOKUP(EDATE(B359,-12),Database!$A:$AS,MATCH($J$1,Database!$A$1:$AS$1,),)))))/(((VLOOKUP(EDATE(B359,-12),Database!$A:$AS,MATCH($J$1,Database!$A$1:$AS$1,),))))</f>
        <v/>
      </c>
      <c r="K359" s="13">
        <f>((((VLOOKUP(B359,Database!$A:$AS,MATCH($K$1,Database!$A$1:$AS$1,),))))-(((VLOOKUP(EDATE(B359,-12),Database!$A:$AS,MATCH($K$1,Database!$A$1:$AS$1,),)))))/(((VLOOKUP(EDATE(B359,-12),Database!$A:$AS,MATCH($K$1,Database!$A$1:$AS$1,),))))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((((VLOOKUP(B359,Database!$A:$AS,MATCH($O$1,Database!$A$1:$AS$1,),))))-(((VLOOKUP(EDATE(B359,-12),Database!$A:$AS,MATCH($O$1,Database!$A$1:$AS$1,),)))))/(((VLOOKUP(EDATE(B359,-12),Database!$A:$AS,MATCH($O$1,Database!$A$1:$AS$1,),))))</f>
        <v/>
      </c>
      <c r="P359" s="13">
        <f>((((VLOOKUP(B359,Database!$A:$AS,MATCH($P$1,Database!$A$1:$AS$1,),))))-(((VLOOKUP(EDATE(B359,-12),Database!$A:$AS,MATCH($P$1,Database!$A$1:$AS$1,),)))))/(((VLOOKUP(EDATE(B359,-12),Database!$A:$AS,MATCH($P$1,Database!$A$1:$AS$1,),))))</f>
        <v/>
      </c>
      <c r="Q359" s="13">
        <f>((((VLOOKUP(B359,Database!$A:$AS,MATCH($Q$1,Database!$A$1:$AS$1,),))))-(((VLOOKUP(EDATE(B359,-12),Database!$A:$AS,MATCH($Q$1,Database!$A$1:$AS$1,),)))))/(((VLOOKUP(EDATE(B359,-12),Database!$A:$AS,MATCH($Q$1,Database!$A$1:$AS$1,),))))</f>
        <v/>
      </c>
      <c r="R359" s="13">
        <f>((((VLOOKUP(B359,Database!$A:$AS,MATCH($R$1,Database!$A$1:$AS$1,),))))-(((VLOOKUP(EDATE(B359,-12),Database!$A:$AS,MATCH($R$1,Database!$A$1:$AS$1,),)))))/(((VLOOKUP(EDATE(B359,-12),Database!$A:$AS,MATCH($R$1,Database!$A$1:$AS$1,),))))</f>
        <v/>
      </c>
      <c r="S359" s="13">
        <f>((((VLOOKUP(B359,Database!$A:$AS,MATCH($S$1,Database!$A$1:$AS$1,),))))-(((VLOOKUP(EDATE(B359,-12),Database!$A:$AS,MATCH($S$1,Database!$A$1:$AS$1,),)))))/(((VLOOKUP(EDATE(B359,-12),Database!$A:$AS,MATCH($S$1,Database!$A$1:$AS$1,),))))</f>
        <v/>
      </c>
      <c r="T359" s="13">
        <f>((((VLOOKUP(B359,Database!$A:$AS,MATCH($T$1,Database!$A$1:$AS$1,),))))-(((VLOOKUP(EDATE(B359,-12),Database!$A:$AS,MATCH($T$1,Database!$A$1:$AS$1,),)))))/(((VLOOKUP(EDATE(B359,-12),Database!$A:$AS,MATCH($T$1,Database!$A$1:$AS$1,),))))</f>
        <v/>
      </c>
      <c r="U359" s="13">
        <f>((((VLOOKUP(B359,Database!$A:$AS,MATCH($U$1,Database!$A$1:$AS$1,),))))-(((VLOOKUP(EDATE(B359,-12),Database!$A:$AS,MATCH($U$1,Database!$A$1:$AS$1,),)))))/(((VLOOKUP(EDATE(B359,-12),Database!$A:$AS,MATCH($U$1,Database!$A$1:$AS$1,),))))</f>
        <v/>
      </c>
      <c r="V359" s="13">
        <f>((((VLOOKUP(B359,Database!$A:$AS,MATCH($V$1,Database!$A$1:$AS$1,),))))-(((VLOOKUP(EDATE(B359,-12),Database!$A:$AS,MATCH($V$1,Database!$A$1:$AS$1,),)))))/(((VLOOKUP(EDATE(B359,-12),Database!$A:$AS,MATCH($V$1,Database!$A$1:$AS$1,),))))</f>
        <v/>
      </c>
    </row>
    <row r="360" customFormat="1" s="94">
      <c r="A360" s="44" t="n"/>
      <c r="B360" s="85" t="n">
        <v>43101</v>
      </c>
      <c r="C360" s="13">
        <f>((((VLOOKUP(B360,Database!$A:$AS,MATCH($C$1,Database!$A$1:$AS$1,),))))-(((VLOOKUP(EDATE(B360,-12),Database!$A:$AS,MATCH($C$1,Database!$A$1:$AS$1,),)))))/(((VLOOKUP(EDATE(B360,-12),Database!$A:$AS,MATCH($C$1,Database!$A$1:$AS$1,),))))</f>
        <v/>
      </c>
      <c r="D360" s="13">
        <f>((((VLOOKUP(B360,Database!$A:$AS,MATCH($D$1,Database!$A$1:$AS$1,),))))-(((VLOOKUP(EDATE(B360,-12),Database!$A:$AS,MATCH($D$1,Database!$A$1:$AS$1,),)))))/(((VLOOKUP(EDATE(B360,-12),Database!$A:$AS,MATCH($D$1,Database!$A$1:$AS$1,),))))</f>
        <v/>
      </c>
      <c r="E360" s="13">
        <f>((((VLOOKUP(B360,Database!$A:$AS,MATCH($E$1,Database!$A$1:$AS$1,),))))-(((VLOOKUP(EDATE(B360,-12),Database!$A:$AS,MATCH($E$1,Database!$A$1:$AS$1,),)))))/(((VLOOKUP(EDATE(B360,-12),Database!$A:$AS,MATCH($E$1,Database!$A$1:$AS$1,),))))</f>
        <v/>
      </c>
      <c r="F360" s="13">
        <f>((((VLOOKUP(B360,Database!$A:$AS,MATCH($F$1,Database!$A$1:$AS$1,),))))-(((VLOOKUP(EDATE(B360,-12),Database!$A:$AS,MATCH($F$1,Database!$A$1:$AS$1,),)))))/(((VLOOKUP(EDATE(B360,-12),Database!$A:$AS,MATCH($F$1,Database!$A$1:$AS$1,),))))</f>
        <v/>
      </c>
      <c r="G360" s="13">
        <f>((((VLOOKUP(B360,Database!$A:$AS,MATCH($G$1,Database!$A$1:$AS$1,),))))-(((VLOOKUP(EDATE(B360,-12),Database!$A:$AS,MATCH($G$1,Database!$A$1:$AS$1,),)))))/(((VLOOKUP(EDATE(B360,-12),Database!$A:$AS,MATCH($G$1,Database!$A$1:$AS$1,),))))</f>
        <v/>
      </c>
      <c r="H360" s="13">
        <f>((((VLOOKUP(B360,Database!$A:$AS,MATCH($H$1,Database!$A$1:$AS$1,),))))-(((VLOOKUP(EDATE(B360,-12),Database!$A:$AS,MATCH($H$1,Database!$A$1:$AS$1,),)))))/(((VLOOKUP(EDATE(B360,-12),Database!$A:$AS,MATCH($H$1,Database!$A$1:$AS$1,),))))</f>
        <v/>
      </c>
      <c r="I360" s="13">
        <f>((((VLOOKUP(B360,Database!$A:$AS,MATCH($I$1,Database!$A$1:$AS$1,),))))-(((VLOOKUP(EDATE(B360,-12),Database!$A:$AS,MATCH($I$1,Database!$A$1:$AS$1,),)))))/(((VLOOKUP(EDATE(B360,-12),Database!$A:$AS,MATCH($I$1,Database!$A$1:$AS$1,),))))</f>
        <v/>
      </c>
      <c r="J360" s="13">
        <f>((((VLOOKUP(B360,Database!$A:$AS,MATCH($J$1,Database!$A$1:$AS$1,),))))-(((VLOOKUP(EDATE(B360,-12),Database!$A:$AS,MATCH($J$1,Database!$A$1:$AS$1,),)))))/(((VLOOKUP(EDATE(B360,-12),Database!$A:$AS,MATCH($J$1,Database!$A$1:$AS$1,),))))</f>
        <v/>
      </c>
      <c r="K360" s="13">
        <f>((((VLOOKUP(B360,Database!$A:$AS,MATCH($K$1,Database!$A$1:$AS$1,),))))-(((VLOOKUP(EDATE(B360,-12),Database!$A:$AS,MATCH($K$1,Database!$A$1:$AS$1,),)))))/(((VLOOKUP(EDATE(B360,-12),Database!$A:$AS,MATCH($K$1,Database!$A$1:$AS$1,),))))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((((VLOOKUP(B360,Database!$A:$AS,MATCH($O$1,Database!$A$1:$AS$1,),))))-(((VLOOKUP(EDATE(B360,-12),Database!$A:$AS,MATCH($O$1,Database!$A$1:$AS$1,),)))))/(((VLOOKUP(EDATE(B360,-12),Database!$A:$AS,MATCH($O$1,Database!$A$1:$AS$1,),))))</f>
        <v/>
      </c>
      <c r="P360" s="13">
        <f>((((VLOOKUP(B360,Database!$A:$AS,MATCH($P$1,Database!$A$1:$AS$1,),))))-(((VLOOKUP(EDATE(B360,-12),Database!$A:$AS,MATCH($P$1,Database!$A$1:$AS$1,),)))))/(((VLOOKUP(EDATE(B360,-12),Database!$A:$AS,MATCH($P$1,Database!$A$1:$AS$1,),))))</f>
        <v/>
      </c>
      <c r="Q360" s="13">
        <f>((((VLOOKUP(B360,Database!$A:$AS,MATCH($Q$1,Database!$A$1:$AS$1,),))))-(((VLOOKUP(EDATE(B360,-12),Database!$A:$AS,MATCH($Q$1,Database!$A$1:$AS$1,),)))))/(((VLOOKUP(EDATE(B360,-12),Database!$A:$AS,MATCH($Q$1,Database!$A$1:$AS$1,),))))</f>
        <v/>
      </c>
      <c r="R360" s="13">
        <f>((((VLOOKUP(B360,Database!$A:$AS,MATCH($R$1,Database!$A$1:$AS$1,),))))-(((VLOOKUP(EDATE(B360,-12),Database!$A:$AS,MATCH($R$1,Database!$A$1:$AS$1,),)))))/(((VLOOKUP(EDATE(B360,-12),Database!$A:$AS,MATCH($R$1,Database!$A$1:$AS$1,),))))</f>
        <v/>
      </c>
      <c r="S360" s="13">
        <f>((((VLOOKUP(B360,Database!$A:$AS,MATCH($S$1,Database!$A$1:$AS$1,),))))-(((VLOOKUP(EDATE(B360,-12),Database!$A:$AS,MATCH($S$1,Database!$A$1:$AS$1,),)))))/(((VLOOKUP(EDATE(B360,-12),Database!$A:$AS,MATCH($S$1,Database!$A$1:$AS$1,),))))</f>
        <v/>
      </c>
      <c r="T360" s="13">
        <f>((((VLOOKUP(B360,Database!$A:$AS,MATCH($T$1,Database!$A$1:$AS$1,),))))-(((VLOOKUP(EDATE(B360,-12),Database!$A:$AS,MATCH($T$1,Database!$A$1:$AS$1,),)))))/(((VLOOKUP(EDATE(B360,-12),Database!$A:$AS,MATCH($T$1,Database!$A$1:$AS$1,),))))</f>
        <v/>
      </c>
      <c r="U360" s="13">
        <f>((((VLOOKUP(B360,Database!$A:$AS,MATCH($U$1,Database!$A$1:$AS$1,),))))-(((VLOOKUP(EDATE(B360,-12),Database!$A:$AS,MATCH($U$1,Database!$A$1:$AS$1,),)))))/(((VLOOKUP(EDATE(B360,-12),Database!$A:$AS,MATCH($U$1,Database!$A$1:$AS$1,),))))</f>
        <v/>
      </c>
      <c r="V360" s="13">
        <f>((((VLOOKUP(B360,Database!$A:$AS,MATCH($V$1,Database!$A$1:$AS$1,),))))-(((VLOOKUP(EDATE(B360,-12),Database!$A:$AS,MATCH($V$1,Database!$A$1:$AS$1,),)))))/(((VLOOKUP(EDATE(B360,-12),Database!$A:$AS,MATCH($V$1,Database!$A$1:$AS$1,),))))</f>
        <v/>
      </c>
    </row>
    <row r="361" customFormat="1" s="94">
      <c r="A361" s="44" t="n"/>
      <c r="B361" s="85" t="n">
        <v>43132</v>
      </c>
      <c r="C361" s="13">
        <f>((((VLOOKUP(B361,Database!$A:$AS,MATCH($C$1,Database!$A$1:$AS$1,),))))-(((VLOOKUP(EDATE(B361,-12),Database!$A:$AS,MATCH($C$1,Database!$A$1:$AS$1,),)))))/(((VLOOKUP(EDATE(B361,-12),Database!$A:$AS,MATCH($C$1,Database!$A$1:$AS$1,),))))</f>
        <v/>
      </c>
      <c r="D361" s="13">
        <f>((((VLOOKUP(B361,Database!$A:$AS,MATCH($D$1,Database!$A$1:$AS$1,),))))-(((VLOOKUP(EDATE(B361,-12),Database!$A:$AS,MATCH($D$1,Database!$A$1:$AS$1,),)))))/(((VLOOKUP(EDATE(B361,-12),Database!$A:$AS,MATCH($D$1,Database!$A$1:$AS$1,),))))</f>
        <v/>
      </c>
      <c r="E361" s="13">
        <f>((((VLOOKUP(B361,Database!$A:$AS,MATCH($E$1,Database!$A$1:$AS$1,),))))-(((VLOOKUP(EDATE(B361,-12),Database!$A:$AS,MATCH($E$1,Database!$A$1:$AS$1,),)))))/(((VLOOKUP(EDATE(B361,-12),Database!$A:$AS,MATCH($E$1,Database!$A$1:$AS$1,),))))</f>
        <v/>
      </c>
      <c r="F361" s="13">
        <f>((((VLOOKUP(B361,Database!$A:$AS,MATCH($F$1,Database!$A$1:$AS$1,),))))-(((VLOOKUP(EDATE(B361,-12),Database!$A:$AS,MATCH($F$1,Database!$A$1:$AS$1,),)))))/(((VLOOKUP(EDATE(B361,-12),Database!$A:$AS,MATCH($F$1,Database!$A$1:$AS$1,),))))</f>
        <v/>
      </c>
      <c r="G361" s="13">
        <f>((((VLOOKUP(B361,Database!$A:$AS,MATCH($G$1,Database!$A$1:$AS$1,),))))-(((VLOOKUP(EDATE(B361,-12),Database!$A:$AS,MATCH($G$1,Database!$A$1:$AS$1,),)))))/(((VLOOKUP(EDATE(B361,-12),Database!$A:$AS,MATCH($G$1,Database!$A$1:$AS$1,),))))</f>
        <v/>
      </c>
      <c r="H361" s="13">
        <f>((((VLOOKUP(B361,Database!$A:$AS,MATCH($H$1,Database!$A$1:$AS$1,),))))-(((VLOOKUP(EDATE(B361,-12),Database!$A:$AS,MATCH($H$1,Database!$A$1:$AS$1,),)))))/(((VLOOKUP(EDATE(B361,-12),Database!$A:$AS,MATCH($H$1,Database!$A$1:$AS$1,),))))</f>
        <v/>
      </c>
      <c r="I361" s="13">
        <f>((((VLOOKUP(B361,Database!$A:$AS,MATCH($I$1,Database!$A$1:$AS$1,),))))-(((VLOOKUP(EDATE(B361,-12),Database!$A:$AS,MATCH($I$1,Database!$A$1:$AS$1,),)))))/(((VLOOKUP(EDATE(B361,-12),Database!$A:$AS,MATCH($I$1,Database!$A$1:$AS$1,),))))</f>
        <v/>
      </c>
      <c r="J361" s="13">
        <f>((((VLOOKUP(B361,Database!$A:$AS,MATCH($J$1,Database!$A$1:$AS$1,),))))-(((VLOOKUP(EDATE(B361,-12),Database!$A:$AS,MATCH($J$1,Database!$A$1:$AS$1,),)))))/(((VLOOKUP(EDATE(B361,-12),Database!$A:$AS,MATCH($J$1,Database!$A$1:$AS$1,),))))</f>
        <v/>
      </c>
      <c r="K361" s="13">
        <f>((((VLOOKUP(B361,Database!$A:$AS,MATCH($K$1,Database!$A$1:$AS$1,),))))-(((VLOOKUP(EDATE(B361,-12),Database!$A:$AS,MATCH($K$1,Database!$A$1:$AS$1,),)))))/(((VLOOKUP(EDATE(B361,-12),Database!$A:$AS,MATCH($K$1,Database!$A$1:$AS$1,),))))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((((VLOOKUP(B361,Database!$A:$AS,MATCH($O$1,Database!$A$1:$AS$1,),))))-(((VLOOKUP(EDATE(B361,-12),Database!$A:$AS,MATCH($O$1,Database!$A$1:$AS$1,),)))))/(((VLOOKUP(EDATE(B361,-12),Database!$A:$AS,MATCH($O$1,Database!$A$1:$AS$1,),))))</f>
        <v/>
      </c>
      <c r="P361" s="13">
        <f>((((VLOOKUP(B361,Database!$A:$AS,MATCH($P$1,Database!$A$1:$AS$1,),))))-(((VLOOKUP(EDATE(B361,-12),Database!$A:$AS,MATCH($P$1,Database!$A$1:$AS$1,),)))))/(((VLOOKUP(EDATE(B361,-12),Database!$A:$AS,MATCH($P$1,Database!$A$1:$AS$1,),))))</f>
        <v/>
      </c>
      <c r="Q361" s="13">
        <f>((((VLOOKUP(B361,Database!$A:$AS,MATCH($Q$1,Database!$A$1:$AS$1,),))))-(((VLOOKUP(EDATE(B361,-12),Database!$A:$AS,MATCH($Q$1,Database!$A$1:$AS$1,),)))))/(((VLOOKUP(EDATE(B361,-12),Database!$A:$AS,MATCH($Q$1,Database!$A$1:$AS$1,),))))</f>
        <v/>
      </c>
      <c r="R361" s="13">
        <f>((((VLOOKUP(B361,Database!$A:$AS,MATCH($R$1,Database!$A$1:$AS$1,),))))-(((VLOOKUP(EDATE(B361,-12),Database!$A:$AS,MATCH($R$1,Database!$A$1:$AS$1,),)))))/(((VLOOKUP(EDATE(B361,-12),Database!$A:$AS,MATCH($R$1,Database!$A$1:$AS$1,),))))</f>
        <v/>
      </c>
      <c r="S361" s="13">
        <f>((((VLOOKUP(B361,Database!$A:$AS,MATCH($S$1,Database!$A$1:$AS$1,),))))-(((VLOOKUP(EDATE(B361,-12),Database!$A:$AS,MATCH($S$1,Database!$A$1:$AS$1,),)))))/(((VLOOKUP(EDATE(B361,-12),Database!$A:$AS,MATCH($S$1,Database!$A$1:$AS$1,),))))</f>
        <v/>
      </c>
      <c r="T361" s="13">
        <f>((((VLOOKUP(B361,Database!$A:$AS,MATCH($T$1,Database!$A$1:$AS$1,),))))-(((VLOOKUP(EDATE(B361,-12),Database!$A:$AS,MATCH($T$1,Database!$A$1:$AS$1,),)))))/(((VLOOKUP(EDATE(B361,-12),Database!$A:$AS,MATCH($T$1,Database!$A$1:$AS$1,),))))</f>
        <v/>
      </c>
      <c r="U361" s="13">
        <f>((((VLOOKUP(B361,Database!$A:$AS,MATCH($U$1,Database!$A$1:$AS$1,),))))-(((VLOOKUP(EDATE(B361,-12),Database!$A:$AS,MATCH($U$1,Database!$A$1:$AS$1,),)))))/(((VLOOKUP(EDATE(B361,-12),Database!$A:$AS,MATCH($U$1,Database!$A$1:$AS$1,),))))</f>
        <v/>
      </c>
      <c r="V361" s="13">
        <f>((((VLOOKUP(B361,Database!$A:$AS,MATCH($V$1,Database!$A$1:$AS$1,),))))-(((VLOOKUP(EDATE(B361,-12),Database!$A:$AS,MATCH($V$1,Database!$A$1:$AS$1,),)))))/(((VLOOKUP(EDATE(B361,-12),Database!$A:$AS,MATCH($V$1,Database!$A$1:$AS$1,),))))</f>
        <v/>
      </c>
    </row>
    <row r="362" customFormat="1" s="94">
      <c r="A362" s="44" t="n"/>
      <c r="B362" s="85" t="n">
        <v>43160</v>
      </c>
      <c r="C362" s="13">
        <f>((((VLOOKUP(B362,Database!$A:$AS,MATCH($C$1,Database!$A$1:$AS$1,),))))-(((VLOOKUP(EDATE(B362,-12),Database!$A:$AS,MATCH($C$1,Database!$A$1:$AS$1,),)))))/(((VLOOKUP(EDATE(B362,-12),Database!$A:$AS,MATCH($C$1,Database!$A$1:$AS$1,),))))</f>
        <v/>
      </c>
      <c r="D362" s="13">
        <f>((((VLOOKUP(B362,Database!$A:$AS,MATCH($D$1,Database!$A$1:$AS$1,),))))-(((VLOOKUP(EDATE(B362,-12),Database!$A:$AS,MATCH($D$1,Database!$A$1:$AS$1,),)))))/(((VLOOKUP(EDATE(B362,-12),Database!$A:$AS,MATCH($D$1,Database!$A$1:$AS$1,),))))</f>
        <v/>
      </c>
      <c r="E362" s="13">
        <f>((((VLOOKUP(B362,Database!$A:$AS,MATCH($E$1,Database!$A$1:$AS$1,),))))-(((VLOOKUP(EDATE(B362,-12),Database!$A:$AS,MATCH($E$1,Database!$A$1:$AS$1,),)))))/(((VLOOKUP(EDATE(B362,-12),Database!$A:$AS,MATCH($E$1,Database!$A$1:$AS$1,),))))</f>
        <v/>
      </c>
      <c r="F362" s="13">
        <f>((((VLOOKUP(B362,Database!$A:$AS,MATCH($F$1,Database!$A$1:$AS$1,),))))-(((VLOOKUP(EDATE(B362,-12),Database!$A:$AS,MATCH($F$1,Database!$A$1:$AS$1,),)))))/(((VLOOKUP(EDATE(B362,-12),Database!$A:$AS,MATCH($F$1,Database!$A$1:$AS$1,),))))</f>
        <v/>
      </c>
      <c r="G362" s="13">
        <f>((((VLOOKUP(B362,Database!$A:$AS,MATCH($G$1,Database!$A$1:$AS$1,),))))-(((VLOOKUP(EDATE(B362,-12),Database!$A:$AS,MATCH($G$1,Database!$A$1:$AS$1,),)))))/(((VLOOKUP(EDATE(B362,-12),Database!$A:$AS,MATCH($G$1,Database!$A$1:$AS$1,),))))</f>
        <v/>
      </c>
      <c r="H362" s="13">
        <f>((((VLOOKUP(B362,Database!$A:$AS,MATCH($H$1,Database!$A$1:$AS$1,),))))-(((VLOOKUP(EDATE(B362,-12),Database!$A:$AS,MATCH($H$1,Database!$A$1:$AS$1,),)))))/(((VLOOKUP(EDATE(B362,-12),Database!$A:$AS,MATCH($H$1,Database!$A$1:$AS$1,),))))</f>
        <v/>
      </c>
      <c r="I362" s="13">
        <f>((((VLOOKUP(B362,Database!$A:$AS,MATCH($I$1,Database!$A$1:$AS$1,),))))-(((VLOOKUP(EDATE(B362,-12),Database!$A:$AS,MATCH($I$1,Database!$A$1:$AS$1,),)))))/(((VLOOKUP(EDATE(B362,-12),Database!$A:$AS,MATCH($I$1,Database!$A$1:$AS$1,),))))</f>
        <v/>
      </c>
      <c r="J362" s="13">
        <f>((((VLOOKUP(B362,Database!$A:$AS,MATCH($J$1,Database!$A$1:$AS$1,),))))-(((VLOOKUP(EDATE(B362,-12),Database!$A:$AS,MATCH($J$1,Database!$A$1:$AS$1,),)))))/(((VLOOKUP(EDATE(B362,-12),Database!$A:$AS,MATCH($J$1,Database!$A$1:$AS$1,),))))</f>
        <v/>
      </c>
      <c r="K362" s="13">
        <f>((((VLOOKUP(B362,Database!$A:$AS,MATCH($K$1,Database!$A$1:$AS$1,),))))-(((VLOOKUP(EDATE(B362,-12),Database!$A:$AS,MATCH($K$1,Database!$A$1:$AS$1,),)))))/(((VLOOKUP(EDATE(B362,-12),Database!$A:$AS,MATCH($K$1,Database!$A$1:$AS$1,),))))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((((VLOOKUP(B362,Database!$A:$AS,MATCH($O$1,Database!$A$1:$AS$1,),))))-(((VLOOKUP(EDATE(B362,-12),Database!$A:$AS,MATCH($O$1,Database!$A$1:$AS$1,),)))))/(((VLOOKUP(EDATE(B362,-12),Database!$A:$AS,MATCH($O$1,Database!$A$1:$AS$1,),))))</f>
        <v/>
      </c>
      <c r="P362" s="13">
        <f>((((VLOOKUP(B362,Database!$A:$AS,MATCH($P$1,Database!$A$1:$AS$1,),))))-(((VLOOKUP(EDATE(B362,-12),Database!$A:$AS,MATCH($P$1,Database!$A$1:$AS$1,),)))))/(((VLOOKUP(EDATE(B362,-12),Database!$A:$AS,MATCH($P$1,Database!$A$1:$AS$1,),))))</f>
        <v/>
      </c>
      <c r="Q362" s="13">
        <f>((((VLOOKUP(B362,Database!$A:$AS,MATCH($Q$1,Database!$A$1:$AS$1,),))))-(((VLOOKUP(EDATE(B362,-12),Database!$A:$AS,MATCH($Q$1,Database!$A$1:$AS$1,),)))))/(((VLOOKUP(EDATE(B362,-12),Database!$A:$AS,MATCH($Q$1,Database!$A$1:$AS$1,),))))</f>
        <v/>
      </c>
      <c r="R362" s="13">
        <f>((((VLOOKUP(B362,Database!$A:$AS,MATCH($R$1,Database!$A$1:$AS$1,),))))-(((VLOOKUP(EDATE(B362,-12),Database!$A:$AS,MATCH($R$1,Database!$A$1:$AS$1,),)))))/(((VLOOKUP(EDATE(B362,-12),Database!$A:$AS,MATCH($R$1,Database!$A$1:$AS$1,),))))</f>
        <v/>
      </c>
      <c r="S362" s="13">
        <f>((((VLOOKUP(B362,Database!$A:$AS,MATCH($S$1,Database!$A$1:$AS$1,),))))-(((VLOOKUP(EDATE(B362,-12),Database!$A:$AS,MATCH($S$1,Database!$A$1:$AS$1,),)))))/(((VLOOKUP(EDATE(B362,-12),Database!$A:$AS,MATCH($S$1,Database!$A$1:$AS$1,),))))</f>
        <v/>
      </c>
      <c r="T362" s="13">
        <f>((((VLOOKUP(B362,Database!$A:$AS,MATCH($T$1,Database!$A$1:$AS$1,),))))-(((VLOOKUP(EDATE(B362,-12),Database!$A:$AS,MATCH($T$1,Database!$A$1:$AS$1,),)))))/(((VLOOKUP(EDATE(B362,-12),Database!$A:$AS,MATCH($T$1,Database!$A$1:$AS$1,),))))</f>
        <v/>
      </c>
      <c r="U362" s="13">
        <f>((((VLOOKUP(B362,Database!$A:$AS,MATCH($U$1,Database!$A$1:$AS$1,),))))-(((VLOOKUP(EDATE(B362,-12),Database!$A:$AS,MATCH($U$1,Database!$A$1:$AS$1,),)))))/(((VLOOKUP(EDATE(B362,-12),Database!$A:$AS,MATCH($U$1,Database!$A$1:$AS$1,),))))</f>
        <v/>
      </c>
      <c r="V362" s="13">
        <f>((((VLOOKUP(B362,Database!$A:$AS,MATCH($V$1,Database!$A$1:$AS$1,),))))-(((VLOOKUP(EDATE(B362,-12),Database!$A:$AS,MATCH($V$1,Database!$A$1:$AS$1,),)))))/(((VLOOKUP(EDATE(B362,-12),Database!$A:$AS,MATCH($V$1,Database!$A$1:$AS$1,),))))</f>
        <v/>
      </c>
    </row>
    <row r="363" customFormat="1" s="94">
      <c r="A363" s="44" t="n"/>
      <c r="B363" s="85" t="n">
        <v>43191</v>
      </c>
      <c r="C363" s="13">
        <f>((((VLOOKUP(B363,Database!$A:$AS,MATCH($C$1,Database!$A$1:$AS$1,),))))-(((VLOOKUP(EDATE(B363,-12),Database!$A:$AS,MATCH($C$1,Database!$A$1:$AS$1,),)))))/(((VLOOKUP(EDATE(B363,-12),Database!$A:$AS,MATCH($C$1,Database!$A$1:$AS$1,),))))</f>
        <v/>
      </c>
      <c r="D363" s="13">
        <f>((((VLOOKUP(B363,Database!$A:$AS,MATCH($D$1,Database!$A$1:$AS$1,),))))-(((VLOOKUP(EDATE(B363,-12),Database!$A:$AS,MATCH($D$1,Database!$A$1:$AS$1,),)))))/(((VLOOKUP(EDATE(B363,-12),Database!$A:$AS,MATCH($D$1,Database!$A$1:$AS$1,),))))</f>
        <v/>
      </c>
      <c r="E363" s="13">
        <f>((((VLOOKUP(B363,Database!$A:$AS,MATCH($E$1,Database!$A$1:$AS$1,),))))-(((VLOOKUP(EDATE(B363,-12),Database!$A:$AS,MATCH($E$1,Database!$A$1:$AS$1,),)))))/(((VLOOKUP(EDATE(B363,-12),Database!$A:$AS,MATCH($E$1,Database!$A$1:$AS$1,),))))</f>
        <v/>
      </c>
      <c r="F363" s="13">
        <f>((((VLOOKUP(B363,Database!$A:$AS,MATCH($F$1,Database!$A$1:$AS$1,),))))-(((VLOOKUP(EDATE(B363,-12),Database!$A:$AS,MATCH($F$1,Database!$A$1:$AS$1,),)))))/(((VLOOKUP(EDATE(B363,-12),Database!$A:$AS,MATCH($F$1,Database!$A$1:$AS$1,),))))</f>
        <v/>
      </c>
      <c r="G363" s="13">
        <f>((((VLOOKUP(B363,Database!$A:$AS,MATCH($G$1,Database!$A$1:$AS$1,),))))-(((VLOOKUP(EDATE(B363,-12),Database!$A:$AS,MATCH($G$1,Database!$A$1:$AS$1,),)))))/(((VLOOKUP(EDATE(B363,-12),Database!$A:$AS,MATCH($G$1,Database!$A$1:$AS$1,),))))</f>
        <v/>
      </c>
      <c r="H363" s="13">
        <f>((((VLOOKUP(B363,Database!$A:$AS,MATCH($H$1,Database!$A$1:$AS$1,),))))-(((VLOOKUP(EDATE(B363,-12),Database!$A:$AS,MATCH($H$1,Database!$A$1:$AS$1,),)))))/(((VLOOKUP(EDATE(B363,-12),Database!$A:$AS,MATCH($H$1,Database!$A$1:$AS$1,),))))</f>
        <v/>
      </c>
      <c r="I363" s="13">
        <f>((((VLOOKUP(B363,Database!$A:$AS,MATCH($I$1,Database!$A$1:$AS$1,),))))-(((VLOOKUP(EDATE(B363,-12),Database!$A:$AS,MATCH($I$1,Database!$A$1:$AS$1,),)))))/(((VLOOKUP(EDATE(B363,-12),Database!$A:$AS,MATCH($I$1,Database!$A$1:$AS$1,),))))</f>
        <v/>
      </c>
      <c r="J363" s="13">
        <f>((((VLOOKUP(B363,Database!$A:$AS,MATCH($J$1,Database!$A$1:$AS$1,),))))-(((VLOOKUP(EDATE(B363,-12),Database!$A:$AS,MATCH($J$1,Database!$A$1:$AS$1,),)))))/(((VLOOKUP(EDATE(B363,-12),Database!$A:$AS,MATCH($J$1,Database!$A$1:$AS$1,),))))</f>
        <v/>
      </c>
      <c r="K363" s="13">
        <f>((((VLOOKUP(B363,Database!$A:$AS,MATCH($K$1,Database!$A$1:$AS$1,),))))-(((VLOOKUP(EDATE(B363,-12),Database!$A:$AS,MATCH($K$1,Database!$A$1:$AS$1,),)))))/(((VLOOKUP(EDATE(B363,-12),Database!$A:$AS,MATCH($K$1,Database!$A$1:$AS$1,),))))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((((VLOOKUP(B363,Database!$A:$AS,MATCH($O$1,Database!$A$1:$AS$1,),))))-(((VLOOKUP(EDATE(B363,-12),Database!$A:$AS,MATCH($O$1,Database!$A$1:$AS$1,),)))))/(((VLOOKUP(EDATE(B363,-12),Database!$A:$AS,MATCH($O$1,Database!$A$1:$AS$1,),))))</f>
        <v/>
      </c>
      <c r="P363" s="13">
        <f>((((VLOOKUP(B363,Database!$A:$AS,MATCH($P$1,Database!$A$1:$AS$1,),))))-(((VLOOKUP(EDATE(B363,-12),Database!$A:$AS,MATCH($P$1,Database!$A$1:$AS$1,),)))))/(((VLOOKUP(EDATE(B363,-12),Database!$A:$AS,MATCH($P$1,Database!$A$1:$AS$1,),))))</f>
        <v/>
      </c>
      <c r="Q363" s="13">
        <f>((((VLOOKUP(B363,Database!$A:$AS,MATCH($Q$1,Database!$A$1:$AS$1,),))))-(((VLOOKUP(EDATE(B363,-12),Database!$A:$AS,MATCH($Q$1,Database!$A$1:$AS$1,),)))))/(((VLOOKUP(EDATE(B363,-12),Database!$A:$AS,MATCH($Q$1,Database!$A$1:$AS$1,),))))</f>
        <v/>
      </c>
      <c r="R363" s="13">
        <f>((((VLOOKUP(B363,Database!$A:$AS,MATCH($R$1,Database!$A$1:$AS$1,),))))-(((VLOOKUP(EDATE(B363,-12),Database!$A:$AS,MATCH($R$1,Database!$A$1:$AS$1,),)))))/(((VLOOKUP(EDATE(B363,-12),Database!$A:$AS,MATCH($R$1,Database!$A$1:$AS$1,),))))</f>
        <v/>
      </c>
      <c r="S363" s="13">
        <f>((((VLOOKUP(B363,Database!$A:$AS,MATCH($S$1,Database!$A$1:$AS$1,),))))-(((VLOOKUP(EDATE(B363,-12),Database!$A:$AS,MATCH($S$1,Database!$A$1:$AS$1,),)))))/(((VLOOKUP(EDATE(B363,-12),Database!$A:$AS,MATCH($S$1,Database!$A$1:$AS$1,),))))</f>
        <v/>
      </c>
      <c r="T363" s="13">
        <f>((((VLOOKUP(B363,Database!$A:$AS,MATCH($T$1,Database!$A$1:$AS$1,),))))-(((VLOOKUP(EDATE(B363,-12),Database!$A:$AS,MATCH($T$1,Database!$A$1:$AS$1,),)))))/(((VLOOKUP(EDATE(B363,-12),Database!$A:$AS,MATCH($T$1,Database!$A$1:$AS$1,),))))</f>
        <v/>
      </c>
      <c r="U363" s="13">
        <f>((((VLOOKUP(B363,Database!$A:$AS,MATCH($U$1,Database!$A$1:$AS$1,),))))-(((VLOOKUP(EDATE(B363,-12),Database!$A:$AS,MATCH($U$1,Database!$A$1:$AS$1,),)))))/(((VLOOKUP(EDATE(B363,-12),Database!$A:$AS,MATCH($U$1,Database!$A$1:$AS$1,),))))</f>
        <v/>
      </c>
      <c r="V363" s="13">
        <f>((((VLOOKUP(B363,Database!$A:$AS,MATCH($V$1,Database!$A$1:$AS$1,),))))-(((VLOOKUP(EDATE(B363,-12),Database!$A:$AS,MATCH($V$1,Database!$A$1:$AS$1,),)))))/(((VLOOKUP(EDATE(B363,-12),Database!$A:$AS,MATCH($V$1,Database!$A$1:$AS$1,),))))</f>
        <v/>
      </c>
    </row>
    <row r="364" customFormat="1" s="94">
      <c r="A364" s="44" t="n"/>
      <c r="B364" s="85" t="n">
        <v>43221</v>
      </c>
      <c r="C364" s="13">
        <f>((((VLOOKUP(B364,Database!$A:$AS,MATCH($C$1,Database!$A$1:$AS$1,),))))-(((VLOOKUP(EDATE(B364,-12),Database!$A:$AS,MATCH($C$1,Database!$A$1:$AS$1,),)))))/(((VLOOKUP(EDATE(B364,-12),Database!$A:$AS,MATCH($C$1,Database!$A$1:$AS$1,),))))</f>
        <v/>
      </c>
      <c r="D364" s="13">
        <f>((((VLOOKUP(B364,Database!$A:$AS,MATCH($D$1,Database!$A$1:$AS$1,),))))-(((VLOOKUP(EDATE(B364,-12),Database!$A:$AS,MATCH($D$1,Database!$A$1:$AS$1,),)))))/(((VLOOKUP(EDATE(B364,-12),Database!$A:$AS,MATCH($D$1,Database!$A$1:$AS$1,),))))</f>
        <v/>
      </c>
      <c r="E364" s="13">
        <f>((((VLOOKUP(B364,Database!$A:$AS,MATCH($E$1,Database!$A$1:$AS$1,),))))-(((VLOOKUP(EDATE(B364,-12),Database!$A:$AS,MATCH($E$1,Database!$A$1:$AS$1,),)))))/(((VLOOKUP(EDATE(B364,-12),Database!$A:$AS,MATCH($E$1,Database!$A$1:$AS$1,),))))</f>
        <v/>
      </c>
      <c r="F364" s="13">
        <f>((((VLOOKUP(B364,Database!$A:$AS,MATCH($F$1,Database!$A$1:$AS$1,),))))-(((VLOOKUP(EDATE(B364,-12),Database!$A:$AS,MATCH($F$1,Database!$A$1:$AS$1,),)))))/(((VLOOKUP(EDATE(B364,-12),Database!$A:$AS,MATCH($F$1,Database!$A$1:$AS$1,),))))</f>
        <v/>
      </c>
      <c r="G364" s="13">
        <f>((((VLOOKUP(B364,Database!$A:$AS,MATCH($G$1,Database!$A$1:$AS$1,),))))-(((VLOOKUP(EDATE(B364,-12),Database!$A:$AS,MATCH($G$1,Database!$A$1:$AS$1,),)))))/(((VLOOKUP(EDATE(B364,-12),Database!$A:$AS,MATCH($G$1,Database!$A$1:$AS$1,),))))</f>
        <v/>
      </c>
      <c r="H364" s="13">
        <f>((((VLOOKUP(B364,Database!$A:$AS,MATCH($H$1,Database!$A$1:$AS$1,),))))-(((VLOOKUP(EDATE(B364,-12),Database!$A:$AS,MATCH($H$1,Database!$A$1:$AS$1,),)))))/(((VLOOKUP(EDATE(B364,-12),Database!$A:$AS,MATCH($H$1,Database!$A$1:$AS$1,),))))</f>
        <v/>
      </c>
      <c r="I364" s="13">
        <f>((((VLOOKUP(B364,Database!$A:$AS,MATCH($I$1,Database!$A$1:$AS$1,),))))-(((VLOOKUP(EDATE(B364,-12),Database!$A:$AS,MATCH($I$1,Database!$A$1:$AS$1,),)))))/(((VLOOKUP(EDATE(B364,-12),Database!$A:$AS,MATCH($I$1,Database!$A$1:$AS$1,),))))</f>
        <v/>
      </c>
      <c r="J364" s="13">
        <f>((((VLOOKUP(B364,Database!$A:$AS,MATCH($J$1,Database!$A$1:$AS$1,),))))-(((VLOOKUP(EDATE(B364,-12),Database!$A:$AS,MATCH($J$1,Database!$A$1:$AS$1,),)))))/(((VLOOKUP(EDATE(B364,-12),Database!$A:$AS,MATCH($J$1,Database!$A$1:$AS$1,),))))</f>
        <v/>
      </c>
      <c r="K364" s="13">
        <f>((((VLOOKUP(B364,Database!$A:$AS,MATCH($K$1,Database!$A$1:$AS$1,),))))-(((VLOOKUP(EDATE(B364,-12),Database!$A:$AS,MATCH($K$1,Database!$A$1:$AS$1,),)))))/(((VLOOKUP(EDATE(B364,-12),Database!$A:$AS,MATCH($K$1,Database!$A$1:$AS$1,),))))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((((VLOOKUP(B364,Database!$A:$AS,MATCH($O$1,Database!$A$1:$AS$1,),))))-(((VLOOKUP(EDATE(B364,-12),Database!$A:$AS,MATCH($O$1,Database!$A$1:$AS$1,),)))))/(((VLOOKUP(EDATE(B364,-12),Database!$A:$AS,MATCH($O$1,Database!$A$1:$AS$1,),))))</f>
        <v/>
      </c>
      <c r="P364" s="13">
        <f>((((VLOOKUP(B364,Database!$A:$AS,MATCH($P$1,Database!$A$1:$AS$1,),))))-(((VLOOKUP(EDATE(B364,-12),Database!$A:$AS,MATCH($P$1,Database!$A$1:$AS$1,),)))))/(((VLOOKUP(EDATE(B364,-12),Database!$A:$AS,MATCH($P$1,Database!$A$1:$AS$1,),))))</f>
        <v/>
      </c>
      <c r="Q364" s="13">
        <f>((((VLOOKUP(B364,Database!$A:$AS,MATCH($Q$1,Database!$A$1:$AS$1,),))))-(((VLOOKUP(EDATE(B364,-12),Database!$A:$AS,MATCH($Q$1,Database!$A$1:$AS$1,),)))))/(((VLOOKUP(EDATE(B364,-12),Database!$A:$AS,MATCH($Q$1,Database!$A$1:$AS$1,),))))</f>
        <v/>
      </c>
      <c r="R364" s="13">
        <f>((((VLOOKUP(B364,Database!$A:$AS,MATCH($R$1,Database!$A$1:$AS$1,),))))-(((VLOOKUP(EDATE(B364,-12),Database!$A:$AS,MATCH($R$1,Database!$A$1:$AS$1,),)))))/(((VLOOKUP(EDATE(B364,-12),Database!$A:$AS,MATCH($R$1,Database!$A$1:$AS$1,),))))</f>
        <v/>
      </c>
      <c r="S364" s="13">
        <f>((((VLOOKUP(B364,Database!$A:$AS,MATCH($S$1,Database!$A$1:$AS$1,),))))-(((VLOOKUP(EDATE(B364,-12),Database!$A:$AS,MATCH($S$1,Database!$A$1:$AS$1,),)))))/(((VLOOKUP(EDATE(B364,-12),Database!$A:$AS,MATCH($S$1,Database!$A$1:$AS$1,),))))</f>
        <v/>
      </c>
      <c r="T364" s="13">
        <f>((((VLOOKUP(B364,Database!$A:$AS,MATCH($T$1,Database!$A$1:$AS$1,),))))-(((VLOOKUP(EDATE(B364,-12),Database!$A:$AS,MATCH($T$1,Database!$A$1:$AS$1,),)))))/(((VLOOKUP(EDATE(B364,-12),Database!$A:$AS,MATCH($T$1,Database!$A$1:$AS$1,),))))</f>
        <v/>
      </c>
      <c r="U364" s="13">
        <f>((((VLOOKUP(B364,Database!$A:$AS,MATCH($U$1,Database!$A$1:$AS$1,),))))-(((VLOOKUP(EDATE(B364,-12),Database!$A:$AS,MATCH($U$1,Database!$A$1:$AS$1,),)))))/(((VLOOKUP(EDATE(B364,-12),Database!$A:$AS,MATCH($U$1,Database!$A$1:$AS$1,),))))</f>
        <v/>
      </c>
      <c r="V364" s="13">
        <f>((((VLOOKUP(B364,Database!$A:$AS,MATCH($V$1,Database!$A$1:$AS$1,),))))-(((VLOOKUP(EDATE(B364,-12),Database!$A:$AS,MATCH($V$1,Database!$A$1:$AS$1,),)))))/(((VLOOKUP(EDATE(B364,-12),Database!$A:$AS,MATCH($V$1,Database!$A$1:$AS$1,),))))</f>
        <v/>
      </c>
    </row>
    <row r="365" customFormat="1" s="94">
      <c r="A365" s="44" t="n"/>
      <c r="B365" s="85" t="n">
        <v>43252</v>
      </c>
      <c r="C365" s="13">
        <f>((((VLOOKUP(B365,Database!$A:$AS,MATCH($C$1,Database!$A$1:$AS$1,),))))-(((VLOOKUP(EDATE(B365,-12),Database!$A:$AS,MATCH($C$1,Database!$A$1:$AS$1,),)))))/(((VLOOKUP(EDATE(B365,-12),Database!$A:$AS,MATCH($C$1,Database!$A$1:$AS$1,),))))</f>
        <v/>
      </c>
      <c r="D365" s="13">
        <f>((((VLOOKUP(B365,Database!$A:$AS,MATCH($D$1,Database!$A$1:$AS$1,),))))-(((VLOOKUP(EDATE(B365,-12),Database!$A:$AS,MATCH($D$1,Database!$A$1:$AS$1,),)))))/(((VLOOKUP(EDATE(B365,-12),Database!$A:$AS,MATCH($D$1,Database!$A$1:$AS$1,),))))</f>
        <v/>
      </c>
      <c r="E365" s="13">
        <f>((((VLOOKUP(B365,Database!$A:$AS,MATCH($E$1,Database!$A$1:$AS$1,),))))-(((VLOOKUP(EDATE(B365,-12),Database!$A:$AS,MATCH($E$1,Database!$A$1:$AS$1,),)))))/(((VLOOKUP(EDATE(B365,-12),Database!$A:$AS,MATCH($E$1,Database!$A$1:$AS$1,),))))</f>
        <v/>
      </c>
      <c r="F365" s="13">
        <f>((((VLOOKUP(B365,Database!$A:$AS,MATCH($F$1,Database!$A$1:$AS$1,),))))-(((VLOOKUP(EDATE(B365,-12),Database!$A:$AS,MATCH($F$1,Database!$A$1:$AS$1,),)))))/(((VLOOKUP(EDATE(B365,-12),Database!$A:$AS,MATCH($F$1,Database!$A$1:$AS$1,),))))</f>
        <v/>
      </c>
      <c r="G365" s="13">
        <f>((((VLOOKUP(B365,Database!$A:$AS,MATCH($G$1,Database!$A$1:$AS$1,),))))-(((VLOOKUP(EDATE(B365,-12),Database!$A:$AS,MATCH($G$1,Database!$A$1:$AS$1,),)))))/(((VLOOKUP(EDATE(B365,-12),Database!$A:$AS,MATCH($G$1,Database!$A$1:$AS$1,),))))</f>
        <v/>
      </c>
      <c r="H365" s="13">
        <f>((((VLOOKUP(B365,Database!$A:$AS,MATCH($H$1,Database!$A$1:$AS$1,),))))-(((VLOOKUP(EDATE(B365,-12),Database!$A:$AS,MATCH($H$1,Database!$A$1:$AS$1,),)))))/(((VLOOKUP(EDATE(B365,-12),Database!$A:$AS,MATCH($H$1,Database!$A$1:$AS$1,),))))</f>
        <v/>
      </c>
      <c r="I365" s="13">
        <f>((((VLOOKUP(B365,Database!$A:$AS,MATCH($I$1,Database!$A$1:$AS$1,),))))-(((VLOOKUP(EDATE(B365,-12),Database!$A:$AS,MATCH($I$1,Database!$A$1:$AS$1,),)))))/(((VLOOKUP(EDATE(B365,-12),Database!$A:$AS,MATCH($I$1,Database!$A$1:$AS$1,),))))</f>
        <v/>
      </c>
      <c r="J365" s="13">
        <f>((((VLOOKUP(B365,Database!$A:$AS,MATCH($J$1,Database!$A$1:$AS$1,),))))-(((VLOOKUP(EDATE(B365,-12),Database!$A:$AS,MATCH($J$1,Database!$A$1:$AS$1,),)))))/(((VLOOKUP(EDATE(B365,-12),Database!$A:$AS,MATCH($J$1,Database!$A$1:$AS$1,),))))</f>
        <v/>
      </c>
      <c r="K365" s="13">
        <f>((((VLOOKUP(B365,Database!$A:$AS,MATCH($K$1,Database!$A$1:$AS$1,),))))-(((VLOOKUP(EDATE(B365,-12),Database!$A:$AS,MATCH($K$1,Database!$A$1:$AS$1,),)))))/(((VLOOKUP(EDATE(B365,-12),Database!$A:$AS,MATCH($K$1,Database!$A$1:$AS$1,),))))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((((VLOOKUP(B365,Database!$A:$AS,MATCH($O$1,Database!$A$1:$AS$1,),))))-(((VLOOKUP(EDATE(B365,-12),Database!$A:$AS,MATCH($O$1,Database!$A$1:$AS$1,),)))))/(((VLOOKUP(EDATE(B365,-12),Database!$A:$AS,MATCH($O$1,Database!$A$1:$AS$1,),))))</f>
        <v/>
      </c>
      <c r="P365" s="13">
        <f>((((VLOOKUP(B365,Database!$A:$AS,MATCH($P$1,Database!$A$1:$AS$1,),))))-(((VLOOKUP(EDATE(B365,-12),Database!$A:$AS,MATCH($P$1,Database!$A$1:$AS$1,),)))))/(((VLOOKUP(EDATE(B365,-12),Database!$A:$AS,MATCH($P$1,Database!$A$1:$AS$1,),))))</f>
        <v/>
      </c>
      <c r="Q365" s="13">
        <f>((((VLOOKUP(B365,Database!$A:$AS,MATCH($Q$1,Database!$A$1:$AS$1,),))))-(((VLOOKUP(EDATE(B365,-12),Database!$A:$AS,MATCH($Q$1,Database!$A$1:$AS$1,),)))))/(((VLOOKUP(EDATE(B365,-12),Database!$A:$AS,MATCH($Q$1,Database!$A$1:$AS$1,),))))</f>
        <v/>
      </c>
      <c r="R365" s="13">
        <f>((((VLOOKUP(B365,Database!$A:$AS,MATCH($R$1,Database!$A$1:$AS$1,),))))-(((VLOOKUP(EDATE(B365,-12),Database!$A:$AS,MATCH($R$1,Database!$A$1:$AS$1,),)))))/(((VLOOKUP(EDATE(B365,-12),Database!$A:$AS,MATCH($R$1,Database!$A$1:$AS$1,),))))</f>
        <v/>
      </c>
      <c r="S365" s="13">
        <f>((((VLOOKUP(B365,Database!$A:$AS,MATCH($S$1,Database!$A$1:$AS$1,),))))-(((VLOOKUP(EDATE(B365,-12),Database!$A:$AS,MATCH($S$1,Database!$A$1:$AS$1,),)))))/(((VLOOKUP(EDATE(B365,-12),Database!$A:$AS,MATCH($S$1,Database!$A$1:$AS$1,),))))</f>
        <v/>
      </c>
      <c r="T365" s="13">
        <f>((((VLOOKUP(B365,Database!$A:$AS,MATCH($T$1,Database!$A$1:$AS$1,),))))-(((VLOOKUP(EDATE(B365,-12),Database!$A:$AS,MATCH($T$1,Database!$A$1:$AS$1,),)))))/(((VLOOKUP(EDATE(B365,-12),Database!$A:$AS,MATCH($T$1,Database!$A$1:$AS$1,),))))</f>
        <v/>
      </c>
      <c r="U365" s="13">
        <f>((((VLOOKUP(B365,Database!$A:$AS,MATCH($U$1,Database!$A$1:$AS$1,),))))-(((VLOOKUP(EDATE(B365,-12),Database!$A:$AS,MATCH($U$1,Database!$A$1:$AS$1,),)))))/(((VLOOKUP(EDATE(B365,-12),Database!$A:$AS,MATCH($U$1,Database!$A$1:$AS$1,),))))</f>
        <v/>
      </c>
      <c r="V365" s="13">
        <f>((((VLOOKUP(B365,Database!$A:$AS,MATCH($V$1,Database!$A$1:$AS$1,),))))-(((VLOOKUP(EDATE(B365,-12),Database!$A:$AS,MATCH($V$1,Database!$A$1:$AS$1,),)))))/(((VLOOKUP(EDATE(B365,-12),Database!$A:$AS,MATCH($V$1,Database!$A$1:$AS$1,),))))</f>
        <v/>
      </c>
    </row>
    <row r="366" customFormat="1" s="94">
      <c r="A366" s="44" t="n"/>
      <c r="B366" s="85" t="n">
        <v>43282</v>
      </c>
      <c r="C366" s="13">
        <f>((((VLOOKUP(B366,Database!$A:$AS,MATCH($C$1,Database!$A$1:$AS$1,),))))-(((VLOOKUP(EDATE(B366,-12),Database!$A:$AS,MATCH($C$1,Database!$A$1:$AS$1,),)))))/(((VLOOKUP(EDATE(B366,-12),Database!$A:$AS,MATCH($C$1,Database!$A$1:$AS$1,),))))</f>
        <v/>
      </c>
      <c r="D366" s="13">
        <f>((((VLOOKUP(B366,Database!$A:$AS,MATCH($D$1,Database!$A$1:$AS$1,),))))-(((VLOOKUP(EDATE(B366,-12),Database!$A:$AS,MATCH($D$1,Database!$A$1:$AS$1,),)))))/(((VLOOKUP(EDATE(B366,-12),Database!$A:$AS,MATCH($D$1,Database!$A$1:$AS$1,),))))</f>
        <v/>
      </c>
      <c r="E366" s="13">
        <f>((((VLOOKUP(B366,Database!$A:$AS,MATCH($E$1,Database!$A$1:$AS$1,),))))-(((VLOOKUP(EDATE(B366,-12),Database!$A:$AS,MATCH($E$1,Database!$A$1:$AS$1,),)))))/(((VLOOKUP(EDATE(B366,-12),Database!$A:$AS,MATCH($E$1,Database!$A$1:$AS$1,),))))</f>
        <v/>
      </c>
      <c r="F366" s="13">
        <f>((((VLOOKUP(B366,Database!$A:$AS,MATCH($F$1,Database!$A$1:$AS$1,),))))-(((VLOOKUP(EDATE(B366,-12),Database!$A:$AS,MATCH($F$1,Database!$A$1:$AS$1,),)))))/(((VLOOKUP(EDATE(B366,-12),Database!$A:$AS,MATCH($F$1,Database!$A$1:$AS$1,),))))</f>
        <v/>
      </c>
      <c r="G366" s="13">
        <f>((((VLOOKUP(B366,Database!$A:$AS,MATCH($G$1,Database!$A$1:$AS$1,),))))-(((VLOOKUP(EDATE(B366,-12),Database!$A:$AS,MATCH($G$1,Database!$A$1:$AS$1,),)))))/(((VLOOKUP(EDATE(B366,-12),Database!$A:$AS,MATCH($G$1,Database!$A$1:$AS$1,),))))</f>
        <v/>
      </c>
      <c r="H366" s="13">
        <f>((((VLOOKUP(B366,Database!$A:$AS,MATCH($H$1,Database!$A$1:$AS$1,),))))-(((VLOOKUP(EDATE(B366,-12),Database!$A:$AS,MATCH($H$1,Database!$A$1:$AS$1,),)))))/(((VLOOKUP(EDATE(B366,-12),Database!$A:$AS,MATCH($H$1,Database!$A$1:$AS$1,),))))</f>
        <v/>
      </c>
      <c r="I366" s="13">
        <f>((((VLOOKUP(B366,Database!$A:$AS,MATCH($I$1,Database!$A$1:$AS$1,),))))-(((VLOOKUP(EDATE(B366,-12),Database!$A:$AS,MATCH($I$1,Database!$A$1:$AS$1,),)))))/(((VLOOKUP(EDATE(B366,-12),Database!$A:$AS,MATCH($I$1,Database!$A$1:$AS$1,),))))</f>
        <v/>
      </c>
      <c r="J366" s="13">
        <f>((((VLOOKUP(B366,Database!$A:$AS,MATCH($J$1,Database!$A$1:$AS$1,),))))-(((VLOOKUP(EDATE(B366,-12),Database!$A:$AS,MATCH($J$1,Database!$A$1:$AS$1,),)))))/(((VLOOKUP(EDATE(B366,-12),Database!$A:$AS,MATCH($J$1,Database!$A$1:$AS$1,),))))</f>
        <v/>
      </c>
      <c r="K366" s="13">
        <f>((((VLOOKUP(B366,Database!$A:$AS,MATCH($K$1,Database!$A$1:$AS$1,),))))-(((VLOOKUP(EDATE(B366,-12),Database!$A:$AS,MATCH($K$1,Database!$A$1:$AS$1,),)))))/(((VLOOKUP(EDATE(B366,-12),Database!$A:$AS,MATCH($K$1,Database!$A$1:$AS$1,),))))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((((VLOOKUP(B366,Database!$A:$AS,MATCH($O$1,Database!$A$1:$AS$1,),))))-(((VLOOKUP(EDATE(B366,-12),Database!$A:$AS,MATCH($O$1,Database!$A$1:$AS$1,),)))))/(((VLOOKUP(EDATE(B366,-12),Database!$A:$AS,MATCH($O$1,Database!$A$1:$AS$1,),))))</f>
        <v/>
      </c>
      <c r="P366" s="13">
        <f>((((VLOOKUP(B366,Database!$A:$AS,MATCH($P$1,Database!$A$1:$AS$1,),))))-(((VLOOKUP(EDATE(B366,-12),Database!$A:$AS,MATCH($P$1,Database!$A$1:$AS$1,),)))))/(((VLOOKUP(EDATE(B366,-12),Database!$A:$AS,MATCH($P$1,Database!$A$1:$AS$1,),))))</f>
        <v/>
      </c>
      <c r="Q366" s="13">
        <f>((((VLOOKUP(B366,Database!$A:$AS,MATCH($Q$1,Database!$A$1:$AS$1,),))))-(((VLOOKUP(EDATE(B366,-12),Database!$A:$AS,MATCH($Q$1,Database!$A$1:$AS$1,),)))))/(((VLOOKUP(EDATE(B366,-12),Database!$A:$AS,MATCH($Q$1,Database!$A$1:$AS$1,),))))</f>
        <v/>
      </c>
      <c r="R366" s="13">
        <f>((((VLOOKUP(B366,Database!$A:$AS,MATCH($R$1,Database!$A$1:$AS$1,),))))-(((VLOOKUP(EDATE(B366,-12),Database!$A:$AS,MATCH($R$1,Database!$A$1:$AS$1,),)))))/(((VLOOKUP(EDATE(B366,-12),Database!$A:$AS,MATCH($R$1,Database!$A$1:$AS$1,),))))</f>
        <v/>
      </c>
      <c r="S366" s="13">
        <f>((((VLOOKUP(B366,Database!$A:$AS,MATCH($S$1,Database!$A$1:$AS$1,),))))-(((VLOOKUP(EDATE(B366,-12),Database!$A:$AS,MATCH($S$1,Database!$A$1:$AS$1,),)))))/(((VLOOKUP(EDATE(B366,-12),Database!$A:$AS,MATCH($S$1,Database!$A$1:$AS$1,),))))</f>
        <v/>
      </c>
      <c r="T366" s="13">
        <f>((((VLOOKUP(B366,Database!$A:$AS,MATCH($T$1,Database!$A$1:$AS$1,),))))-(((VLOOKUP(EDATE(B366,-12),Database!$A:$AS,MATCH($T$1,Database!$A$1:$AS$1,),)))))/(((VLOOKUP(EDATE(B366,-12),Database!$A:$AS,MATCH($T$1,Database!$A$1:$AS$1,),))))</f>
        <v/>
      </c>
      <c r="U366" s="13">
        <f>((((VLOOKUP(B366,Database!$A:$AS,MATCH($U$1,Database!$A$1:$AS$1,),))))-(((VLOOKUP(EDATE(B366,-12),Database!$A:$AS,MATCH($U$1,Database!$A$1:$AS$1,),)))))/(((VLOOKUP(EDATE(B366,-12),Database!$A:$AS,MATCH($U$1,Database!$A$1:$AS$1,),))))</f>
        <v/>
      </c>
      <c r="V366" s="13">
        <f>((((VLOOKUP(B366,Database!$A:$AS,MATCH($V$1,Database!$A$1:$AS$1,),))))-(((VLOOKUP(EDATE(B366,-12),Database!$A:$AS,MATCH($V$1,Database!$A$1:$AS$1,),)))))/(((VLOOKUP(EDATE(B366,-12),Database!$A:$AS,MATCH($V$1,Database!$A$1:$AS$1,),))))</f>
        <v/>
      </c>
    </row>
    <row r="367" customFormat="1" s="94">
      <c r="A367" s="44" t="n"/>
      <c r="B367" s="85" t="n">
        <v>43313</v>
      </c>
      <c r="C367" s="13">
        <f>((((VLOOKUP(B367,Database!$A:$AS,MATCH($C$1,Database!$A$1:$AS$1,),))))-(((VLOOKUP(EDATE(B367,-12),Database!$A:$AS,MATCH($C$1,Database!$A$1:$AS$1,),)))))/(((VLOOKUP(EDATE(B367,-12),Database!$A:$AS,MATCH($C$1,Database!$A$1:$AS$1,),))))</f>
        <v/>
      </c>
      <c r="D367" s="13">
        <f>((((VLOOKUP(B367,Database!$A:$AS,MATCH($D$1,Database!$A$1:$AS$1,),))))-(((VLOOKUP(EDATE(B367,-12),Database!$A:$AS,MATCH($D$1,Database!$A$1:$AS$1,),)))))/(((VLOOKUP(EDATE(B367,-12),Database!$A:$AS,MATCH($D$1,Database!$A$1:$AS$1,),))))</f>
        <v/>
      </c>
      <c r="E367" s="13">
        <f>((((VLOOKUP(B367,Database!$A:$AS,MATCH($E$1,Database!$A$1:$AS$1,),))))-(((VLOOKUP(EDATE(B367,-12),Database!$A:$AS,MATCH($E$1,Database!$A$1:$AS$1,),)))))/(((VLOOKUP(EDATE(B367,-12),Database!$A:$AS,MATCH($E$1,Database!$A$1:$AS$1,),))))</f>
        <v/>
      </c>
      <c r="F367" s="13">
        <f>((((VLOOKUP(B367,Database!$A:$AS,MATCH($F$1,Database!$A$1:$AS$1,),))))-(((VLOOKUP(EDATE(B367,-12),Database!$A:$AS,MATCH($F$1,Database!$A$1:$AS$1,),)))))/(((VLOOKUP(EDATE(B367,-12),Database!$A:$AS,MATCH($F$1,Database!$A$1:$AS$1,),))))</f>
        <v/>
      </c>
      <c r="G367" s="13">
        <f>((((VLOOKUP(B367,Database!$A:$AS,MATCH($G$1,Database!$A$1:$AS$1,),))))-(((VLOOKUP(EDATE(B367,-12),Database!$A:$AS,MATCH($G$1,Database!$A$1:$AS$1,),)))))/(((VLOOKUP(EDATE(B367,-12),Database!$A:$AS,MATCH($G$1,Database!$A$1:$AS$1,),))))</f>
        <v/>
      </c>
      <c r="H367" s="13">
        <f>((((VLOOKUP(B367,Database!$A:$AS,MATCH($H$1,Database!$A$1:$AS$1,),))))-(((VLOOKUP(EDATE(B367,-12),Database!$A:$AS,MATCH($H$1,Database!$A$1:$AS$1,),)))))/(((VLOOKUP(EDATE(B367,-12),Database!$A:$AS,MATCH($H$1,Database!$A$1:$AS$1,),))))</f>
        <v/>
      </c>
      <c r="I367" s="13">
        <f>((((VLOOKUP(B367,Database!$A:$AS,MATCH($I$1,Database!$A$1:$AS$1,),))))-(((VLOOKUP(EDATE(B367,-12),Database!$A:$AS,MATCH($I$1,Database!$A$1:$AS$1,),)))))/(((VLOOKUP(EDATE(B367,-12),Database!$A:$AS,MATCH($I$1,Database!$A$1:$AS$1,),))))</f>
        <v/>
      </c>
      <c r="J367" s="13">
        <f>((((VLOOKUP(B367,Database!$A:$AS,MATCH($J$1,Database!$A$1:$AS$1,),))))-(((VLOOKUP(EDATE(B367,-12),Database!$A:$AS,MATCH($J$1,Database!$A$1:$AS$1,),)))))/(((VLOOKUP(EDATE(B367,-12),Database!$A:$AS,MATCH($J$1,Database!$A$1:$AS$1,),))))</f>
        <v/>
      </c>
      <c r="K367" s="13">
        <f>((((VLOOKUP(B367,Database!$A:$AS,MATCH($K$1,Database!$A$1:$AS$1,),))))-(((VLOOKUP(EDATE(B367,-12),Database!$A:$AS,MATCH($K$1,Database!$A$1:$AS$1,),)))))/(((VLOOKUP(EDATE(B367,-12),Database!$A:$AS,MATCH($K$1,Database!$A$1:$AS$1,),))))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((((VLOOKUP(B367,Database!$A:$AS,MATCH($O$1,Database!$A$1:$AS$1,),))))-(((VLOOKUP(EDATE(B367,-12),Database!$A:$AS,MATCH($O$1,Database!$A$1:$AS$1,),)))))/(((VLOOKUP(EDATE(B367,-12),Database!$A:$AS,MATCH($O$1,Database!$A$1:$AS$1,),))))</f>
        <v/>
      </c>
      <c r="P367" s="13">
        <f>((((VLOOKUP(B367,Database!$A:$AS,MATCH($P$1,Database!$A$1:$AS$1,),))))-(((VLOOKUP(EDATE(B367,-12),Database!$A:$AS,MATCH($P$1,Database!$A$1:$AS$1,),)))))/(((VLOOKUP(EDATE(B367,-12),Database!$A:$AS,MATCH($P$1,Database!$A$1:$AS$1,),))))</f>
        <v/>
      </c>
      <c r="Q367" s="13">
        <f>((((VLOOKUP(B367,Database!$A:$AS,MATCH($Q$1,Database!$A$1:$AS$1,),))))-(((VLOOKUP(EDATE(B367,-12),Database!$A:$AS,MATCH($Q$1,Database!$A$1:$AS$1,),)))))/(((VLOOKUP(EDATE(B367,-12),Database!$A:$AS,MATCH($Q$1,Database!$A$1:$AS$1,),))))</f>
        <v/>
      </c>
      <c r="R367" s="13">
        <f>((((VLOOKUP(B367,Database!$A:$AS,MATCH($R$1,Database!$A$1:$AS$1,),))))-(((VLOOKUP(EDATE(B367,-12),Database!$A:$AS,MATCH($R$1,Database!$A$1:$AS$1,),)))))/(((VLOOKUP(EDATE(B367,-12),Database!$A:$AS,MATCH($R$1,Database!$A$1:$AS$1,),))))</f>
        <v/>
      </c>
      <c r="S367" s="13">
        <f>((((VLOOKUP(B367,Database!$A:$AS,MATCH($S$1,Database!$A$1:$AS$1,),))))-(((VLOOKUP(EDATE(B367,-12),Database!$A:$AS,MATCH($S$1,Database!$A$1:$AS$1,),)))))/(((VLOOKUP(EDATE(B367,-12),Database!$A:$AS,MATCH($S$1,Database!$A$1:$AS$1,),))))</f>
        <v/>
      </c>
      <c r="T367" s="13">
        <f>((((VLOOKUP(B367,Database!$A:$AS,MATCH($T$1,Database!$A$1:$AS$1,),))))-(((VLOOKUP(EDATE(B367,-12),Database!$A:$AS,MATCH($T$1,Database!$A$1:$AS$1,),)))))/(((VLOOKUP(EDATE(B367,-12),Database!$A:$AS,MATCH($T$1,Database!$A$1:$AS$1,),))))</f>
        <v/>
      </c>
      <c r="U367" s="13">
        <f>((((VLOOKUP(B367,Database!$A:$AS,MATCH($U$1,Database!$A$1:$AS$1,),))))-(((VLOOKUP(EDATE(B367,-12),Database!$A:$AS,MATCH($U$1,Database!$A$1:$AS$1,),)))))/(((VLOOKUP(EDATE(B367,-12),Database!$A:$AS,MATCH($U$1,Database!$A$1:$AS$1,),))))</f>
        <v/>
      </c>
      <c r="V367" s="13">
        <f>((((VLOOKUP(B367,Database!$A:$AS,MATCH($V$1,Database!$A$1:$AS$1,),))))-(((VLOOKUP(EDATE(B367,-12),Database!$A:$AS,MATCH($V$1,Database!$A$1:$AS$1,),)))))/(((VLOOKUP(EDATE(B367,-12),Database!$A:$AS,MATCH($V$1,Database!$A$1:$AS$1,),))))</f>
        <v/>
      </c>
    </row>
    <row r="368" customFormat="1" s="94">
      <c r="A368" s="44" t="n"/>
      <c r="B368" s="85" t="n">
        <v>43344</v>
      </c>
      <c r="C368" s="13">
        <f>((((VLOOKUP(B368,Database!$A:$AS,MATCH($C$1,Database!$A$1:$AS$1,),))))-(((VLOOKUP(EDATE(B368,-12),Database!$A:$AS,MATCH($C$1,Database!$A$1:$AS$1,),)))))/(((VLOOKUP(EDATE(B368,-12),Database!$A:$AS,MATCH($C$1,Database!$A$1:$AS$1,),))))</f>
        <v/>
      </c>
      <c r="D368" s="13">
        <f>((((VLOOKUP(B368,Database!$A:$AS,MATCH($D$1,Database!$A$1:$AS$1,),))))-(((VLOOKUP(EDATE(B368,-12),Database!$A:$AS,MATCH($D$1,Database!$A$1:$AS$1,),)))))/(((VLOOKUP(EDATE(B368,-12),Database!$A:$AS,MATCH($D$1,Database!$A$1:$AS$1,),))))</f>
        <v/>
      </c>
      <c r="E368" s="13">
        <f>((((VLOOKUP(B368,Database!$A:$AS,MATCH($E$1,Database!$A$1:$AS$1,),))))-(((VLOOKUP(EDATE(B368,-12),Database!$A:$AS,MATCH($E$1,Database!$A$1:$AS$1,),)))))/(((VLOOKUP(EDATE(B368,-12),Database!$A:$AS,MATCH($E$1,Database!$A$1:$AS$1,),))))</f>
        <v/>
      </c>
      <c r="F368" s="13">
        <f>((((VLOOKUP(B368,Database!$A:$AS,MATCH($F$1,Database!$A$1:$AS$1,),))))-(((VLOOKUP(EDATE(B368,-12),Database!$A:$AS,MATCH($F$1,Database!$A$1:$AS$1,),)))))/(((VLOOKUP(EDATE(B368,-12),Database!$A:$AS,MATCH($F$1,Database!$A$1:$AS$1,),))))</f>
        <v/>
      </c>
      <c r="G368" s="13">
        <f>((((VLOOKUP(B368,Database!$A:$AS,MATCH($G$1,Database!$A$1:$AS$1,),))))-(((VLOOKUP(EDATE(B368,-12),Database!$A:$AS,MATCH($G$1,Database!$A$1:$AS$1,),)))))/(((VLOOKUP(EDATE(B368,-12),Database!$A:$AS,MATCH($G$1,Database!$A$1:$AS$1,),))))</f>
        <v/>
      </c>
      <c r="H368" s="13">
        <f>((((VLOOKUP(B368,Database!$A:$AS,MATCH($H$1,Database!$A$1:$AS$1,),))))-(((VLOOKUP(EDATE(B368,-12),Database!$A:$AS,MATCH($H$1,Database!$A$1:$AS$1,),)))))/(((VLOOKUP(EDATE(B368,-12),Database!$A:$AS,MATCH($H$1,Database!$A$1:$AS$1,),))))</f>
        <v/>
      </c>
      <c r="I368" s="13">
        <f>((((VLOOKUP(B368,Database!$A:$AS,MATCH($I$1,Database!$A$1:$AS$1,),))))-(((VLOOKUP(EDATE(B368,-12),Database!$A:$AS,MATCH($I$1,Database!$A$1:$AS$1,),)))))/(((VLOOKUP(EDATE(B368,-12),Database!$A:$AS,MATCH($I$1,Database!$A$1:$AS$1,),))))</f>
        <v/>
      </c>
      <c r="J368" s="13">
        <f>((((VLOOKUP(B368,Database!$A:$AS,MATCH($J$1,Database!$A$1:$AS$1,),))))-(((VLOOKUP(EDATE(B368,-12),Database!$A:$AS,MATCH($J$1,Database!$A$1:$AS$1,),)))))/(((VLOOKUP(EDATE(B368,-12),Database!$A:$AS,MATCH($J$1,Database!$A$1:$AS$1,),))))</f>
        <v/>
      </c>
      <c r="K368" s="13">
        <f>((((VLOOKUP(B368,Database!$A:$AS,MATCH($K$1,Database!$A$1:$AS$1,),))))-(((VLOOKUP(EDATE(B368,-12),Database!$A:$AS,MATCH($K$1,Database!$A$1:$AS$1,),)))))/(((VLOOKUP(EDATE(B368,-12),Database!$A:$AS,MATCH($K$1,Database!$A$1:$AS$1,),))))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((((VLOOKUP(B368,Database!$A:$AS,MATCH($O$1,Database!$A$1:$AS$1,),))))-(((VLOOKUP(EDATE(B368,-12),Database!$A:$AS,MATCH($O$1,Database!$A$1:$AS$1,),)))))/(((VLOOKUP(EDATE(B368,-12),Database!$A:$AS,MATCH($O$1,Database!$A$1:$AS$1,),))))</f>
        <v/>
      </c>
      <c r="P368" s="13">
        <f>((((VLOOKUP(B368,Database!$A:$AS,MATCH($P$1,Database!$A$1:$AS$1,),))))-(((VLOOKUP(EDATE(B368,-12),Database!$A:$AS,MATCH($P$1,Database!$A$1:$AS$1,),)))))/(((VLOOKUP(EDATE(B368,-12),Database!$A:$AS,MATCH($P$1,Database!$A$1:$AS$1,),))))</f>
        <v/>
      </c>
      <c r="Q368" s="13">
        <f>((((VLOOKUP(B368,Database!$A:$AS,MATCH($Q$1,Database!$A$1:$AS$1,),))))-(((VLOOKUP(EDATE(B368,-12),Database!$A:$AS,MATCH($Q$1,Database!$A$1:$AS$1,),)))))/(((VLOOKUP(EDATE(B368,-12),Database!$A:$AS,MATCH($Q$1,Database!$A$1:$AS$1,),))))</f>
        <v/>
      </c>
      <c r="R368" s="13">
        <f>((((VLOOKUP(B368,Database!$A:$AS,MATCH($R$1,Database!$A$1:$AS$1,),))))-(((VLOOKUP(EDATE(B368,-12),Database!$A:$AS,MATCH($R$1,Database!$A$1:$AS$1,),)))))/(((VLOOKUP(EDATE(B368,-12),Database!$A:$AS,MATCH($R$1,Database!$A$1:$AS$1,),))))</f>
        <v/>
      </c>
      <c r="S368" s="13">
        <f>((((VLOOKUP(B368,Database!$A:$AS,MATCH($S$1,Database!$A$1:$AS$1,),))))-(((VLOOKUP(EDATE(B368,-12),Database!$A:$AS,MATCH($S$1,Database!$A$1:$AS$1,),)))))/(((VLOOKUP(EDATE(B368,-12),Database!$A:$AS,MATCH($S$1,Database!$A$1:$AS$1,),))))</f>
        <v/>
      </c>
      <c r="T368" s="13">
        <f>((((VLOOKUP(B368,Database!$A:$AS,MATCH($T$1,Database!$A$1:$AS$1,),))))-(((VLOOKUP(EDATE(B368,-12),Database!$A:$AS,MATCH($T$1,Database!$A$1:$AS$1,),)))))/(((VLOOKUP(EDATE(B368,-12),Database!$A:$AS,MATCH($T$1,Database!$A$1:$AS$1,),))))</f>
        <v/>
      </c>
      <c r="U368" s="13">
        <f>((((VLOOKUP(B368,Database!$A:$AS,MATCH($U$1,Database!$A$1:$AS$1,),))))-(((VLOOKUP(EDATE(B368,-12),Database!$A:$AS,MATCH($U$1,Database!$A$1:$AS$1,),)))))/(((VLOOKUP(EDATE(B368,-12),Database!$A:$AS,MATCH($U$1,Database!$A$1:$AS$1,),))))</f>
        <v/>
      </c>
      <c r="V368" s="13">
        <f>((((VLOOKUP(B368,Database!$A:$AS,MATCH($V$1,Database!$A$1:$AS$1,),))))-(((VLOOKUP(EDATE(B368,-12),Database!$A:$AS,MATCH($V$1,Database!$A$1:$AS$1,),)))))/(((VLOOKUP(EDATE(B368,-12),Database!$A:$AS,MATCH($V$1,Database!$A$1:$AS$1,),))))</f>
        <v/>
      </c>
    </row>
    <row r="369" customFormat="1" s="94">
      <c r="B369" s="85" t="n">
        <v>43374</v>
      </c>
      <c r="C369" s="13">
        <f>((((VLOOKUP(B369,Database!$A:$AS,MATCH($C$1,Database!$A$1:$AS$1,),))))-(((VLOOKUP(EDATE(B369,-12),Database!$A:$AS,MATCH($C$1,Database!$A$1:$AS$1,),)))))/(((VLOOKUP(EDATE(B369,-12),Database!$A:$AS,MATCH($C$1,Database!$A$1:$AS$1,),))))</f>
        <v/>
      </c>
      <c r="D369" s="13">
        <f>((((VLOOKUP(B369,Database!$A:$AS,MATCH($D$1,Database!$A$1:$AS$1,),))))-(((VLOOKUP(EDATE(B369,-12),Database!$A:$AS,MATCH($D$1,Database!$A$1:$AS$1,),)))))/(((VLOOKUP(EDATE(B369,-12),Database!$A:$AS,MATCH($D$1,Database!$A$1:$AS$1,),))))</f>
        <v/>
      </c>
      <c r="E369" s="13">
        <f>((((VLOOKUP(B369,Database!$A:$AS,MATCH($E$1,Database!$A$1:$AS$1,),))))-(((VLOOKUP(EDATE(B369,-12),Database!$A:$AS,MATCH($E$1,Database!$A$1:$AS$1,),)))))/(((VLOOKUP(EDATE(B369,-12),Database!$A:$AS,MATCH($E$1,Database!$A$1:$AS$1,),))))</f>
        <v/>
      </c>
      <c r="F369" s="13">
        <f>((((VLOOKUP(B369,Database!$A:$AS,MATCH($F$1,Database!$A$1:$AS$1,),))))-(((VLOOKUP(EDATE(B369,-12),Database!$A:$AS,MATCH($F$1,Database!$A$1:$AS$1,),)))))/(((VLOOKUP(EDATE(B369,-12),Database!$A:$AS,MATCH($F$1,Database!$A$1:$AS$1,),))))</f>
        <v/>
      </c>
      <c r="G369" s="13">
        <f>((((VLOOKUP(B369,Database!$A:$AS,MATCH($G$1,Database!$A$1:$AS$1,),))))-(((VLOOKUP(EDATE(B369,-12),Database!$A:$AS,MATCH($G$1,Database!$A$1:$AS$1,),)))))/(((VLOOKUP(EDATE(B369,-12),Database!$A:$AS,MATCH($G$1,Database!$A$1:$AS$1,),))))</f>
        <v/>
      </c>
      <c r="H369" s="13">
        <f>((((VLOOKUP(B369,Database!$A:$AS,MATCH($H$1,Database!$A$1:$AS$1,),))))-(((VLOOKUP(EDATE(B369,-12),Database!$A:$AS,MATCH($H$1,Database!$A$1:$AS$1,),)))))/(((VLOOKUP(EDATE(B369,-12),Database!$A:$AS,MATCH($H$1,Database!$A$1:$AS$1,),))))</f>
        <v/>
      </c>
      <c r="I369" s="13">
        <f>((((VLOOKUP(B369,Database!$A:$AS,MATCH($I$1,Database!$A$1:$AS$1,),))))-(((VLOOKUP(EDATE(B369,-12),Database!$A:$AS,MATCH($I$1,Database!$A$1:$AS$1,),)))))/(((VLOOKUP(EDATE(B369,-12),Database!$A:$AS,MATCH($I$1,Database!$A$1:$AS$1,),))))</f>
        <v/>
      </c>
      <c r="J369" s="13">
        <f>((((VLOOKUP(B369,Database!$A:$AS,MATCH($J$1,Database!$A$1:$AS$1,),))))-(((VLOOKUP(EDATE(B369,-12),Database!$A:$AS,MATCH($J$1,Database!$A$1:$AS$1,),)))))/(((VLOOKUP(EDATE(B369,-12),Database!$A:$AS,MATCH($J$1,Database!$A$1:$AS$1,),))))</f>
        <v/>
      </c>
      <c r="K369" s="13">
        <f>((((VLOOKUP(B369,Database!$A:$AS,MATCH($K$1,Database!$A$1:$AS$1,),))))-(((VLOOKUP(EDATE(B369,-12),Database!$A:$AS,MATCH($K$1,Database!$A$1:$AS$1,),)))))/(((VLOOKUP(EDATE(B369,-12),Database!$A:$AS,MATCH($K$1,Database!$A$1:$AS$1,),))))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((((VLOOKUP(B369,Database!$A:$AS,MATCH($O$1,Database!$A$1:$AS$1,),))))-(((VLOOKUP(EDATE(B369,-12),Database!$A:$AS,MATCH($O$1,Database!$A$1:$AS$1,),)))))/(((VLOOKUP(EDATE(B369,-12),Database!$A:$AS,MATCH($O$1,Database!$A$1:$AS$1,),))))</f>
        <v/>
      </c>
      <c r="P369" s="13">
        <f>((((VLOOKUP(B369,Database!$A:$AS,MATCH($P$1,Database!$A$1:$AS$1,),))))-(((VLOOKUP(EDATE(B369,-12),Database!$A:$AS,MATCH($P$1,Database!$A$1:$AS$1,),)))))/(((VLOOKUP(EDATE(B369,-12),Database!$A:$AS,MATCH($P$1,Database!$A$1:$AS$1,),))))</f>
        <v/>
      </c>
      <c r="Q369" s="13">
        <f>((((VLOOKUP(B369,Database!$A:$AS,MATCH($Q$1,Database!$A$1:$AS$1,),))))-(((VLOOKUP(EDATE(B369,-12),Database!$A:$AS,MATCH($Q$1,Database!$A$1:$AS$1,),)))))/(((VLOOKUP(EDATE(B369,-12),Database!$A:$AS,MATCH($Q$1,Database!$A$1:$AS$1,),))))</f>
        <v/>
      </c>
      <c r="R369" s="13">
        <f>((((VLOOKUP(B369,Database!$A:$AS,MATCH($R$1,Database!$A$1:$AS$1,),))))-(((VLOOKUP(EDATE(B369,-12),Database!$A:$AS,MATCH($R$1,Database!$A$1:$AS$1,),)))))/(((VLOOKUP(EDATE(B369,-12),Database!$A:$AS,MATCH($R$1,Database!$A$1:$AS$1,),))))</f>
        <v/>
      </c>
      <c r="S369" s="13">
        <f>((((VLOOKUP(B369,Database!$A:$AS,MATCH($S$1,Database!$A$1:$AS$1,),))))-(((VLOOKUP(EDATE(B369,-12),Database!$A:$AS,MATCH($S$1,Database!$A$1:$AS$1,),)))))/(((VLOOKUP(EDATE(B369,-12),Database!$A:$AS,MATCH($S$1,Database!$A$1:$AS$1,),))))</f>
        <v/>
      </c>
      <c r="T369" s="13">
        <f>((((VLOOKUP(B369,Database!$A:$AS,MATCH($T$1,Database!$A$1:$AS$1,),))))-(((VLOOKUP(EDATE(B369,-12),Database!$A:$AS,MATCH($T$1,Database!$A$1:$AS$1,),)))))/(((VLOOKUP(EDATE(B369,-12),Database!$A:$AS,MATCH($T$1,Database!$A$1:$AS$1,),))))</f>
        <v/>
      </c>
      <c r="U369" s="13">
        <f>((((VLOOKUP(B369,Database!$A:$AS,MATCH($U$1,Database!$A$1:$AS$1,),))))-(((VLOOKUP(EDATE(B369,-12),Database!$A:$AS,MATCH($U$1,Database!$A$1:$AS$1,),)))))/(((VLOOKUP(EDATE(B369,-12),Database!$A:$AS,MATCH($U$1,Database!$A$1:$AS$1,),))))</f>
        <v/>
      </c>
      <c r="V369" s="13">
        <f>((((VLOOKUP(B369,Database!$A:$AS,MATCH($V$1,Database!$A$1:$AS$1,),))))-(((VLOOKUP(EDATE(B369,-12),Database!$A:$AS,MATCH($V$1,Database!$A$1:$AS$1,),)))))/(((VLOOKUP(EDATE(B369,-12),Database!$A:$AS,MATCH($V$1,Database!$A$1:$AS$1,),))))</f>
        <v/>
      </c>
    </row>
    <row r="370" customFormat="1" s="94">
      <c r="B370" s="85" t="n">
        <v>43405</v>
      </c>
      <c r="C370" s="13">
        <f>((((VLOOKUP(B370,Database!$A:$AS,MATCH($C$1,Database!$A$1:$AS$1,),))))-(((VLOOKUP(EDATE(B370,-12),Database!$A:$AS,MATCH($C$1,Database!$A$1:$AS$1,),)))))/(((VLOOKUP(EDATE(B370,-12),Database!$A:$AS,MATCH($C$1,Database!$A$1:$AS$1,),))))</f>
        <v/>
      </c>
      <c r="D370" s="13">
        <f>((((VLOOKUP(B370,Database!$A:$AS,MATCH($D$1,Database!$A$1:$AS$1,),))))-(((VLOOKUP(EDATE(B370,-12),Database!$A:$AS,MATCH($D$1,Database!$A$1:$AS$1,),)))))/(((VLOOKUP(EDATE(B370,-12),Database!$A:$AS,MATCH($D$1,Database!$A$1:$AS$1,),))))</f>
        <v/>
      </c>
      <c r="E370" s="13">
        <f>((((VLOOKUP(B370,Database!$A:$AS,MATCH($E$1,Database!$A$1:$AS$1,),))))-(((VLOOKUP(EDATE(B370,-12),Database!$A:$AS,MATCH($E$1,Database!$A$1:$AS$1,),)))))/(((VLOOKUP(EDATE(B370,-12),Database!$A:$AS,MATCH($E$1,Database!$A$1:$AS$1,),))))</f>
        <v/>
      </c>
      <c r="F370" s="13">
        <f>((((VLOOKUP(B370,Database!$A:$AS,MATCH($F$1,Database!$A$1:$AS$1,),))))-(((VLOOKUP(EDATE(B370,-12),Database!$A:$AS,MATCH($F$1,Database!$A$1:$AS$1,),)))))/(((VLOOKUP(EDATE(B370,-12),Database!$A:$AS,MATCH($F$1,Database!$A$1:$AS$1,),))))</f>
        <v/>
      </c>
      <c r="G370" s="13">
        <f>((((VLOOKUP(B370,Database!$A:$AS,MATCH($G$1,Database!$A$1:$AS$1,),))))-(((VLOOKUP(EDATE(B370,-12),Database!$A:$AS,MATCH($G$1,Database!$A$1:$AS$1,),)))))/(((VLOOKUP(EDATE(B370,-12),Database!$A:$AS,MATCH($G$1,Database!$A$1:$AS$1,),))))</f>
        <v/>
      </c>
      <c r="H370" s="13">
        <f>((((VLOOKUP(B370,Database!$A:$AS,MATCH($H$1,Database!$A$1:$AS$1,),))))-(((VLOOKUP(EDATE(B370,-12),Database!$A:$AS,MATCH($H$1,Database!$A$1:$AS$1,),)))))/(((VLOOKUP(EDATE(B370,-12),Database!$A:$AS,MATCH($H$1,Database!$A$1:$AS$1,),))))</f>
        <v/>
      </c>
      <c r="I370" s="13">
        <f>((((VLOOKUP(B370,Database!$A:$AS,MATCH($I$1,Database!$A$1:$AS$1,),))))-(((VLOOKUP(EDATE(B370,-12),Database!$A:$AS,MATCH($I$1,Database!$A$1:$AS$1,),)))))/(((VLOOKUP(EDATE(B370,-12),Database!$A:$AS,MATCH($I$1,Database!$A$1:$AS$1,),))))</f>
        <v/>
      </c>
      <c r="J370" s="13">
        <f>((((VLOOKUP(B370,Database!$A:$AS,MATCH($J$1,Database!$A$1:$AS$1,),))))-(((VLOOKUP(EDATE(B370,-12),Database!$A:$AS,MATCH($J$1,Database!$A$1:$AS$1,),)))))/(((VLOOKUP(EDATE(B370,-12),Database!$A:$AS,MATCH($J$1,Database!$A$1:$AS$1,),))))</f>
        <v/>
      </c>
      <c r="K370" s="13">
        <f>((((VLOOKUP(B370,Database!$A:$AS,MATCH($K$1,Database!$A$1:$AS$1,),))))-(((VLOOKUP(EDATE(B370,-12),Database!$A:$AS,MATCH($K$1,Database!$A$1:$AS$1,),)))))/(((VLOOKUP(EDATE(B370,-12),Database!$A:$AS,MATCH($K$1,Database!$A$1:$AS$1,),))))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((((VLOOKUP(B370,Database!$A:$AS,MATCH($O$1,Database!$A$1:$AS$1,),))))-(((VLOOKUP(EDATE(B370,-12),Database!$A:$AS,MATCH($O$1,Database!$A$1:$AS$1,),)))))/(((VLOOKUP(EDATE(B370,-12),Database!$A:$AS,MATCH($O$1,Database!$A$1:$AS$1,),))))</f>
        <v/>
      </c>
      <c r="P370" s="13">
        <f>((((VLOOKUP(B370,Database!$A:$AS,MATCH($P$1,Database!$A$1:$AS$1,),))))-(((VLOOKUP(EDATE(B370,-12),Database!$A:$AS,MATCH($P$1,Database!$A$1:$AS$1,),)))))/(((VLOOKUP(EDATE(B370,-12),Database!$A:$AS,MATCH($P$1,Database!$A$1:$AS$1,),))))</f>
        <v/>
      </c>
      <c r="Q370" s="13">
        <f>((((VLOOKUP(B370,Database!$A:$AS,MATCH($Q$1,Database!$A$1:$AS$1,),))))-(((VLOOKUP(EDATE(B370,-12),Database!$A:$AS,MATCH($Q$1,Database!$A$1:$AS$1,),)))))/(((VLOOKUP(EDATE(B370,-12),Database!$A:$AS,MATCH($Q$1,Database!$A$1:$AS$1,),))))</f>
        <v/>
      </c>
      <c r="R370" s="13">
        <f>((((VLOOKUP(B370,Database!$A:$AS,MATCH($R$1,Database!$A$1:$AS$1,),))))-(((VLOOKUP(EDATE(B370,-12),Database!$A:$AS,MATCH($R$1,Database!$A$1:$AS$1,),)))))/(((VLOOKUP(EDATE(B370,-12),Database!$A:$AS,MATCH($R$1,Database!$A$1:$AS$1,),))))</f>
        <v/>
      </c>
      <c r="S370" s="13">
        <f>((((VLOOKUP(B370,Database!$A:$AS,MATCH($S$1,Database!$A$1:$AS$1,),))))-(((VLOOKUP(EDATE(B370,-12),Database!$A:$AS,MATCH($S$1,Database!$A$1:$AS$1,),)))))/(((VLOOKUP(EDATE(B370,-12),Database!$A:$AS,MATCH($S$1,Database!$A$1:$AS$1,),))))</f>
        <v/>
      </c>
      <c r="T370" s="13">
        <f>((((VLOOKUP(B370,Database!$A:$AS,MATCH($T$1,Database!$A$1:$AS$1,),))))-(((VLOOKUP(EDATE(B370,-12),Database!$A:$AS,MATCH($T$1,Database!$A$1:$AS$1,),)))))/(((VLOOKUP(EDATE(B370,-12),Database!$A:$AS,MATCH($T$1,Database!$A$1:$AS$1,),))))</f>
        <v/>
      </c>
      <c r="U370" s="13">
        <f>((((VLOOKUP(B370,Database!$A:$AS,MATCH($U$1,Database!$A$1:$AS$1,),))))-(((VLOOKUP(EDATE(B370,-12),Database!$A:$AS,MATCH($U$1,Database!$A$1:$AS$1,),)))))/(((VLOOKUP(EDATE(B370,-12),Database!$A:$AS,MATCH($U$1,Database!$A$1:$AS$1,),))))</f>
        <v/>
      </c>
      <c r="V370" s="13">
        <f>((((VLOOKUP(B370,Database!$A:$AS,MATCH($V$1,Database!$A$1:$AS$1,),))))-(((VLOOKUP(EDATE(B370,-12),Database!$A:$AS,MATCH($V$1,Database!$A$1:$AS$1,),)))))/(((VLOOKUP(EDATE(B370,-12),Database!$A:$AS,MATCH($V$1,Database!$A$1:$AS$1,),))))</f>
        <v/>
      </c>
    </row>
    <row r="371" customFormat="1" s="94">
      <c r="B371" s="85" t="n">
        <v>43435</v>
      </c>
      <c r="C371" s="13">
        <f>((((VLOOKUP(B371,Database!$A:$AS,MATCH($C$1,Database!$A$1:$AS$1,),))))-(((VLOOKUP(EDATE(B371,-12),Database!$A:$AS,MATCH($C$1,Database!$A$1:$AS$1,),)))))/(((VLOOKUP(EDATE(B371,-12),Database!$A:$AS,MATCH($C$1,Database!$A$1:$AS$1,),))))</f>
        <v/>
      </c>
      <c r="D371" s="13">
        <f>((((VLOOKUP(B371,Database!$A:$AS,MATCH($D$1,Database!$A$1:$AS$1,),))))-(((VLOOKUP(EDATE(B371,-12),Database!$A:$AS,MATCH($D$1,Database!$A$1:$AS$1,),)))))/(((VLOOKUP(EDATE(B371,-12),Database!$A:$AS,MATCH($D$1,Database!$A$1:$AS$1,),))))</f>
        <v/>
      </c>
      <c r="E371" s="13">
        <f>((((VLOOKUP(B371,Database!$A:$AS,MATCH($E$1,Database!$A$1:$AS$1,),))))-(((VLOOKUP(EDATE(B371,-12),Database!$A:$AS,MATCH($E$1,Database!$A$1:$AS$1,),)))))/(((VLOOKUP(EDATE(B371,-12),Database!$A:$AS,MATCH($E$1,Database!$A$1:$AS$1,),))))</f>
        <v/>
      </c>
      <c r="F371" s="13">
        <f>((((VLOOKUP(B371,Database!$A:$AS,MATCH($F$1,Database!$A$1:$AS$1,),))))-(((VLOOKUP(EDATE(B371,-12),Database!$A:$AS,MATCH($F$1,Database!$A$1:$AS$1,),)))))/(((VLOOKUP(EDATE(B371,-12),Database!$A:$AS,MATCH($F$1,Database!$A$1:$AS$1,),))))</f>
        <v/>
      </c>
      <c r="G371" s="13">
        <f>((((VLOOKUP(B371,Database!$A:$AS,MATCH($G$1,Database!$A$1:$AS$1,),))))-(((VLOOKUP(EDATE(B371,-12),Database!$A:$AS,MATCH($G$1,Database!$A$1:$AS$1,),)))))/(((VLOOKUP(EDATE(B371,-12),Database!$A:$AS,MATCH($G$1,Database!$A$1:$AS$1,),))))</f>
        <v/>
      </c>
      <c r="H371" s="13">
        <f>((((VLOOKUP(B371,Database!$A:$AS,MATCH($H$1,Database!$A$1:$AS$1,),))))-(((VLOOKUP(EDATE(B371,-12),Database!$A:$AS,MATCH($H$1,Database!$A$1:$AS$1,),)))))/(((VLOOKUP(EDATE(B371,-12),Database!$A:$AS,MATCH($H$1,Database!$A$1:$AS$1,),))))</f>
        <v/>
      </c>
      <c r="I371" s="13">
        <f>((((VLOOKUP(B371,Database!$A:$AS,MATCH($I$1,Database!$A$1:$AS$1,),))))-(((VLOOKUP(EDATE(B371,-12),Database!$A:$AS,MATCH($I$1,Database!$A$1:$AS$1,),)))))/(((VLOOKUP(EDATE(B371,-12),Database!$A:$AS,MATCH($I$1,Database!$A$1:$AS$1,),))))</f>
        <v/>
      </c>
      <c r="J371" s="13">
        <f>((((VLOOKUP(B371,Database!$A:$AS,MATCH($J$1,Database!$A$1:$AS$1,),))))-(((VLOOKUP(EDATE(B371,-12),Database!$A:$AS,MATCH($J$1,Database!$A$1:$AS$1,),)))))/(((VLOOKUP(EDATE(B371,-12),Database!$A:$AS,MATCH($J$1,Database!$A$1:$AS$1,),))))</f>
        <v/>
      </c>
      <c r="K371" s="13">
        <f>((((VLOOKUP(B371,Database!$A:$AS,MATCH($K$1,Database!$A$1:$AS$1,),))))-(((VLOOKUP(EDATE(B371,-12),Database!$A:$AS,MATCH($K$1,Database!$A$1:$AS$1,),)))))/(((VLOOKUP(EDATE(B371,-12),Database!$A:$AS,MATCH($K$1,Database!$A$1:$AS$1,),))))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((((VLOOKUP(B371,Database!$A:$AS,MATCH($O$1,Database!$A$1:$AS$1,),))))-(((VLOOKUP(EDATE(B371,-12),Database!$A:$AS,MATCH($O$1,Database!$A$1:$AS$1,),)))))/(((VLOOKUP(EDATE(B371,-12),Database!$A:$AS,MATCH($O$1,Database!$A$1:$AS$1,),))))</f>
        <v/>
      </c>
      <c r="P371" s="13">
        <f>((((VLOOKUP(B371,Database!$A:$AS,MATCH($P$1,Database!$A$1:$AS$1,),))))-(((VLOOKUP(EDATE(B371,-12),Database!$A:$AS,MATCH($P$1,Database!$A$1:$AS$1,),)))))/(((VLOOKUP(EDATE(B371,-12),Database!$A:$AS,MATCH($P$1,Database!$A$1:$AS$1,),))))</f>
        <v/>
      </c>
      <c r="Q371" s="13">
        <f>((((VLOOKUP(B371,Database!$A:$AS,MATCH($Q$1,Database!$A$1:$AS$1,),))))-(((VLOOKUP(EDATE(B371,-12),Database!$A:$AS,MATCH($Q$1,Database!$A$1:$AS$1,),)))))/(((VLOOKUP(EDATE(B371,-12),Database!$A:$AS,MATCH($Q$1,Database!$A$1:$AS$1,),))))</f>
        <v/>
      </c>
      <c r="R371" s="13">
        <f>((((VLOOKUP(B371,Database!$A:$AS,MATCH($R$1,Database!$A$1:$AS$1,),))))-(((VLOOKUP(EDATE(B371,-12),Database!$A:$AS,MATCH($R$1,Database!$A$1:$AS$1,),)))))/(((VLOOKUP(EDATE(B371,-12),Database!$A:$AS,MATCH($R$1,Database!$A$1:$AS$1,),))))</f>
        <v/>
      </c>
      <c r="S371" s="13">
        <f>((((VLOOKUP(B371,Database!$A:$AS,MATCH($S$1,Database!$A$1:$AS$1,),))))-(((VLOOKUP(EDATE(B371,-12),Database!$A:$AS,MATCH($S$1,Database!$A$1:$AS$1,),)))))/(((VLOOKUP(EDATE(B371,-12),Database!$A:$AS,MATCH($S$1,Database!$A$1:$AS$1,),))))</f>
        <v/>
      </c>
      <c r="T371" s="13">
        <f>((((VLOOKUP(B371,Database!$A:$AS,MATCH($T$1,Database!$A$1:$AS$1,),))))-(((VLOOKUP(EDATE(B371,-12),Database!$A:$AS,MATCH($T$1,Database!$A$1:$AS$1,),)))))/(((VLOOKUP(EDATE(B371,-12),Database!$A:$AS,MATCH($T$1,Database!$A$1:$AS$1,),))))</f>
        <v/>
      </c>
      <c r="U371" s="13">
        <f>((((VLOOKUP(B371,Database!$A:$AS,MATCH($U$1,Database!$A$1:$AS$1,),))))-(((VLOOKUP(EDATE(B371,-12),Database!$A:$AS,MATCH($U$1,Database!$A$1:$AS$1,),)))))/(((VLOOKUP(EDATE(B371,-12),Database!$A:$AS,MATCH($U$1,Database!$A$1:$AS$1,),))))</f>
        <v/>
      </c>
      <c r="V371" s="13">
        <f>((((VLOOKUP(B371,Database!$A:$AS,MATCH($V$1,Database!$A$1:$AS$1,),))))-(((VLOOKUP(EDATE(B371,-12),Database!$A:$AS,MATCH($V$1,Database!$A$1:$AS$1,),)))))/(((VLOOKUP(EDATE(B371,-12),Database!$A:$AS,MATCH($V$1,Database!$A$1:$AS$1,),))))</f>
        <v/>
      </c>
    </row>
    <row r="372" customFormat="1" s="94">
      <c r="B372" s="85" t="n">
        <v>43466</v>
      </c>
      <c r="C372" s="13">
        <f>((((VLOOKUP(B372,Database!$A:$AS,MATCH($C$1,Database!$A$1:$AS$1,),))))-(((VLOOKUP(EDATE(B372,-12),Database!$A:$AS,MATCH($C$1,Database!$A$1:$AS$1,),)))))/(((VLOOKUP(EDATE(B372,-12),Database!$A:$AS,MATCH($C$1,Database!$A$1:$AS$1,),))))</f>
        <v/>
      </c>
      <c r="D372" s="13">
        <f>((((VLOOKUP(B372,Database!$A:$AS,MATCH($D$1,Database!$A$1:$AS$1,),))))-(((VLOOKUP(EDATE(B372,-12),Database!$A:$AS,MATCH($D$1,Database!$A$1:$AS$1,),)))))/(((VLOOKUP(EDATE(B372,-12),Database!$A:$AS,MATCH($D$1,Database!$A$1:$AS$1,),))))</f>
        <v/>
      </c>
      <c r="E372" s="13">
        <f>((((VLOOKUP(B372,Database!$A:$AS,MATCH($E$1,Database!$A$1:$AS$1,),))))-(((VLOOKUP(EDATE(B372,-12),Database!$A:$AS,MATCH($E$1,Database!$A$1:$AS$1,),)))))/(((VLOOKUP(EDATE(B372,-12),Database!$A:$AS,MATCH($E$1,Database!$A$1:$AS$1,),))))</f>
        <v/>
      </c>
      <c r="F372" s="13">
        <f>((((VLOOKUP(B372,Database!$A:$AS,MATCH($F$1,Database!$A$1:$AS$1,),))))-(((VLOOKUP(EDATE(B372,-12),Database!$A:$AS,MATCH($F$1,Database!$A$1:$AS$1,),)))))/(((VLOOKUP(EDATE(B372,-12),Database!$A:$AS,MATCH($F$1,Database!$A$1:$AS$1,),))))</f>
        <v/>
      </c>
      <c r="G372" s="13">
        <f>((((VLOOKUP(B372,Database!$A:$AS,MATCH($G$1,Database!$A$1:$AS$1,),))))-(((VLOOKUP(EDATE(B372,-12),Database!$A:$AS,MATCH($G$1,Database!$A$1:$AS$1,),)))))/(((VLOOKUP(EDATE(B372,-12),Database!$A:$AS,MATCH($G$1,Database!$A$1:$AS$1,),))))</f>
        <v/>
      </c>
      <c r="H372" s="13">
        <f>((((VLOOKUP(B372,Database!$A:$AS,MATCH($H$1,Database!$A$1:$AS$1,),))))-(((VLOOKUP(EDATE(B372,-12),Database!$A:$AS,MATCH($H$1,Database!$A$1:$AS$1,),)))))/(((VLOOKUP(EDATE(B372,-12),Database!$A:$AS,MATCH($H$1,Database!$A$1:$AS$1,),))))</f>
        <v/>
      </c>
      <c r="I372" s="13">
        <f>((((VLOOKUP(B372,Database!$A:$AS,MATCH($I$1,Database!$A$1:$AS$1,),))))-(((VLOOKUP(EDATE(B372,-12),Database!$A:$AS,MATCH($I$1,Database!$A$1:$AS$1,),)))))/(((VLOOKUP(EDATE(B372,-12),Database!$A:$AS,MATCH($I$1,Database!$A$1:$AS$1,),))))</f>
        <v/>
      </c>
      <c r="J372" s="13">
        <f>((((VLOOKUP(B372,Database!$A:$AS,MATCH($J$1,Database!$A$1:$AS$1,),))))-(((VLOOKUP(EDATE(B372,-12),Database!$A:$AS,MATCH($J$1,Database!$A$1:$AS$1,),)))))/(((VLOOKUP(EDATE(B372,-12),Database!$A:$AS,MATCH($J$1,Database!$A$1:$AS$1,),))))</f>
        <v/>
      </c>
      <c r="K372" s="13">
        <f>((((VLOOKUP(B372,Database!$A:$AS,MATCH($K$1,Database!$A$1:$AS$1,),))))-(((VLOOKUP(EDATE(B372,-12),Database!$A:$AS,MATCH($K$1,Database!$A$1:$AS$1,),)))))/(((VLOOKUP(EDATE(B372,-12),Database!$A:$AS,MATCH($K$1,Database!$A$1:$AS$1,),))))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((((VLOOKUP(B372,Database!$A:$AS,MATCH($O$1,Database!$A$1:$AS$1,),))))-(((VLOOKUP(EDATE(B372,-12),Database!$A:$AS,MATCH($O$1,Database!$A$1:$AS$1,),)))))/(((VLOOKUP(EDATE(B372,-12),Database!$A:$AS,MATCH($O$1,Database!$A$1:$AS$1,),))))</f>
        <v/>
      </c>
      <c r="P372" s="13">
        <f>((((VLOOKUP(B372,Database!$A:$AS,MATCH($P$1,Database!$A$1:$AS$1,),))))-(((VLOOKUP(EDATE(B372,-12),Database!$A:$AS,MATCH($P$1,Database!$A$1:$AS$1,),)))))/(((VLOOKUP(EDATE(B372,-12),Database!$A:$AS,MATCH($P$1,Database!$A$1:$AS$1,),))))</f>
        <v/>
      </c>
      <c r="Q372" s="13">
        <f>((((VLOOKUP(B372,Database!$A:$AS,MATCH($Q$1,Database!$A$1:$AS$1,),))))-(((VLOOKUP(EDATE(B372,-12),Database!$A:$AS,MATCH($Q$1,Database!$A$1:$AS$1,),)))))/(((VLOOKUP(EDATE(B372,-12),Database!$A:$AS,MATCH($Q$1,Database!$A$1:$AS$1,),))))</f>
        <v/>
      </c>
      <c r="R372" s="13">
        <f>((((VLOOKUP(B372,Database!$A:$AS,MATCH($R$1,Database!$A$1:$AS$1,),))))-(((VLOOKUP(EDATE(B372,-12),Database!$A:$AS,MATCH($R$1,Database!$A$1:$AS$1,),)))))/(((VLOOKUP(EDATE(B372,-12),Database!$A:$AS,MATCH($R$1,Database!$A$1:$AS$1,),))))</f>
        <v/>
      </c>
      <c r="S372" s="13">
        <f>((((VLOOKUP(B372,Database!$A:$AS,MATCH($S$1,Database!$A$1:$AS$1,),))))-(((VLOOKUP(EDATE(B372,-12),Database!$A:$AS,MATCH($S$1,Database!$A$1:$AS$1,),)))))/(((VLOOKUP(EDATE(B372,-12),Database!$A:$AS,MATCH($S$1,Database!$A$1:$AS$1,),))))</f>
        <v/>
      </c>
      <c r="T372" s="13">
        <f>((((VLOOKUP(B372,Database!$A:$AS,MATCH($T$1,Database!$A$1:$AS$1,),))))-(((VLOOKUP(EDATE(B372,-12),Database!$A:$AS,MATCH($T$1,Database!$A$1:$AS$1,),)))))/(((VLOOKUP(EDATE(B372,-12),Database!$A:$AS,MATCH($T$1,Database!$A$1:$AS$1,),))))</f>
        <v/>
      </c>
      <c r="U372" s="13">
        <f>((((VLOOKUP(B372,Database!$A:$AS,MATCH($U$1,Database!$A$1:$AS$1,),))))-(((VLOOKUP(EDATE(B372,-12),Database!$A:$AS,MATCH($U$1,Database!$A$1:$AS$1,),)))))/(((VLOOKUP(EDATE(B372,-12),Database!$A:$AS,MATCH($U$1,Database!$A$1:$AS$1,),))))</f>
        <v/>
      </c>
      <c r="V372" s="13">
        <f>((((VLOOKUP(B372,Database!$A:$AS,MATCH($V$1,Database!$A$1:$AS$1,),))))-(((VLOOKUP(EDATE(B372,-12),Database!$A:$AS,MATCH($V$1,Database!$A$1:$AS$1,),)))))/(((VLOOKUP(EDATE(B372,-12),Database!$A:$AS,MATCH($V$1,Database!$A$1:$AS$1,),))))</f>
        <v/>
      </c>
    </row>
    <row r="373" customFormat="1" s="94">
      <c r="B373" s="85" t="n">
        <v>43497</v>
      </c>
      <c r="C373" s="13">
        <f>((((VLOOKUP(B373,Database!$A:$AS,MATCH($C$1,Database!$A$1:$AS$1,),))))-(((VLOOKUP(EDATE(B373,-12),Database!$A:$AS,MATCH($C$1,Database!$A$1:$AS$1,),)))))/(((VLOOKUP(EDATE(B373,-12),Database!$A:$AS,MATCH($C$1,Database!$A$1:$AS$1,),))))</f>
        <v/>
      </c>
      <c r="D373" s="13">
        <f>((((VLOOKUP(B373,Database!$A:$AS,MATCH($D$1,Database!$A$1:$AS$1,),))))-(((VLOOKUP(EDATE(B373,-12),Database!$A:$AS,MATCH($D$1,Database!$A$1:$AS$1,),)))))/(((VLOOKUP(EDATE(B373,-12),Database!$A:$AS,MATCH($D$1,Database!$A$1:$AS$1,),))))</f>
        <v/>
      </c>
      <c r="E373" s="13">
        <f>((((VLOOKUP(B373,Database!$A:$AS,MATCH($E$1,Database!$A$1:$AS$1,),))))-(((VLOOKUP(EDATE(B373,-12),Database!$A:$AS,MATCH($E$1,Database!$A$1:$AS$1,),)))))/(((VLOOKUP(EDATE(B373,-12),Database!$A:$AS,MATCH($E$1,Database!$A$1:$AS$1,),))))</f>
        <v/>
      </c>
      <c r="F373" s="13">
        <f>((((VLOOKUP(B373,Database!$A:$AS,MATCH($F$1,Database!$A$1:$AS$1,),))))-(((VLOOKUP(EDATE(B373,-12),Database!$A:$AS,MATCH($F$1,Database!$A$1:$AS$1,),)))))/(((VLOOKUP(EDATE(B373,-12),Database!$A:$AS,MATCH($F$1,Database!$A$1:$AS$1,),))))</f>
        <v/>
      </c>
      <c r="G373" s="13">
        <f>((((VLOOKUP(B373,Database!$A:$AS,MATCH($G$1,Database!$A$1:$AS$1,),))))-(((VLOOKUP(EDATE(B373,-12),Database!$A:$AS,MATCH($G$1,Database!$A$1:$AS$1,),)))))/(((VLOOKUP(EDATE(B373,-12),Database!$A:$AS,MATCH($G$1,Database!$A$1:$AS$1,),))))</f>
        <v/>
      </c>
      <c r="H373" s="13">
        <f>((((VLOOKUP(B373,Database!$A:$AS,MATCH($H$1,Database!$A$1:$AS$1,),))))-(((VLOOKUP(EDATE(B373,-12),Database!$A:$AS,MATCH($H$1,Database!$A$1:$AS$1,),)))))/(((VLOOKUP(EDATE(B373,-12),Database!$A:$AS,MATCH($H$1,Database!$A$1:$AS$1,),))))</f>
        <v/>
      </c>
      <c r="I373" s="13">
        <f>((((VLOOKUP(B373,Database!$A:$AS,MATCH($I$1,Database!$A$1:$AS$1,),))))-(((VLOOKUP(EDATE(B373,-12),Database!$A:$AS,MATCH($I$1,Database!$A$1:$AS$1,),)))))/(((VLOOKUP(EDATE(B373,-12),Database!$A:$AS,MATCH($I$1,Database!$A$1:$AS$1,),))))</f>
        <v/>
      </c>
      <c r="J373" s="13">
        <f>((((VLOOKUP(B373,Database!$A:$AS,MATCH($J$1,Database!$A$1:$AS$1,),))))-(((VLOOKUP(EDATE(B373,-12),Database!$A:$AS,MATCH($J$1,Database!$A$1:$AS$1,),)))))/(((VLOOKUP(EDATE(B373,-12),Database!$A:$AS,MATCH($J$1,Database!$A$1:$AS$1,),))))</f>
        <v/>
      </c>
      <c r="K373" s="13">
        <f>((((VLOOKUP(B373,Database!$A:$AS,MATCH($K$1,Database!$A$1:$AS$1,),))))-(((VLOOKUP(EDATE(B373,-12),Database!$A:$AS,MATCH($K$1,Database!$A$1:$AS$1,),)))))/(((VLOOKUP(EDATE(B373,-12),Database!$A:$AS,MATCH($K$1,Database!$A$1:$AS$1,),))))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((((VLOOKUP(B373,Database!$A:$AS,MATCH($O$1,Database!$A$1:$AS$1,),))))-(((VLOOKUP(EDATE(B373,-12),Database!$A:$AS,MATCH($O$1,Database!$A$1:$AS$1,),)))))/(((VLOOKUP(EDATE(B373,-12),Database!$A:$AS,MATCH($O$1,Database!$A$1:$AS$1,),))))</f>
        <v/>
      </c>
      <c r="P373" s="13">
        <f>((((VLOOKUP(B373,Database!$A:$AS,MATCH($P$1,Database!$A$1:$AS$1,),))))-(((VLOOKUP(EDATE(B373,-12),Database!$A:$AS,MATCH($P$1,Database!$A$1:$AS$1,),)))))/(((VLOOKUP(EDATE(B373,-12),Database!$A:$AS,MATCH($P$1,Database!$A$1:$AS$1,),))))</f>
        <v/>
      </c>
      <c r="Q373" s="13">
        <f>((((VLOOKUP(B373,Database!$A:$AS,MATCH($Q$1,Database!$A$1:$AS$1,),))))-(((VLOOKUP(EDATE(B373,-12),Database!$A:$AS,MATCH($Q$1,Database!$A$1:$AS$1,),)))))/(((VLOOKUP(EDATE(B373,-12),Database!$A:$AS,MATCH($Q$1,Database!$A$1:$AS$1,),))))</f>
        <v/>
      </c>
      <c r="R373" s="13">
        <f>((((VLOOKUP(B373,Database!$A:$AS,MATCH($R$1,Database!$A$1:$AS$1,),))))-(((VLOOKUP(EDATE(B373,-12),Database!$A:$AS,MATCH($R$1,Database!$A$1:$AS$1,),)))))/(((VLOOKUP(EDATE(B373,-12),Database!$A:$AS,MATCH($R$1,Database!$A$1:$AS$1,),))))</f>
        <v/>
      </c>
      <c r="S373" s="13">
        <f>((((VLOOKUP(B373,Database!$A:$AS,MATCH($S$1,Database!$A$1:$AS$1,),))))-(((VLOOKUP(EDATE(B373,-12),Database!$A:$AS,MATCH($S$1,Database!$A$1:$AS$1,),)))))/(((VLOOKUP(EDATE(B373,-12),Database!$A:$AS,MATCH($S$1,Database!$A$1:$AS$1,),))))</f>
        <v/>
      </c>
      <c r="T373" s="13">
        <f>((((VLOOKUP(B373,Database!$A:$AS,MATCH($T$1,Database!$A$1:$AS$1,),))))-(((VLOOKUP(EDATE(B373,-12),Database!$A:$AS,MATCH($T$1,Database!$A$1:$AS$1,),)))))/(((VLOOKUP(EDATE(B373,-12),Database!$A:$AS,MATCH($T$1,Database!$A$1:$AS$1,),))))</f>
        <v/>
      </c>
      <c r="U373" s="13">
        <f>((((VLOOKUP(B373,Database!$A:$AS,MATCH($U$1,Database!$A$1:$AS$1,),))))-(((VLOOKUP(EDATE(B373,-12),Database!$A:$AS,MATCH($U$1,Database!$A$1:$AS$1,),)))))/(((VLOOKUP(EDATE(B373,-12),Database!$A:$AS,MATCH($U$1,Database!$A$1:$AS$1,),))))</f>
        <v/>
      </c>
      <c r="V373" s="13">
        <f>((((VLOOKUP(B373,Database!$A:$AS,MATCH($V$1,Database!$A$1:$AS$1,),))))-(((VLOOKUP(EDATE(B373,-12),Database!$A:$AS,MATCH($V$1,Database!$A$1:$AS$1,),)))))/(((VLOOKUP(EDATE(B373,-12),Database!$A:$AS,MATCH($V$1,Database!$A$1:$AS$1,),))))</f>
        <v/>
      </c>
    </row>
    <row r="374" customFormat="1" s="94">
      <c r="B374" s="85" t="n">
        <v>43525</v>
      </c>
      <c r="C374" s="13">
        <f>((((VLOOKUP(B374,Database!$A:$AS,MATCH($C$1,Database!$A$1:$AS$1,),))))-(((VLOOKUP(EDATE(B374,-12),Database!$A:$AS,MATCH($C$1,Database!$A$1:$AS$1,),)))))/(((VLOOKUP(EDATE(B374,-12),Database!$A:$AS,MATCH($C$1,Database!$A$1:$AS$1,),))))</f>
        <v/>
      </c>
      <c r="D374" s="13">
        <f>((((VLOOKUP(B374,Database!$A:$AS,MATCH($D$1,Database!$A$1:$AS$1,),))))-(((VLOOKUP(EDATE(B374,-12),Database!$A:$AS,MATCH($D$1,Database!$A$1:$AS$1,),)))))/(((VLOOKUP(EDATE(B374,-12),Database!$A:$AS,MATCH($D$1,Database!$A$1:$AS$1,),))))</f>
        <v/>
      </c>
      <c r="E374" s="13">
        <f>((((VLOOKUP(B374,Database!$A:$AS,MATCH($E$1,Database!$A$1:$AS$1,),))))-(((VLOOKUP(EDATE(B374,-12),Database!$A:$AS,MATCH($E$1,Database!$A$1:$AS$1,),)))))/(((VLOOKUP(EDATE(B374,-12),Database!$A:$AS,MATCH($E$1,Database!$A$1:$AS$1,),))))</f>
        <v/>
      </c>
      <c r="F374" s="13">
        <f>((((VLOOKUP(B374,Database!$A:$AS,MATCH($F$1,Database!$A$1:$AS$1,),))))-(((VLOOKUP(EDATE(B374,-12),Database!$A:$AS,MATCH($F$1,Database!$A$1:$AS$1,),)))))/(((VLOOKUP(EDATE(B374,-12),Database!$A:$AS,MATCH($F$1,Database!$A$1:$AS$1,),))))</f>
        <v/>
      </c>
      <c r="G374" s="13">
        <f>((((VLOOKUP(B374,Database!$A:$AS,MATCH($G$1,Database!$A$1:$AS$1,),))))-(((VLOOKUP(EDATE(B374,-12),Database!$A:$AS,MATCH($G$1,Database!$A$1:$AS$1,),)))))/(((VLOOKUP(EDATE(B374,-12),Database!$A:$AS,MATCH($G$1,Database!$A$1:$AS$1,),))))</f>
        <v/>
      </c>
      <c r="H374" s="13">
        <f>((((VLOOKUP(B374,Database!$A:$AS,MATCH($H$1,Database!$A$1:$AS$1,),))))-(((VLOOKUP(EDATE(B374,-12),Database!$A:$AS,MATCH($H$1,Database!$A$1:$AS$1,),)))))/(((VLOOKUP(EDATE(B374,-12),Database!$A:$AS,MATCH($H$1,Database!$A$1:$AS$1,),))))</f>
        <v/>
      </c>
      <c r="I374" s="13">
        <f>((((VLOOKUP(B374,Database!$A:$AS,MATCH($I$1,Database!$A$1:$AS$1,),))))-(((VLOOKUP(EDATE(B374,-12),Database!$A:$AS,MATCH($I$1,Database!$A$1:$AS$1,),)))))/(((VLOOKUP(EDATE(B374,-12),Database!$A:$AS,MATCH($I$1,Database!$A$1:$AS$1,),))))</f>
        <v/>
      </c>
      <c r="J374" s="13">
        <f>((((VLOOKUP(B374,Database!$A:$AS,MATCH($J$1,Database!$A$1:$AS$1,),))))-(((VLOOKUP(EDATE(B374,-12),Database!$A:$AS,MATCH($J$1,Database!$A$1:$AS$1,),)))))/(((VLOOKUP(EDATE(B374,-12),Database!$A:$AS,MATCH($J$1,Database!$A$1:$AS$1,),))))</f>
        <v/>
      </c>
      <c r="K374" s="13">
        <f>((((VLOOKUP(B374,Database!$A:$AS,MATCH($K$1,Database!$A$1:$AS$1,),))))-(((VLOOKUP(EDATE(B374,-12),Database!$A:$AS,MATCH($K$1,Database!$A$1:$AS$1,),)))))/(((VLOOKUP(EDATE(B374,-12),Database!$A:$AS,MATCH($K$1,Database!$A$1:$AS$1,),))))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((((VLOOKUP(B374,Database!$A:$AS,MATCH($O$1,Database!$A$1:$AS$1,),))))-(((VLOOKUP(EDATE(B374,-12),Database!$A:$AS,MATCH($O$1,Database!$A$1:$AS$1,),)))))/(((VLOOKUP(EDATE(B374,-12),Database!$A:$AS,MATCH($O$1,Database!$A$1:$AS$1,),))))</f>
        <v/>
      </c>
      <c r="P374" s="13">
        <f>((((VLOOKUP(B374,Database!$A:$AS,MATCH($P$1,Database!$A$1:$AS$1,),))))-(((VLOOKUP(EDATE(B374,-12),Database!$A:$AS,MATCH($P$1,Database!$A$1:$AS$1,),)))))/(((VLOOKUP(EDATE(B374,-12),Database!$A:$AS,MATCH($P$1,Database!$A$1:$AS$1,),))))</f>
        <v/>
      </c>
      <c r="Q374" s="13">
        <f>((((VLOOKUP(B374,Database!$A:$AS,MATCH($Q$1,Database!$A$1:$AS$1,),))))-(((VLOOKUP(EDATE(B374,-12),Database!$A:$AS,MATCH($Q$1,Database!$A$1:$AS$1,),)))))/(((VLOOKUP(EDATE(B374,-12),Database!$A:$AS,MATCH($Q$1,Database!$A$1:$AS$1,),))))</f>
        <v/>
      </c>
      <c r="R374" s="13">
        <f>((((VLOOKUP(B374,Database!$A:$AS,MATCH($R$1,Database!$A$1:$AS$1,),))))-(((VLOOKUP(EDATE(B374,-12),Database!$A:$AS,MATCH($R$1,Database!$A$1:$AS$1,),)))))/(((VLOOKUP(EDATE(B374,-12),Database!$A:$AS,MATCH($R$1,Database!$A$1:$AS$1,),))))</f>
        <v/>
      </c>
      <c r="S374" s="13">
        <f>((((VLOOKUP(B374,Database!$A:$AS,MATCH($S$1,Database!$A$1:$AS$1,),))))-(((VLOOKUP(EDATE(B374,-12),Database!$A:$AS,MATCH($S$1,Database!$A$1:$AS$1,),)))))/(((VLOOKUP(EDATE(B374,-12),Database!$A:$AS,MATCH($S$1,Database!$A$1:$AS$1,),))))</f>
        <v/>
      </c>
      <c r="T374" s="13">
        <f>((((VLOOKUP(B374,Database!$A:$AS,MATCH($T$1,Database!$A$1:$AS$1,),))))-(((VLOOKUP(EDATE(B374,-12),Database!$A:$AS,MATCH($T$1,Database!$A$1:$AS$1,),)))))/(((VLOOKUP(EDATE(B374,-12),Database!$A:$AS,MATCH($T$1,Database!$A$1:$AS$1,),))))</f>
        <v/>
      </c>
      <c r="U374" s="13">
        <f>((((VLOOKUP(B374,Database!$A:$AS,MATCH($U$1,Database!$A$1:$AS$1,),))))-(((VLOOKUP(EDATE(B374,-12),Database!$A:$AS,MATCH($U$1,Database!$A$1:$AS$1,),)))))/(((VLOOKUP(EDATE(B374,-12),Database!$A:$AS,MATCH($U$1,Database!$A$1:$AS$1,),))))</f>
        <v/>
      </c>
      <c r="V374" s="13">
        <f>((((VLOOKUP(B374,Database!$A:$AS,MATCH($V$1,Database!$A$1:$AS$1,),))))-(((VLOOKUP(EDATE(B374,-12),Database!$A:$AS,MATCH($V$1,Database!$A$1:$AS$1,),)))))/(((VLOOKUP(EDATE(B374,-12),Database!$A:$AS,MATCH($V$1,Database!$A$1:$AS$1,),))))</f>
        <v/>
      </c>
    </row>
    <row r="375" customFormat="1" s="94">
      <c r="B375" s="85" t="n">
        <v>43556</v>
      </c>
      <c r="C375" s="13">
        <f>((((VLOOKUP(B375,Database!$A:$AS,MATCH($C$1,Database!$A$1:$AS$1,),))))-(((VLOOKUP(EDATE(B375,-12),Database!$A:$AS,MATCH($C$1,Database!$A$1:$AS$1,),)))))/(((VLOOKUP(EDATE(B375,-12),Database!$A:$AS,MATCH($C$1,Database!$A$1:$AS$1,),))))</f>
        <v/>
      </c>
      <c r="D375" s="13">
        <f>((((VLOOKUP(B375,Database!$A:$AS,MATCH($D$1,Database!$A$1:$AS$1,),))))-(((VLOOKUP(EDATE(B375,-12),Database!$A:$AS,MATCH($D$1,Database!$A$1:$AS$1,),)))))/(((VLOOKUP(EDATE(B375,-12),Database!$A:$AS,MATCH($D$1,Database!$A$1:$AS$1,),))))</f>
        <v/>
      </c>
      <c r="E375" s="13">
        <f>((((VLOOKUP(B375,Database!$A:$AS,MATCH($E$1,Database!$A$1:$AS$1,),))))-(((VLOOKUP(EDATE(B375,-12),Database!$A:$AS,MATCH($E$1,Database!$A$1:$AS$1,),)))))/(((VLOOKUP(EDATE(B375,-12),Database!$A:$AS,MATCH($E$1,Database!$A$1:$AS$1,),))))</f>
        <v/>
      </c>
      <c r="F375" s="13">
        <f>((((VLOOKUP(B375,Database!$A:$AS,MATCH($F$1,Database!$A$1:$AS$1,),))))-(((VLOOKUP(EDATE(B375,-12),Database!$A:$AS,MATCH($F$1,Database!$A$1:$AS$1,),)))))/(((VLOOKUP(EDATE(B375,-12),Database!$A:$AS,MATCH($F$1,Database!$A$1:$AS$1,),))))</f>
        <v/>
      </c>
      <c r="G375" s="13">
        <f>((((VLOOKUP(B375,Database!$A:$AS,MATCH($G$1,Database!$A$1:$AS$1,),))))-(((VLOOKUP(EDATE(B375,-12),Database!$A:$AS,MATCH($G$1,Database!$A$1:$AS$1,),)))))/(((VLOOKUP(EDATE(B375,-12),Database!$A:$AS,MATCH($G$1,Database!$A$1:$AS$1,),))))</f>
        <v/>
      </c>
      <c r="H375" s="13">
        <f>((((VLOOKUP(B375,Database!$A:$AS,MATCH($H$1,Database!$A$1:$AS$1,),))))-(((VLOOKUP(EDATE(B375,-12),Database!$A:$AS,MATCH($H$1,Database!$A$1:$AS$1,),)))))/(((VLOOKUP(EDATE(B375,-12),Database!$A:$AS,MATCH($H$1,Database!$A$1:$AS$1,),))))</f>
        <v/>
      </c>
      <c r="I375" s="13">
        <f>((((VLOOKUP(B375,Database!$A:$AS,MATCH($I$1,Database!$A$1:$AS$1,),))))-(((VLOOKUP(EDATE(B375,-12),Database!$A:$AS,MATCH($I$1,Database!$A$1:$AS$1,),)))))/(((VLOOKUP(EDATE(B375,-12),Database!$A:$AS,MATCH($I$1,Database!$A$1:$AS$1,),))))</f>
        <v/>
      </c>
      <c r="J375" s="13">
        <f>((((VLOOKUP(B375,Database!$A:$AS,MATCH($J$1,Database!$A$1:$AS$1,),))))-(((VLOOKUP(EDATE(B375,-12),Database!$A:$AS,MATCH($J$1,Database!$A$1:$AS$1,),)))))/(((VLOOKUP(EDATE(B375,-12),Database!$A:$AS,MATCH($J$1,Database!$A$1:$AS$1,),))))</f>
        <v/>
      </c>
      <c r="K375" s="13">
        <f>((((VLOOKUP(B375,Database!$A:$AS,MATCH($K$1,Database!$A$1:$AS$1,),))))-(((VLOOKUP(EDATE(B375,-12),Database!$A:$AS,MATCH($K$1,Database!$A$1:$AS$1,),)))))/(((VLOOKUP(EDATE(B375,-12),Database!$A:$AS,MATCH($K$1,Database!$A$1:$AS$1,),))))</f>
        <v/>
      </c>
      <c r="L375" s="13" t="n"/>
      <c r="M375" s="13" t="n"/>
      <c r="N375" s="13" t="n"/>
      <c r="O375" s="13">
        <f>((((VLOOKUP(B375,Database!$A:$AS,MATCH($O$1,Database!$A$1:$AS$1,),))))-(((VLOOKUP(EDATE(B375,-12),Database!$A:$AS,MATCH($O$1,Database!$A$1:$AS$1,),)))))/(((VLOOKUP(EDATE(B375,-12),Database!$A:$AS,MATCH($O$1,Database!$A$1:$AS$1,),))))</f>
        <v/>
      </c>
      <c r="P375" s="13">
        <f>((((VLOOKUP(B375,Database!$A:$AS,MATCH($P$1,Database!$A$1:$AS$1,),))))-(((VLOOKUP(EDATE(B375,-12),Database!$A:$AS,MATCH($P$1,Database!$A$1:$AS$1,),)))))/(((VLOOKUP(EDATE(B375,-12),Database!$A:$AS,MATCH($P$1,Database!$A$1:$AS$1,),))))</f>
        <v/>
      </c>
      <c r="Q375" s="13">
        <f>((((VLOOKUP(B375,Database!$A:$AS,MATCH($Q$1,Database!$A$1:$AS$1,),))))-(((VLOOKUP(EDATE(B375,-12),Database!$A:$AS,MATCH($Q$1,Database!$A$1:$AS$1,),)))))/(((VLOOKUP(EDATE(B375,-12),Database!$A:$AS,MATCH($Q$1,Database!$A$1:$AS$1,),))))</f>
        <v/>
      </c>
      <c r="R375" s="13">
        <f>((((VLOOKUP(B375,Database!$A:$AS,MATCH($R$1,Database!$A$1:$AS$1,),))))-(((VLOOKUP(EDATE(B375,-12),Database!$A:$AS,MATCH($R$1,Database!$A$1:$AS$1,),)))))/(((VLOOKUP(EDATE(B375,-12),Database!$A:$AS,MATCH($R$1,Database!$A$1:$AS$1,),))))</f>
        <v/>
      </c>
      <c r="S375" s="13">
        <f>((((VLOOKUP(B375,Database!$A:$AS,MATCH($S$1,Database!$A$1:$AS$1,),))))-(((VLOOKUP(EDATE(B375,-12),Database!$A:$AS,MATCH($S$1,Database!$A$1:$AS$1,),)))))/(((VLOOKUP(EDATE(B375,-12),Database!$A:$AS,MATCH($S$1,Database!$A$1:$AS$1,),))))</f>
        <v/>
      </c>
      <c r="T375" s="13">
        <f>((((VLOOKUP(B375,Database!$A:$AS,MATCH($T$1,Database!$A$1:$AS$1,),))))-(((VLOOKUP(EDATE(B375,-12),Database!$A:$AS,MATCH($T$1,Database!$A$1:$AS$1,),)))))/(((VLOOKUP(EDATE(B375,-12),Database!$A:$AS,MATCH($T$1,Database!$A$1:$AS$1,),))))</f>
        <v/>
      </c>
      <c r="U375" s="13">
        <f>((((VLOOKUP(B375,Database!$A:$AS,MATCH($U$1,Database!$A$1:$AS$1,),))))-(((VLOOKUP(EDATE(B375,-12),Database!$A:$AS,MATCH($U$1,Database!$A$1:$AS$1,),)))))/(((VLOOKUP(EDATE(B375,-12),Database!$A:$AS,MATCH($U$1,Database!$A$1:$AS$1,),))))</f>
        <v/>
      </c>
      <c r="V375" s="13">
        <f>((((VLOOKUP(B375,Database!$A:$AS,MATCH($V$1,Database!$A$1:$AS$1,),))))-(((VLOOKUP(EDATE(B375,-12),Database!$A:$AS,MATCH($V$1,Database!$A$1:$AS$1,),)))))/(((VLOOKUP(EDATE(B375,-12),Database!$A:$AS,MATCH($V$1,Database!$A$1:$AS$1,),))))</f>
        <v/>
      </c>
    </row>
    <row r="376" customFormat="1" s="94">
      <c r="B376" s="85" t="n">
        <v>43586</v>
      </c>
      <c r="C376" s="13">
        <f>((((VLOOKUP(B376,Database!$A:$AS,MATCH($C$1,Database!$A$1:$AS$1,),))))-(((VLOOKUP(EDATE(B376,-12),Database!$A:$AS,MATCH($C$1,Database!$A$1:$AS$1,),)))))/(((VLOOKUP(EDATE(B376,-12),Database!$A:$AS,MATCH($C$1,Database!$A$1:$AS$1,),))))</f>
        <v/>
      </c>
      <c r="D376" s="13">
        <f>((((VLOOKUP(B376,Database!$A:$AS,MATCH($D$1,Database!$A$1:$AS$1,),))))-(((VLOOKUP(EDATE(B376,-12),Database!$A:$AS,MATCH($D$1,Database!$A$1:$AS$1,),)))))/(((VLOOKUP(EDATE(B376,-12),Database!$A:$AS,MATCH($D$1,Database!$A$1:$AS$1,),))))</f>
        <v/>
      </c>
      <c r="E376" s="13">
        <f>((((VLOOKUP(B376,Database!$A:$AS,MATCH($E$1,Database!$A$1:$AS$1,),))))-(((VLOOKUP(EDATE(B376,-12),Database!$A:$AS,MATCH($E$1,Database!$A$1:$AS$1,),)))))/(((VLOOKUP(EDATE(B376,-12),Database!$A:$AS,MATCH($E$1,Database!$A$1:$AS$1,),))))</f>
        <v/>
      </c>
      <c r="F376" s="13">
        <f>((((VLOOKUP(B376,Database!$A:$AS,MATCH($F$1,Database!$A$1:$AS$1,),))))-(((VLOOKUP(EDATE(B376,-12),Database!$A:$AS,MATCH($F$1,Database!$A$1:$AS$1,),)))))/(((VLOOKUP(EDATE(B376,-12),Database!$A:$AS,MATCH($F$1,Database!$A$1:$AS$1,),))))</f>
        <v/>
      </c>
      <c r="G376" s="13">
        <f>((((VLOOKUP(B376,Database!$A:$AS,MATCH($G$1,Database!$A$1:$AS$1,),))))-(((VLOOKUP(EDATE(B376,-12),Database!$A:$AS,MATCH($G$1,Database!$A$1:$AS$1,),)))))/(((VLOOKUP(EDATE(B376,-12),Database!$A:$AS,MATCH($G$1,Database!$A$1:$AS$1,),))))</f>
        <v/>
      </c>
      <c r="H376" s="13">
        <f>((((VLOOKUP(B376,Database!$A:$AS,MATCH($H$1,Database!$A$1:$AS$1,),))))-(((VLOOKUP(EDATE(B376,-12),Database!$A:$AS,MATCH($H$1,Database!$A$1:$AS$1,),)))))/(((VLOOKUP(EDATE(B376,-12),Database!$A:$AS,MATCH($H$1,Database!$A$1:$AS$1,),))))</f>
        <v/>
      </c>
      <c r="I376" s="13">
        <f>((((VLOOKUP(B376,Database!$A:$AS,MATCH($I$1,Database!$A$1:$AS$1,),))))-(((VLOOKUP(EDATE(B376,-12),Database!$A:$AS,MATCH($I$1,Database!$A$1:$AS$1,),)))))/(((VLOOKUP(EDATE(B376,-12),Database!$A:$AS,MATCH($I$1,Database!$A$1:$AS$1,),))))</f>
        <v/>
      </c>
      <c r="J376" s="13">
        <f>((((VLOOKUP(B376,Database!$A:$AS,MATCH($J$1,Database!$A$1:$AS$1,),))))-(((VLOOKUP(EDATE(B376,-12),Database!$A:$AS,MATCH($J$1,Database!$A$1:$AS$1,),)))))/(((VLOOKUP(EDATE(B376,-12),Database!$A:$AS,MATCH($J$1,Database!$A$1:$AS$1,),))))</f>
        <v/>
      </c>
      <c r="K376" s="13">
        <f>((((VLOOKUP(B376,Database!$A:$AS,MATCH($K$1,Database!$A$1:$AS$1,),))))-(((VLOOKUP(EDATE(B376,-12),Database!$A:$AS,MATCH($K$1,Database!$A$1:$AS$1,),)))))/(((VLOOKUP(EDATE(B376,-12),Database!$A:$AS,MATCH($K$1,Database!$A$1:$AS$1,),))))</f>
        <v/>
      </c>
      <c r="L376" s="13" t="n"/>
      <c r="M376" s="13" t="n"/>
      <c r="N376" s="13" t="n"/>
      <c r="O376" s="13">
        <f>((((VLOOKUP(B376,Database!$A:$AS,MATCH($O$1,Database!$A$1:$AS$1,),))))-(((VLOOKUP(EDATE(B376,-12),Database!$A:$AS,MATCH($O$1,Database!$A$1:$AS$1,),)))))/(((VLOOKUP(EDATE(B376,-12),Database!$A:$AS,MATCH($O$1,Database!$A$1:$AS$1,),))))</f>
        <v/>
      </c>
      <c r="P376" s="13">
        <f>((((VLOOKUP(B376,Database!$A:$AS,MATCH($P$1,Database!$A$1:$AS$1,),))))-(((VLOOKUP(EDATE(B376,-12),Database!$A:$AS,MATCH($P$1,Database!$A$1:$AS$1,),)))))/(((VLOOKUP(EDATE(B376,-12),Database!$A:$AS,MATCH($P$1,Database!$A$1:$AS$1,),))))</f>
        <v/>
      </c>
      <c r="Q376" s="13">
        <f>((((VLOOKUP(B376,Database!$A:$AS,MATCH($Q$1,Database!$A$1:$AS$1,),))))-(((VLOOKUP(EDATE(B376,-12),Database!$A:$AS,MATCH($Q$1,Database!$A$1:$AS$1,),)))))/(((VLOOKUP(EDATE(B376,-12),Database!$A:$AS,MATCH($Q$1,Database!$A$1:$AS$1,),))))</f>
        <v/>
      </c>
      <c r="R376" s="13">
        <f>((((VLOOKUP(B376,Database!$A:$AS,MATCH($R$1,Database!$A$1:$AS$1,),))))-(((VLOOKUP(EDATE(B376,-12),Database!$A:$AS,MATCH($R$1,Database!$A$1:$AS$1,),)))))/(((VLOOKUP(EDATE(B376,-12),Database!$A:$AS,MATCH($R$1,Database!$A$1:$AS$1,),))))</f>
        <v/>
      </c>
      <c r="S376" s="13">
        <f>((((VLOOKUP(B376,Database!$A:$AS,MATCH($S$1,Database!$A$1:$AS$1,),))))-(((VLOOKUP(EDATE(B376,-12),Database!$A:$AS,MATCH($S$1,Database!$A$1:$AS$1,),)))))/(((VLOOKUP(EDATE(B376,-12),Database!$A:$AS,MATCH($S$1,Database!$A$1:$AS$1,),))))</f>
        <v/>
      </c>
      <c r="T376" s="13">
        <f>((((VLOOKUP(B376,Database!$A:$AS,MATCH($T$1,Database!$A$1:$AS$1,),))))-(((VLOOKUP(EDATE(B376,-12),Database!$A:$AS,MATCH($T$1,Database!$A$1:$AS$1,),)))))/(((VLOOKUP(EDATE(B376,-12),Database!$A:$AS,MATCH($T$1,Database!$A$1:$AS$1,),))))</f>
        <v/>
      </c>
      <c r="U376" s="13">
        <f>((((VLOOKUP(B376,Database!$A:$AS,MATCH($U$1,Database!$A$1:$AS$1,),))))-(((VLOOKUP(EDATE(B376,-12),Database!$A:$AS,MATCH($U$1,Database!$A$1:$AS$1,),)))))/(((VLOOKUP(EDATE(B376,-12),Database!$A:$AS,MATCH($U$1,Database!$A$1:$AS$1,),))))</f>
        <v/>
      </c>
      <c r="V376" s="13">
        <f>((((VLOOKUP(B376,Database!$A:$AS,MATCH($V$1,Database!$A$1:$AS$1,),))))-(((VLOOKUP(EDATE(B376,-12),Database!$A:$AS,MATCH($V$1,Database!$A$1:$AS$1,),)))))/(((VLOOKUP(EDATE(B376,-12),Database!$A:$AS,MATCH($V$1,Database!$A$1:$AS$1,),))))</f>
        <v/>
      </c>
    </row>
    <row r="377" customFormat="1" s="94">
      <c r="B377" s="85" t="n">
        <v>43617</v>
      </c>
      <c r="C377" s="13">
        <f>((((VLOOKUP(B377,Database!$A:$AS,MATCH($C$1,Database!$A$1:$AS$1,),))))-(((VLOOKUP(EDATE(B377,-12),Database!$A:$AS,MATCH($C$1,Database!$A$1:$AS$1,),)))))/(((VLOOKUP(EDATE(B377,-12),Database!$A:$AS,MATCH($C$1,Database!$A$1:$AS$1,),))))</f>
        <v/>
      </c>
      <c r="D377" s="13">
        <f>((((VLOOKUP(B377,Database!$A:$AS,MATCH($D$1,Database!$A$1:$AS$1,),))))-(((VLOOKUP(EDATE(B377,-12),Database!$A:$AS,MATCH($D$1,Database!$A$1:$AS$1,),)))))/(((VLOOKUP(EDATE(B377,-12),Database!$A:$AS,MATCH($D$1,Database!$A$1:$AS$1,),))))</f>
        <v/>
      </c>
      <c r="E377" s="13">
        <f>((((VLOOKUP(B377,Database!$A:$AS,MATCH($E$1,Database!$A$1:$AS$1,),))))-(((VLOOKUP(EDATE(B377,-12),Database!$A:$AS,MATCH($E$1,Database!$A$1:$AS$1,),)))))/(((VLOOKUP(EDATE(B377,-12),Database!$A:$AS,MATCH($E$1,Database!$A$1:$AS$1,),))))</f>
        <v/>
      </c>
      <c r="F377" s="13">
        <f>((((VLOOKUP(B377,Database!$A:$AS,MATCH($F$1,Database!$A$1:$AS$1,),))))-(((VLOOKUP(EDATE(B377,-12),Database!$A:$AS,MATCH($F$1,Database!$A$1:$AS$1,),)))))/(((VLOOKUP(EDATE(B377,-12),Database!$A:$AS,MATCH($F$1,Database!$A$1:$AS$1,),))))</f>
        <v/>
      </c>
      <c r="G377" s="13">
        <f>((((VLOOKUP(B377,Database!$A:$AS,MATCH($G$1,Database!$A$1:$AS$1,),))))-(((VLOOKUP(EDATE(B377,-12),Database!$A:$AS,MATCH($G$1,Database!$A$1:$AS$1,),)))))/(((VLOOKUP(EDATE(B377,-12),Database!$A:$AS,MATCH($G$1,Database!$A$1:$AS$1,),))))</f>
        <v/>
      </c>
      <c r="H377" s="13">
        <f>((((VLOOKUP(B377,Database!$A:$AS,MATCH($H$1,Database!$A$1:$AS$1,),))))-(((VLOOKUP(EDATE(B377,-12),Database!$A:$AS,MATCH($H$1,Database!$A$1:$AS$1,),)))))/(((VLOOKUP(EDATE(B377,-12),Database!$A:$AS,MATCH($H$1,Database!$A$1:$AS$1,),))))</f>
        <v/>
      </c>
      <c r="I377" s="13">
        <f>((((VLOOKUP(B377,Database!$A:$AS,MATCH($I$1,Database!$A$1:$AS$1,),))))-(((VLOOKUP(EDATE(B377,-12),Database!$A:$AS,MATCH($I$1,Database!$A$1:$AS$1,),)))))/(((VLOOKUP(EDATE(B377,-12),Database!$A:$AS,MATCH($I$1,Database!$A$1:$AS$1,),))))</f>
        <v/>
      </c>
      <c r="J377" s="13">
        <f>((((VLOOKUP(B377,Database!$A:$AS,MATCH($J$1,Database!$A$1:$AS$1,),))))-(((VLOOKUP(EDATE(B377,-12),Database!$A:$AS,MATCH($J$1,Database!$A$1:$AS$1,),)))))/(((VLOOKUP(EDATE(B377,-12),Database!$A:$AS,MATCH($J$1,Database!$A$1:$AS$1,),))))</f>
        <v/>
      </c>
      <c r="K377" s="13">
        <f>((((VLOOKUP(B377,Database!$A:$AS,MATCH($K$1,Database!$A$1:$AS$1,),))))-(((VLOOKUP(EDATE(B377,-12),Database!$A:$AS,MATCH($K$1,Database!$A$1:$AS$1,),)))))/(((VLOOKUP(EDATE(B377,-12),Database!$A:$AS,MATCH($K$1,Database!$A$1:$AS$1,),))))</f>
        <v/>
      </c>
      <c r="L377" s="13" t="n"/>
      <c r="M377" s="13" t="n"/>
      <c r="N377" s="13" t="n"/>
      <c r="O377" s="13">
        <f>((((VLOOKUP(B377,Database!$A:$AS,MATCH($O$1,Database!$A$1:$AS$1,),))))-(((VLOOKUP(EDATE(B377,-12),Database!$A:$AS,MATCH($O$1,Database!$A$1:$AS$1,),)))))/(((VLOOKUP(EDATE(B377,-12),Database!$A:$AS,MATCH($O$1,Database!$A$1:$AS$1,),))))</f>
        <v/>
      </c>
      <c r="P377" s="13">
        <f>((((VLOOKUP(B377,Database!$A:$AS,MATCH($P$1,Database!$A$1:$AS$1,),))))-(((VLOOKUP(EDATE(B377,-12),Database!$A:$AS,MATCH($P$1,Database!$A$1:$AS$1,),)))))/(((VLOOKUP(EDATE(B377,-12),Database!$A:$AS,MATCH($P$1,Database!$A$1:$AS$1,),))))</f>
        <v/>
      </c>
      <c r="Q377" s="13">
        <f>((((VLOOKUP(B377,Database!$A:$AS,MATCH($Q$1,Database!$A$1:$AS$1,),))))-(((VLOOKUP(EDATE(B377,-12),Database!$A:$AS,MATCH($Q$1,Database!$A$1:$AS$1,),)))))/(((VLOOKUP(EDATE(B377,-12),Database!$A:$AS,MATCH($Q$1,Database!$A$1:$AS$1,),))))</f>
        <v/>
      </c>
      <c r="R377" s="13">
        <f>((((VLOOKUP(B377,Database!$A:$AS,MATCH($R$1,Database!$A$1:$AS$1,),))))-(((VLOOKUP(EDATE(B377,-12),Database!$A:$AS,MATCH($R$1,Database!$A$1:$AS$1,),)))))/(((VLOOKUP(EDATE(B377,-12),Database!$A:$AS,MATCH($R$1,Database!$A$1:$AS$1,),))))</f>
        <v/>
      </c>
      <c r="S377" s="13">
        <f>((((VLOOKUP(B377,Database!$A:$AS,MATCH($S$1,Database!$A$1:$AS$1,),))))-(((VLOOKUP(EDATE(B377,-12),Database!$A:$AS,MATCH($S$1,Database!$A$1:$AS$1,),)))))/(((VLOOKUP(EDATE(B377,-12),Database!$A:$AS,MATCH($S$1,Database!$A$1:$AS$1,),))))</f>
        <v/>
      </c>
      <c r="T377" s="13">
        <f>((((VLOOKUP(B377,Database!$A:$AS,MATCH($T$1,Database!$A$1:$AS$1,),))))-(((VLOOKUP(EDATE(B377,-12),Database!$A:$AS,MATCH($T$1,Database!$A$1:$AS$1,),)))))/(((VLOOKUP(EDATE(B377,-12),Database!$A:$AS,MATCH($T$1,Database!$A$1:$AS$1,),))))</f>
        <v/>
      </c>
      <c r="U377" s="13">
        <f>((((VLOOKUP(B377,Database!$A:$AS,MATCH($U$1,Database!$A$1:$AS$1,),))))-(((VLOOKUP(EDATE(B377,-12),Database!$A:$AS,MATCH($U$1,Database!$A$1:$AS$1,),)))))/(((VLOOKUP(EDATE(B377,-12),Database!$A:$AS,MATCH($U$1,Database!$A$1:$AS$1,),))))</f>
        <v/>
      </c>
      <c r="V377" s="13">
        <f>((((VLOOKUP(B377,Database!$A:$AS,MATCH($V$1,Database!$A$1:$AS$1,),))))-(((VLOOKUP(EDATE(B377,-12),Database!$A:$AS,MATCH($V$1,Database!$A$1:$AS$1,),)))))/(((VLOOKUP(EDATE(B377,-12),Database!$A:$AS,MATCH($V$1,Database!$A$1:$AS$1,),))))</f>
        <v/>
      </c>
    </row>
    <row r="378" customFormat="1" s="94">
      <c r="B378" s="85" t="n">
        <v>43647</v>
      </c>
      <c r="C378" s="13">
        <f>((((VLOOKUP(B378,Database!$A:$AS,MATCH($C$1,Database!$A$1:$AS$1,),))))-(((VLOOKUP(EDATE(B378,-12),Database!$A:$AS,MATCH($C$1,Database!$A$1:$AS$1,),)))))/(((VLOOKUP(EDATE(B378,-12),Database!$A:$AS,MATCH($C$1,Database!$A$1:$AS$1,),))))</f>
        <v/>
      </c>
      <c r="D378" s="13">
        <f>((((VLOOKUP(B378,Database!$A:$AS,MATCH($D$1,Database!$A$1:$AS$1,),))))-(((VLOOKUP(EDATE(B378,-12),Database!$A:$AS,MATCH($D$1,Database!$A$1:$AS$1,),)))))/(((VLOOKUP(EDATE(B378,-12),Database!$A:$AS,MATCH($D$1,Database!$A$1:$AS$1,),))))</f>
        <v/>
      </c>
      <c r="E378" s="13">
        <f>((((VLOOKUP(B378,Database!$A:$AS,MATCH($E$1,Database!$A$1:$AS$1,),))))-(((VLOOKUP(EDATE(B378,-12),Database!$A:$AS,MATCH($E$1,Database!$A$1:$AS$1,),)))))/(((VLOOKUP(EDATE(B378,-12),Database!$A:$AS,MATCH($E$1,Database!$A$1:$AS$1,),))))</f>
        <v/>
      </c>
      <c r="F378" s="13">
        <f>((((VLOOKUP(B378,Database!$A:$AS,MATCH($F$1,Database!$A$1:$AS$1,),))))-(((VLOOKUP(EDATE(B378,-12),Database!$A:$AS,MATCH($F$1,Database!$A$1:$AS$1,),)))))/(((VLOOKUP(EDATE(B378,-12),Database!$A:$AS,MATCH($F$1,Database!$A$1:$AS$1,),))))</f>
        <v/>
      </c>
      <c r="G378" s="13">
        <f>((((VLOOKUP(B378,Database!$A:$AS,MATCH($G$1,Database!$A$1:$AS$1,),))))-(((VLOOKUP(EDATE(B378,-12),Database!$A:$AS,MATCH($G$1,Database!$A$1:$AS$1,),)))))/(((VLOOKUP(EDATE(B378,-12),Database!$A:$AS,MATCH($G$1,Database!$A$1:$AS$1,),))))</f>
        <v/>
      </c>
      <c r="H378" s="13">
        <f>((((VLOOKUP(B378,Database!$A:$AS,MATCH($H$1,Database!$A$1:$AS$1,),))))-(((VLOOKUP(EDATE(B378,-12),Database!$A:$AS,MATCH($H$1,Database!$A$1:$AS$1,),)))))/(((VLOOKUP(EDATE(B378,-12),Database!$A:$AS,MATCH($H$1,Database!$A$1:$AS$1,),))))</f>
        <v/>
      </c>
      <c r="I378" s="13">
        <f>((((VLOOKUP(B378,Database!$A:$AS,MATCH($I$1,Database!$A$1:$AS$1,),))))-(((VLOOKUP(EDATE(B378,-12),Database!$A:$AS,MATCH($I$1,Database!$A$1:$AS$1,),)))))/(((VLOOKUP(EDATE(B378,-12),Database!$A:$AS,MATCH($I$1,Database!$A$1:$AS$1,),))))</f>
        <v/>
      </c>
      <c r="J378" s="13">
        <f>((((VLOOKUP(B378,Database!$A:$AS,MATCH($J$1,Database!$A$1:$AS$1,),))))-(((VLOOKUP(EDATE(B378,-12),Database!$A:$AS,MATCH($J$1,Database!$A$1:$AS$1,),)))))/(((VLOOKUP(EDATE(B378,-12),Database!$A:$AS,MATCH($J$1,Database!$A$1:$AS$1,),))))</f>
        <v/>
      </c>
      <c r="K378" s="13">
        <f>((((VLOOKUP(B378,Database!$A:$AS,MATCH($K$1,Database!$A$1:$AS$1,),))))-(((VLOOKUP(EDATE(B378,-12),Database!$A:$AS,MATCH($K$1,Database!$A$1:$AS$1,),)))))/(((VLOOKUP(EDATE(B378,-12),Database!$A:$AS,MATCH($K$1,Database!$A$1:$AS$1,),))))</f>
        <v/>
      </c>
      <c r="L378" s="13" t="n"/>
      <c r="M378" s="13" t="n"/>
      <c r="N378" s="13" t="n"/>
      <c r="O378" s="13">
        <f>((((VLOOKUP(B378,Database!$A:$AS,MATCH($O$1,Database!$A$1:$AS$1,),))))-(((VLOOKUP(EDATE(B378,-12),Database!$A:$AS,MATCH($O$1,Database!$A$1:$AS$1,),)))))/(((VLOOKUP(EDATE(B378,-12),Database!$A:$AS,MATCH($O$1,Database!$A$1:$AS$1,),))))</f>
        <v/>
      </c>
      <c r="P378" s="13">
        <f>((((VLOOKUP(B378,Database!$A:$AS,MATCH($P$1,Database!$A$1:$AS$1,),))))-(((VLOOKUP(EDATE(B378,-12),Database!$A:$AS,MATCH($P$1,Database!$A$1:$AS$1,),)))))/(((VLOOKUP(EDATE(B378,-12),Database!$A:$AS,MATCH($P$1,Database!$A$1:$AS$1,),))))</f>
        <v/>
      </c>
      <c r="Q378" s="13">
        <f>((((VLOOKUP(B378,Database!$A:$AS,MATCH($Q$1,Database!$A$1:$AS$1,),))))-(((VLOOKUP(EDATE(B378,-12),Database!$A:$AS,MATCH($Q$1,Database!$A$1:$AS$1,),)))))/(((VLOOKUP(EDATE(B378,-12),Database!$A:$AS,MATCH($Q$1,Database!$A$1:$AS$1,),))))</f>
        <v/>
      </c>
      <c r="R378" s="13">
        <f>((((VLOOKUP(B378,Database!$A:$AS,MATCH($R$1,Database!$A$1:$AS$1,),))))-(((VLOOKUP(EDATE(B378,-12),Database!$A:$AS,MATCH($R$1,Database!$A$1:$AS$1,),)))))/(((VLOOKUP(EDATE(B378,-12),Database!$A:$AS,MATCH($R$1,Database!$A$1:$AS$1,),))))</f>
        <v/>
      </c>
      <c r="S378" s="13">
        <f>((((VLOOKUP(B378,Database!$A:$AS,MATCH($S$1,Database!$A$1:$AS$1,),))))-(((VLOOKUP(EDATE(B378,-12),Database!$A:$AS,MATCH($S$1,Database!$A$1:$AS$1,),)))))/(((VLOOKUP(EDATE(B378,-12),Database!$A:$AS,MATCH($S$1,Database!$A$1:$AS$1,),))))</f>
        <v/>
      </c>
      <c r="T378" s="13">
        <f>((((VLOOKUP(B378,Database!$A:$AS,MATCH($T$1,Database!$A$1:$AS$1,),))))-(((VLOOKUP(EDATE(B378,-12),Database!$A:$AS,MATCH($T$1,Database!$A$1:$AS$1,),)))))/(((VLOOKUP(EDATE(B378,-12),Database!$A:$AS,MATCH($T$1,Database!$A$1:$AS$1,),))))</f>
        <v/>
      </c>
      <c r="U378" s="13">
        <f>((((VLOOKUP(B378,Database!$A:$AS,MATCH($U$1,Database!$A$1:$AS$1,),))))-(((VLOOKUP(EDATE(B378,-12),Database!$A:$AS,MATCH($U$1,Database!$A$1:$AS$1,),)))))/(((VLOOKUP(EDATE(B378,-12),Database!$A:$AS,MATCH($U$1,Database!$A$1:$AS$1,),))))</f>
        <v/>
      </c>
      <c r="V378" s="13">
        <f>((((VLOOKUP(B378,Database!$A:$AS,MATCH($V$1,Database!$A$1:$AS$1,),))))-(((VLOOKUP(EDATE(B378,-12),Database!$A:$AS,MATCH($V$1,Database!$A$1:$AS$1,),)))))/(((VLOOKUP(EDATE(B378,-12),Database!$A:$AS,MATCH($V$1,Database!$A$1:$AS$1,),))))</f>
        <v/>
      </c>
    </row>
    <row r="379" customFormat="1" s="94">
      <c r="B379" s="85" t="n">
        <v>43678</v>
      </c>
      <c r="C379" s="13">
        <f>((((VLOOKUP(B379,Database!$A:$AS,MATCH($C$1,Database!$A$1:$AS$1,),))))-(((VLOOKUP(EDATE(B379,-12),Database!$A:$AS,MATCH($C$1,Database!$A$1:$AS$1,),)))))/(((VLOOKUP(EDATE(B379,-12),Database!$A:$AS,MATCH($C$1,Database!$A$1:$AS$1,),))))</f>
        <v/>
      </c>
      <c r="D379" s="13">
        <f>((((VLOOKUP(B379,Database!$A:$AS,MATCH($D$1,Database!$A$1:$AS$1,),))))-(((VLOOKUP(EDATE(B379,-12),Database!$A:$AS,MATCH($D$1,Database!$A$1:$AS$1,),)))))/(((VLOOKUP(EDATE(B379,-12),Database!$A:$AS,MATCH($D$1,Database!$A$1:$AS$1,),))))</f>
        <v/>
      </c>
      <c r="E379" s="13">
        <f>((((VLOOKUP(B379,Database!$A:$AS,MATCH($E$1,Database!$A$1:$AS$1,),))))-(((VLOOKUP(EDATE(B379,-12),Database!$A:$AS,MATCH($E$1,Database!$A$1:$AS$1,),)))))/(((VLOOKUP(EDATE(B379,-12),Database!$A:$AS,MATCH($E$1,Database!$A$1:$AS$1,),))))</f>
        <v/>
      </c>
      <c r="F379" s="13">
        <f>((((VLOOKUP(B379,Database!$A:$AS,MATCH($F$1,Database!$A$1:$AS$1,),))))-(((VLOOKUP(EDATE(B379,-12),Database!$A:$AS,MATCH($F$1,Database!$A$1:$AS$1,),)))))/(((VLOOKUP(EDATE(B379,-12),Database!$A:$AS,MATCH($F$1,Database!$A$1:$AS$1,),))))</f>
        <v/>
      </c>
      <c r="G379" s="13">
        <f>((((VLOOKUP(B379,Database!$A:$AS,MATCH($G$1,Database!$A$1:$AS$1,),))))-(((VLOOKUP(EDATE(B379,-12),Database!$A:$AS,MATCH($G$1,Database!$A$1:$AS$1,),)))))/(((VLOOKUP(EDATE(B379,-12),Database!$A:$AS,MATCH($G$1,Database!$A$1:$AS$1,),))))</f>
        <v/>
      </c>
      <c r="H379" s="13">
        <f>((((VLOOKUP(B379,Database!$A:$AS,MATCH($H$1,Database!$A$1:$AS$1,),))))-(((VLOOKUP(EDATE(B379,-12),Database!$A:$AS,MATCH($H$1,Database!$A$1:$AS$1,),)))))/(((VLOOKUP(EDATE(B379,-12),Database!$A:$AS,MATCH($H$1,Database!$A$1:$AS$1,),))))</f>
        <v/>
      </c>
      <c r="I379" s="13">
        <f>((((VLOOKUP(B379,Database!$A:$AS,MATCH($I$1,Database!$A$1:$AS$1,),))))-(((VLOOKUP(EDATE(B379,-12),Database!$A:$AS,MATCH($I$1,Database!$A$1:$AS$1,),)))))/(((VLOOKUP(EDATE(B379,-12),Database!$A:$AS,MATCH($I$1,Database!$A$1:$AS$1,),))))</f>
        <v/>
      </c>
      <c r="J379" s="13">
        <f>((((VLOOKUP(B379,Database!$A:$AS,MATCH($J$1,Database!$A$1:$AS$1,),))))-(((VLOOKUP(EDATE(B379,-12),Database!$A:$AS,MATCH($J$1,Database!$A$1:$AS$1,),)))))/(((VLOOKUP(EDATE(B379,-12),Database!$A:$AS,MATCH($J$1,Database!$A$1:$AS$1,),))))</f>
        <v/>
      </c>
      <c r="K379" s="13">
        <f>((((VLOOKUP(B379,Database!$A:$AS,MATCH($K$1,Database!$A$1:$AS$1,),))))-(((VLOOKUP(EDATE(B379,-12),Database!$A:$AS,MATCH($K$1,Database!$A$1:$AS$1,),)))))/(((VLOOKUP(EDATE(B379,-12),Database!$A:$AS,MATCH($K$1,Database!$A$1:$AS$1,),))))</f>
        <v/>
      </c>
      <c r="L379" s="13" t="n"/>
      <c r="M379" s="13" t="n"/>
      <c r="N379" s="13" t="n"/>
      <c r="O379" s="13">
        <f>((((VLOOKUP(B379,Database!$A:$AS,MATCH($O$1,Database!$A$1:$AS$1,),))))-(((VLOOKUP(EDATE(B379,-12),Database!$A:$AS,MATCH($O$1,Database!$A$1:$AS$1,),)))))/(((VLOOKUP(EDATE(B379,-12),Database!$A:$AS,MATCH($O$1,Database!$A$1:$AS$1,),))))</f>
        <v/>
      </c>
      <c r="P379" s="13">
        <f>((((VLOOKUP(B379,Database!$A:$AS,MATCH($P$1,Database!$A$1:$AS$1,),))))-(((VLOOKUP(EDATE(B379,-12),Database!$A:$AS,MATCH($P$1,Database!$A$1:$AS$1,),)))))/(((VLOOKUP(EDATE(B379,-12),Database!$A:$AS,MATCH($P$1,Database!$A$1:$AS$1,),))))</f>
        <v/>
      </c>
      <c r="Q379" s="13">
        <f>((((VLOOKUP(B379,Database!$A:$AS,MATCH($Q$1,Database!$A$1:$AS$1,),))))-(((VLOOKUP(EDATE(B379,-12),Database!$A:$AS,MATCH($Q$1,Database!$A$1:$AS$1,),)))))/(((VLOOKUP(EDATE(B379,-12),Database!$A:$AS,MATCH($Q$1,Database!$A$1:$AS$1,),))))</f>
        <v/>
      </c>
      <c r="R379" s="13">
        <f>((((VLOOKUP(B379,Database!$A:$AS,MATCH($R$1,Database!$A$1:$AS$1,),))))-(((VLOOKUP(EDATE(B379,-12),Database!$A:$AS,MATCH($R$1,Database!$A$1:$AS$1,),)))))/(((VLOOKUP(EDATE(B379,-12),Database!$A:$AS,MATCH($R$1,Database!$A$1:$AS$1,),))))</f>
        <v/>
      </c>
      <c r="S379" s="13">
        <f>((((VLOOKUP(B379,Database!$A:$AS,MATCH($S$1,Database!$A$1:$AS$1,),))))-(((VLOOKUP(EDATE(B379,-12),Database!$A:$AS,MATCH($S$1,Database!$A$1:$AS$1,),)))))/(((VLOOKUP(EDATE(B379,-12),Database!$A:$AS,MATCH($S$1,Database!$A$1:$AS$1,),))))</f>
        <v/>
      </c>
      <c r="T379" s="13">
        <f>((((VLOOKUP(B379,Database!$A:$AS,MATCH($T$1,Database!$A$1:$AS$1,),))))-(((VLOOKUP(EDATE(B379,-12),Database!$A:$AS,MATCH($T$1,Database!$A$1:$AS$1,),)))))/(((VLOOKUP(EDATE(B379,-12),Database!$A:$AS,MATCH($T$1,Database!$A$1:$AS$1,),))))</f>
        <v/>
      </c>
      <c r="U379" s="13">
        <f>((((VLOOKUP(B379,Database!$A:$AS,MATCH($U$1,Database!$A$1:$AS$1,),))))-(((VLOOKUP(EDATE(B379,-12),Database!$A:$AS,MATCH($U$1,Database!$A$1:$AS$1,),)))))/(((VLOOKUP(EDATE(B379,-12),Database!$A:$AS,MATCH($U$1,Database!$A$1:$AS$1,),))))</f>
        <v/>
      </c>
      <c r="V379" s="13">
        <f>((((VLOOKUP(B379,Database!$A:$AS,MATCH($V$1,Database!$A$1:$AS$1,),))))-(((VLOOKUP(EDATE(B379,-12),Database!$A:$AS,MATCH($V$1,Database!$A$1:$AS$1,),)))))/(((VLOOKUP(EDATE(B379,-12),Database!$A:$AS,MATCH($V$1,Database!$A$1:$AS$1,),))))</f>
        <v/>
      </c>
    </row>
    <row r="380" customFormat="1" s="94">
      <c r="B380" s="85" t="n">
        <v>43709</v>
      </c>
      <c r="C380" s="13">
        <f>((((VLOOKUP(B380,Database!$A:$AS,MATCH($C$1,Database!$A$1:$AS$1,),))))-(((VLOOKUP(EDATE(B380,-12),Database!$A:$AS,MATCH($C$1,Database!$A$1:$AS$1,),)))))/(((VLOOKUP(EDATE(B380,-12),Database!$A:$AS,MATCH($C$1,Database!$A$1:$AS$1,),))))</f>
        <v/>
      </c>
      <c r="D380" s="13">
        <f>((((VLOOKUP(B380,Database!$A:$AS,MATCH($D$1,Database!$A$1:$AS$1,),))))-(((VLOOKUP(EDATE(B380,-12),Database!$A:$AS,MATCH($D$1,Database!$A$1:$AS$1,),)))))/(((VLOOKUP(EDATE(B380,-12),Database!$A:$AS,MATCH($D$1,Database!$A$1:$AS$1,),))))</f>
        <v/>
      </c>
      <c r="E380" s="13">
        <f>((((VLOOKUP(B380,Database!$A:$AS,MATCH($E$1,Database!$A$1:$AS$1,),))))-(((VLOOKUP(EDATE(B380,-12),Database!$A:$AS,MATCH($E$1,Database!$A$1:$AS$1,),)))))/(((VLOOKUP(EDATE(B380,-12),Database!$A:$AS,MATCH($E$1,Database!$A$1:$AS$1,),))))</f>
        <v/>
      </c>
      <c r="F380" s="13">
        <f>((((VLOOKUP(B380,Database!$A:$AS,MATCH($F$1,Database!$A$1:$AS$1,),))))-(((VLOOKUP(EDATE(B380,-12),Database!$A:$AS,MATCH($F$1,Database!$A$1:$AS$1,),)))))/(((VLOOKUP(EDATE(B380,-12),Database!$A:$AS,MATCH($F$1,Database!$A$1:$AS$1,),))))</f>
        <v/>
      </c>
      <c r="G380" s="13">
        <f>((((VLOOKUP(B380,Database!$A:$AS,MATCH($G$1,Database!$A$1:$AS$1,),))))-(((VLOOKUP(EDATE(B380,-12),Database!$A:$AS,MATCH($G$1,Database!$A$1:$AS$1,),)))))/(((VLOOKUP(EDATE(B380,-12),Database!$A:$AS,MATCH($G$1,Database!$A$1:$AS$1,),))))</f>
        <v/>
      </c>
      <c r="H380" s="13">
        <f>((((VLOOKUP(B380,Database!$A:$AS,MATCH($H$1,Database!$A$1:$AS$1,),))))-(((VLOOKUP(EDATE(B380,-12),Database!$A:$AS,MATCH($H$1,Database!$A$1:$AS$1,),)))))/(((VLOOKUP(EDATE(B380,-12),Database!$A:$AS,MATCH($H$1,Database!$A$1:$AS$1,),))))</f>
        <v/>
      </c>
      <c r="I380" s="13">
        <f>((((VLOOKUP(B380,Database!$A:$AS,MATCH($I$1,Database!$A$1:$AS$1,),))))-(((VLOOKUP(EDATE(B380,-12),Database!$A:$AS,MATCH($I$1,Database!$A$1:$AS$1,),)))))/(((VLOOKUP(EDATE(B380,-12),Database!$A:$AS,MATCH($I$1,Database!$A$1:$AS$1,),))))</f>
        <v/>
      </c>
      <c r="J380" s="13">
        <f>((((VLOOKUP(B380,Database!$A:$AS,MATCH($J$1,Database!$A$1:$AS$1,),))))-(((VLOOKUP(EDATE(B380,-12),Database!$A:$AS,MATCH($J$1,Database!$A$1:$AS$1,),)))))/(((VLOOKUP(EDATE(B380,-12),Database!$A:$AS,MATCH($J$1,Database!$A$1:$AS$1,),))))</f>
        <v/>
      </c>
      <c r="K380" s="13">
        <f>((((VLOOKUP(B380,Database!$A:$AS,MATCH($K$1,Database!$A$1:$AS$1,),))))-(((VLOOKUP(EDATE(B380,-12),Database!$A:$AS,MATCH($K$1,Database!$A$1:$AS$1,),)))))/(((VLOOKUP(EDATE(B380,-12),Database!$A:$AS,MATCH($K$1,Database!$A$1:$AS$1,),))))</f>
        <v/>
      </c>
      <c r="L380" s="13" t="n"/>
      <c r="M380" s="13" t="n"/>
      <c r="N380" s="13" t="n"/>
      <c r="O380" s="13">
        <f>((((VLOOKUP(B380,Database!$A:$AS,MATCH($O$1,Database!$A$1:$AS$1,),))))-(((VLOOKUP(EDATE(B380,-12),Database!$A:$AS,MATCH($O$1,Database!$A$1:$AS$1,),)))))/(((VLOOKUP(EDATE(B380,-12),Database!$A:$AS,MATCH($O$1,Database!$A$1:$AS$1,),))))</f>
        <v/>
      </c>
      <c r="P380" s="13">
        <f>((((VLOOKUP(B380,Database!$A:$AS,MATCH($P$1,Database!$A$1:$AS$1,),))))-(((VLOOKUP(EDATE(B380,-12),Database!$A:$AS,MATCH($P$1,Database!$A$1:$AS$1,),)))))/(((VLOOKUP(EDATE(B380,-12),Database!$A:$AS,MATCH($P$1,Database!$A$1:$AS$1,),))))</f>
        <v/>
      </c>
      <c r="Q380" s="13">
        <f>((((VLOOKUP(B380,Database!$A:$AS,MATCH($Q$1,Database!$A$1:$AS$1,),))))-(((VLOOKUP(EDATE(B380,-12),Database!$A:$AS,MATCH($Q$1,Database!$A$1:$AS$1,),)))))/(((VLOOKUP(EDATE(B380,-12),Database!$A:$AS,MATCH($Q$1,Database!$A$1:$AS$1,),))))</f>
        <v/>
      </c>
      <c r="R380" s="13">
        <f>((((VLOOKUP(B380,Database!$A:$AS,MATCH($R$1,Database!$A$1:$AS$1,),))))-(((VLOOKUP(EDATE(B380,-12),Database!$A:$AS,MATCH($R$1,Database!$A$1:$AS$1,),)))))/(((VLOOKUP(EDATE(B380,-12),Database!$A:$AS,MATCH($R$1,Database!$A$1:$AS$1,),))))</f>
        <v/>
      </c>
      <c r="S380" s="13">
        <f>((((VLOOKUP(B380,Database!$A:$AS,MATCH($S$1,Database!$A$1:$AS$1,),))))-(((VLOOKUP(EDATE(B380,-12),Database!$A:$AS,MATCH($S$1,Database!$A$1:$AS$1,),)))))/(((VLOOKUP(EDATE(B380,-12),Database!$A:$AS,MATCH($S$1,Database!$A$1:$AS$1,),))))</f>
        <v/>
      </c>
      <c r="T380" s="13">
        <f>((((VLOOKUP(B380,Database!$A:$AS,MATCH($T$1,Database!$A$1:$AS$1,),))))-(((VLOOKUP(EDATE(B380,-12),Database!$A:$AS,MATCH($T$1,Database!$A$1:$AS$1,),)))))/(((VLOOKUP(EDATE(B380,-12),Database!$A:$AS,MATCH($T$1,Database!$A$1:$AS$1,),))))</f>
        <v/>
      </c>
      <c r="U380" s="13">
        <f>((((VLOOKUP(B380,Database!$A:$AS,MATCH($U$1,Database!$A$1:$AS$1,),))))-(((VLOOKUP(EDATE(B380,-12),Database!$A:$AS,MATCH($U$1,Database!$A$1:$AS$1,),)))))/(((VLOOKUP(EDATE(B380,-12),Database!$A:$AS,MATCH($U$1,Database!$A$1:$AS$1,),))))</f>
        <v/>
      </c>
      <c r="V380" s="13">
        <f>((((VLOOKUP(B380,Database!$A:$AS,MATCH($V$1,Database!$A$1:$AS$1,),))))-(((VLOOKUP(EDATE(B380,-12),Database!$A:$AS,MATCH($V$1,Database!$A$1:$AS$1,),)))))/(((VLOOKUP(EDATE(B380,-12),Database!$A:$AS,MATCH($V$1,Database!$A$1:$AS$1,),))))</f>
        <v/>
      </c>
    </row>
    <row r="381" customFormat="1" s="94">
      <c r="B381" s="85" t="n">
        <v>43739</v>
      </c>
      <c r="C381" s="13">
        <f>((((VLOOKUP(B381,Database!$A:$AS,MATCH($C$1,Database!$A$1:$AS$1,),))))-(((VLOOKUP(EDATE(B381,-12),Database!$A:$AS,MATCH($C$1,Database!$A$1:$AS$1,),)))))/(((VLOOKUP(EDATE(B381,-12),Database!$A:$AS,MATCH($C$1,Database!$A$1:$AS$1,),))))</f>
        <v/>
      </c>
      <c r="D381" s="13">
        <f>((((VLOOKUP(B381,Database!$A:$AS,MATCH($D$1,Database!$A$1:$AS$1,),))))-(((VLOOKUP(EDATE(B381,-12),Database!$A:$AS,MATCH($D$1,Database!$A$1:$AS$1,),)))))/(((VLOOKUP(EDATE(B381,-12),Database!$A:$AS,MATCH($D$1,Database!$A$1:$AS$1,),))))</f>
        <v/>
      </c>
      <c r="E381" s="13">
        <f>((((VLOOKUP(B381,Database!$A:$AS,MATCH($E$1,Database!$A$1:$AS$1,),))))-(((VLOOKUP(EDATE(B381,-12),Database!$A:$AS,MATCH($E$1,Database!$A$1:$AS$1,),)))))/(((VLOOKUP(EDATE(B381,-12),Database!$A:$AS,MATCH($E$1,Database!$A$1:$AS$1,),))))</f>
        <v/>
      </c>
      <c r="F381" s="13">
        <f>((((VLOOKUP(B381,Database!$A:$AS,MATCH($F$1,Database!$A$1:$AS$1,),))))-(((VLOOKUP(EDATE(B381,-12),Database!$A:$AS,MATCH($F$1,Database!$A$1:$AS$1,),)))))/(((VLOOKUP(EDATE(B381,-12),Database!$A:$AS,MATCH($F$1,Database!$A$1:$AS$1,),))))</f>
        <v/>
      </c>
      <c r="G381" s="13">
        <f>((((VLOOKUP(B381,Database!$A:$AS,MATCH($G$1,Database!$A$1:$AS$1,),))))-(((VLOOKUP(EDATE(B381,-12),Database!$A:$AS,MATCH($G$1,Database!$A$1:$AS$1,),)))))/(((VLOOKUP(EDATE(B381,-12),Database!$A:$AS,MATCH($G$1,Database!$A$1:$AS$1,),))))</f>
        <v/>
      </c>
      <c r="H381" s="13">
        <f>((((VLOOKUP(B381,Database!$A:$AS,MATCH($H$1,Database!$A$1:$AS$1,),))))-(((VLOOKUP(EDATE(B381,-12),Database!$A:$AS,MATCH($H$1,Database!$A$1:$AS$1,),)))))/(((VLOOKUP(EDATE(B381,-12),Database!$A:$AS,MATCH($H$1,Database!$A$1:$AS$1,),))))</f>
        <v/>
      </c>
      <c r="I381" s="13">
        <f>((((VLOOKUP(B381,Database!$A:$AS,MATCH($I$1,Database!$A$1:$AS$1,),))))-(((VLOOKUP(EDATE(B381,-12),Database!$A:$AS,MATCH($I$1,Database!$A$1:$AS$1,),)))))/(((VLOOKUP(EDATE(B381,-12),Database!$A:$AS,MATCH($I$1,Database!$A$1:$AS$1,),))))</f>
        <v/>
      </c>
      <c r="J381" s="13">
        <f>((((VLOOKUP(B381,Database!$A:$AS,MATCH($J$1,Database!$A$1:$AS$1,),))))-(((VLOOKUP(EDATE(B381,-12),Database!$A:$AS,MATCH($J$1,Database!$A$1:$AS$1,),)))))/(((VLOOKUP(EDATE(B381,-12),Database!$A:$AS,MATCH($J$1,Database!$A$1:$AS$1,),))))</f>
        <v/>
      </c>
      <c r="K381" s="13">
        <f>((((VLOOKUP(B381,Database!$A:$AS,MATCH($K$1,Database!$A$1:$AS$1,),))))-(((VLOOKUP(EDATE(B381,-12),Database!$A:$AS,MATCH($K$1,Database!$A$1:$AS$1,),)))))/(((VLOOKUP(EDATE(B381,-12),Database!$A:$AS,MATCH($K$1,Database!$A$1:$AS$1,),))))</f>
        <v/>
      </c>
      <c r="L381" s="13" t="n"/>
      <c r="M381" s="13" t="n"/>
      <c r="N381" s="13" t="n"/>
      <c r="O381" s="13">
        <f>((((VLOOKUP(B381,Database!$A:$AS,MATCH($O$1,Database!$A$1:$AS$1,),))))-(((VLOOKUP(EDATE(B381,-12),Database!$A:$AS,MATCH($O$1,Database!$A$1:$AS$1,),)))))/(((VLOOKUP(EDATE(B381,-12),Database!$A:$AS,MATCH($O$1,Database!$A$1:$AS$1,),))))</f>
        <v/>
      </c>
      <c r="P381" s="13">
        <f>((((VLOOKUP(B381,Database!$A:$AS,MATCH($P$1,Database!$A$1:$AS$1,),))))-(((VLOOKUP(EDATE(B381,-12),Database!$A:$AS,MATCH($P$1,Database!$A$1:$AS$1,),)))))/(((VLOOKUP(EDATE(B381,-12),Database!$A:$AS,MATCH($P$1,Database!$A$1:$AS$1,),))))</f>
        <v/>
      </c>
      <c r="Q381" s="13">
        <f>((((VLOOKUP(B381,Database!$A:$AS,MATCH($Q$1,Database!$A$1:$AS$1,),))))-(((VLOOKUP(EDATE(B381,-12),Database!$A:$AS,MATCH($Q$1,Database!$A$1:$AS$1,),)))))/(((VLOOKUP(EDATE(B381,-12),Database!$A:$AS,MATCH($Q$1,Database!$A$1:$AS$1,),))))</f>
        <v/>
      </c>
      <c r="R381" s="13">
        <f>((((VLOOKUP(B381,Database!$A:$AS,MATCH($R$1,Database!$A$1:$AS$1,),))))-(((VLOOKUP(EDATE(B381,-12),Database!$A:$AS,MATCH($R$1,Database!$A$1:$AS$1,),)))))/(((VLOOKUP(EDATE(B381,-12),Database!$A:$AS,MATCH($R$1,Database!$A$1:$AS$1,),))))</f>
        <v/>
      </c>
      <c r="S381" s="13">
        <f>((((VLOOKUP(B381,Database!$A:$AS,MATCH($S$1,Database!$A$1:$AS$1,),))))-(((VLOOKUP(EDATE(B381,-12),Database!$A:$AS,MATCH($S$1,Database!$A$1:$AS$1,),)))))/(((VLOOKUP(EDATE(B381,-12),Database!$A:$AS,MATCH($S$1,Database!$A$1:$AS$1,),))))</f>
        <v/>
      </c>
      <c r="T381" s="13">
        <f>((((VLOOKUP(B381,Database!$A:$AS,MATCH($T$1,Database!$A$1:$AS$1,),))))-(((VLOOKUP(EDATE(B381,-12),Database!$A:$AS,MATCH($T$1,Database!$A$1:$AS$1,),)))))/(((VLOOKUP(EDATE(B381,-12),Database!$A:$AS,MATCH($T$1,Database!$A$1:$AS$1,),))))</f>
        <v/>
      </c>
      <c r="U381" s="13">
        <f>((((VLOOKUP(B381,Database!$A:$AS,MATCH($U$1,Database!$A$1:$AS$1,),))))-(((VLOOKUP(EDATE(B381,-12),Database!$A:$AS,MATCH($U$1,Database!$A$1:$AS$1,),)))))/(((VLOOKUP(EDATE(B381,-12),Database!$A:$AS,MATCH($U$1,Database!$A$1:$AS$1,),))))</f>
        <v/>
      </c>
      <c r="V381" s="13">
        <f>((((VLOOKUP(B381,Database!$A:$AS,MATCH($V$1,Database!$A$1:$AS$1,),))))-(((VLOOKUP(EDATE(B381,-12),Database!$A:$AS,MATCH($V$1,Database!$A$1:$AS$1,),)))))/(((VLOOKUP(EDATE(B381,-12),Database!$A:$AS,MATCH($V$1,Database!$A$1:$AS$1,),))))</f>
        <v/>
      </c>
    </row>
    <row r="382" customFormat="1" s="94">
      <c r="B382" s="85" t="n">
        <v>43770</v>
      </c>
      <c r="C382" s="13">
        <f>((((VLOOKUP(B382,Database!$A:$AS,MATCH($C$1,Database!$A$1:$AS$1,),))))-(((VLOOKUP(EDATE(B382,-12),Database!$A:$AS,MATCH($C$1,Database!$A$1:$AS$1,),)))))/(((VLOOKUP(EDATE(B382,-12),Database!$A:$AS,MATCH($C$1,Database!$A$1:$AS$1,),))))</f>
        <v/>
      </c>
      <c r="D382" s="13">
        <f>((((VLOOKUP(B382,Database!$A:$AS,MATCH($D$1,Database!$A$1:$AS$1,),))))-(((VLOOKUP(EDATE(B382,-12),Database!$A:$AS,MATCH($D$1,Database!$A$1:$AS$1,),)))))/(((VLOOKUP(EDATE(B382,-12),Database!$A:$AS,MATCH($D$1,Database!$A$1:$AS$1,),))))</f>
        <v/>
      </c>
      <c r="E382" s="13">
        <f>((((VLOOKUP(B382,Database!$A:$AS,MATCH($E$1,Database!$A$1:$AS$1,),))))-(((VLOOKUP(EDATE(B382,-12),Database!$A:$AS,MATCH($E$1,Database!$A$1:$AS$1,),)))))/(((VLOOKUP(EDATE(B382,-12),Database!$A:$AS,MATCH($E$1,Database!$A$1:$AS$1,),))))</f>
        <v/>
      </c>
      <c r="F382" s="13">
        <f>((((VLOOKUP(B382,Database!$A:$AS,MATCH($F$1,Database!$A$1:$AS$1,),))))-(((VLOOKUP(EDATE(B382,-12),Database!$A:$AS,MATCH($F$1,Database!$A$1:$AS$1,),)))))/(((VLOOKUP(EDATE(B382,-12),Database!$A:$AS,MATCH($F$1,Database!$A$1:$AS$1,),))))</f>
        <v/>
      </c>
      <c r="G382" s="13">
        <f>((((VLOOKUP(B382,Database!$A:$AS,MATCH($G$1,Database!$A$1:$AS$1,),))))-(((VLOOKUP(EDATE(B382,-12),Database!$A:$AS,MATCH($G$1,Database!$A$1:$AS$1,),)))))/(((VLOOKUP(EDATE(B382,-12),Database!$A:$AS,MATCH($G$1,Database!$A$1:$AS$1,),))))</f>
        <v/>
      </c>
      <c r="H382" s="13">
        <f>((((VLOOKUP(B382,Database!$A:$AS,MATCH($H$1,Database!$A$1:$AS$1,),))))-(((VLOOKUP(EDATE(B382,-12),Database!$A:$AS,MATCH($H$1,Database!$A$1:$AS$1,),)))))/(((VLOOKUP(EDATE(B382,-12),Database!$A:$AS,MATCH($H$1,Database!$A$1:$AS$1,),))))</f>
        <v/>
      </c>
      <c r="I382" s="13">
        <f>((((VLOOKUP(B382,Database!$A:$AS,MATCH($I$1,Database!$A$1:$AS$1,),))))-(((VLOOKUP(EDATE(B382,-12),Database!$A:$AS,MATCH($I$1,Database!$A$1:$AS$1,),)))))/(((VLOOKUP(EDATE(B382,-12),Database!$A:$AS,MATCH($I$1,Database!$A$1:$AS$1,),))))</f>
        <v/>
      </c>
      <c r="J382" s="13">
        <f>((((VLOOKUP(B382,Database!$A:$AS,MATCH($J$1,Database!$A$1:$AS$1,),))))-(((VLOOKUP(EDATE(B382,-12),Database!$A:$AS,MATCH($J$1,Database!$A$1:$AS$1,),)))))/(((VLOOKUP(EDATE(B382,-12),Database!$A:$AS,MATCH($J$1,Database!$A$1:$AS$1,),))))</f>
        <v/>
      </c>
      <c r="K382" s="13">
        <f>((((VLOOKUP(B382,Database!$A:$AS,MATCH($K$1,Database!$A$1:$AS$1,),))))-(((VLOOKUP(EDATE(B382,-12),Database!$A:$AS,MATCH($K$1,Database!$A$1:$AS$1,),)))))/(((VLOOKUP(EDATE(B382,-12),Database!$A:$AS,MATCH($K$1,Database!$A$1:$AS$1,),))))</f>
        <v/>
      </c>
      <c r="L382" s="13" t="n"/>
      <c r="M382" s="13" t="n"/>
      <c r="N382" s="13" t="n"/>
      <c r="O382" s="13">
        <f>((((VLOOKUP(B382,Database!$A:$AS,MATCH($O$1,Database!$A$1:$AS$1,),))))-(((VLOOKUP(EDATE(B382,-12),Database!$A:$AS,MATCH($O$1,Database!$A$1:$AS$1,),)))))/(((VLOOKUP(EDATE(B382,-12),Database!$A:$AS,MATCH($O$1,Database!$A$1:$AS$1,),))))</f>
        <v/>
      </c>
      <c r="P382" s="13">
        <f>((((VLOOKUP(B382,Database!$A:$AS,MATCH($P$1,Database!$A$1:$AS$1,),))))-(((VLOOKUP(EDATE(B382,-12),Database!$A:$AS,MATCH($P$1,Database!$A$1:$AS$1,),)))))/(((VLOOKUP(EDATE(B382,-12),Database!$A:$AS,MATCH($P$1,Database!$A$1:$AS$1,),))))</f>
        <v/>
      </c>
      <c r="Q382" s="13">
        <f>((((VLOOKUP(B382,Database!$A:$AS,MATCH($Q$1,Database!$A$1:$AS$1,),))))-(((VLOOKUP(EDATE(B382,-12),Database!$A:$AS,MATCH($Q$1,Database!$A$1:$AS$1,),)))))/(((VLOOKUP(EDATE(B382,-12),Database!$A:$AS,MATCH($Q$1,Database!$A$1:$AS$1,),))))</f>
        <v/>
      </c>
      <c r="R382" s="13">
        <f>((((VLOOKUP(B382,Database!$A:$AS,MATCH($R$1,Database!$A$1:$AS$1,),))))-(((VLOOKUP(EDATE(B382,-12),Database!$A:$AS,MATCH($R$1,Database!$A$1:$AS$1,),)))))/(((VLOOKUP(EDATE(B382,-12),Database!$A:$AS,MATCH($R$1,Database!$A$1:$AS$1,),))))</f>
        <v/>
      </c>
      <c r="S382" s="13">
        <f>((((VLOOKUP(B382,Database!$A:$AS,MATCH($S$1,Database!$A$1:$AS$1,),))))-(((VLOOKUP(EDATE(B382,-12),Database!$A:$AS,MATCH($S$1,Database!$A$1:$AS$1,),)))))/(((VLOOKUP(EDATE(B382,-12),Database!$A:$AS,MATCH($S$1,Database!$A$1:$AS$1,),))))</f>
        <v/>
      </c>
      <c r="T382" s="13">
        <f>((((VLOOKUP(B382,Database!$A:$AS,MATCH($T$1,Database!$A$1:$AS$1,),))))-(((VLOOKUP(EDATE(B382,-12),Database!$A:$AS,MATCH($T$1,Database!$A$1:$AS$1,),)))))/(((VLOOKUP(EDATE(B382,-12),Database!$A:$AS,MATCH($T$1,Database!$A$1:$AS$1,),))))</f>
        <v/>
      </c>
      <c r="U382" s="13">
        <f>((((VLOOKUP(B382,Database!$A:$AS,MATCH($U$1,Database!$A$1:$AS$1,),))))-(((VLOOKUP(EDATE(B382,-12),Database!$A:$AS,MATCH($U$1,Database!$A$1:$AS$1,),)))))/(((VLOOKUP(EDATE(B382,-12),Database!$A:$AS,MATCH($U$1,Database!$A$1:$AS$1,),))))</f>
        <v/>
      </c>
      <c r="V382" s="13">
        <f>((((VLOOKUP(B382,Database!$A:$AS,MATCH($V$1,Database!$A$1:$AS$1,),))))-(((VLOOKUP(EDATE(B382,-12),Database!$A:$AS,MATCH($V$1,Database!$A$1:$AS$1,),)))))/(((VLOOKUP(EDATE(B382,-12),Database!$A:$AS,MATCH($V$1,Database!$A$1:$AS$1,),))))</f>
        <v/>
      </c>
    </row>
    <row r="383" customFormat="1" s="94">
      <c r="B383" s="85" t="n">
        <v>43800</v>
      </c>
      <c r="C383" s="13">
        <f>((((VLOOKUP(B383,Database!$A:$AS,MATCH($C$1,Database!$A$1:$AS$1,),))))-(((VLOOKUP(EDATE(B383,-12),Database!$A:$AS,MATCH($C$1,Database!$A$1:$AS$1,),)))))/(((VLOOKUP(EDATE(B383,-12),Database!$A:$AS,MATCH($C$1,Database!$A$1:$AS$1,),))))</f>
        <v/>
      </c>
      <c r="D383" s="13">
        <f>((((VLOOKUP(B383,Database!$A:$AS,MATCH($D$1,Database!$A$1:$AS$1,),))))-(((VLOOKUP(EDATE(B383,-12),Database!$A:$AS,MATCH($D$1,Database!$A$1:$AS$1,),)))))/(((VLOOKUP(EDATE(B383,-12),Database!$A:$AS,MATCH($D$1,Database!$A$1:$AS$1,),))))</f>
        <v/>
      </c>
      <c r="E383" s="13">
        <f>((((VLOOKUP(B383,Database!$A:$AS,MATCH($E$1,Database!$A$1:$AS$1,),))))-(((VLOOKUP(EDATE(B383,-12),Database!$A:$AS,MATCH($E$1,Database!$A$1:$AS$1,),)))))/(((VLOOKUP(EDATE(B383,-12),Database!$A:$AS,MATCH($E$1,Database!$A$1:$AS$1,),))))</f>
        <v/>
      </c>
      <c r="F383" s="13">
        <f>((((VLOOKUP(B383,Database!$A:$AS,MATCH($F$1,Database!$A$1:$AS$1,),))))-(((VLOOKUP(EDATE(B383,-12),Database!$A:$AS,MATCH($F$1,Database!$A$1:$AS$1,),)))))/(((VLOOKUP(EDATE(B383,-12),Database!$A:$AS,MATCH($F$1,Database!$A$1:$AS$1,),))))</f>
        <v/>
      </c>
      <c r="G383" s="13">
        <f>((((VLOOKUP(B383,Database!$A:$AS,MATCH($G$1,Database!$A$1:$AS$1,),))))-(((VLOOKUP(EDATE(B383,-12),Database!$A:$AS,MATCH($G$1,Database!$A$1:$AS$1,),)))))/(((VLOOKUP(EDATE(B383,-12),Database!$A:$AS,MATCH($G$1,Database!$A$1:$AS$1,),))))</f>
        <v/>
      </c>
      <c r="H383" s="13">
        <f>((((VLOOKUP(B383,Database!$A:$AS,MATCH($H$1,Database!$A$1:$AS$1,),))))-(((VLOOKUP(EDATE(B383,-12),Database!$A:$AS,MATCH($H$1,Database!$A$1:$AS$1,),)))))/(((VLOOKUP(EDATE(B383,-12),Database!$A:$AS,MATCH($H$1,Database!$A$1:$AS$1,),))))</f>
        <v/>
      </c>
      <c r="I383" s="13">
        <f>((((VLOOKUP(B383,Database!$A:$AS,MATCH($I$1,Database!$A$1:$AS$1,),))))-(((VLOOKUP(EDATE(B383,-12),Database!$A:$AS,MATCH($I$1,Database!$A$1:$AS$1,),)))))/(((VLOOKUP(EDATE(B383,-12),Database!$A:$AS,MATCH($I$1,Database!$A$1:$AS$1,),))))</f>
        <v/>
      </c>
      <c r="J383" s="13">
        <f>((((VLOOKUP(B383,Database!$A:$AS,MATCH($J$1,Database!$A$1:$AS$1,),))))-(((VLOOKUP(EDATE(B383,-12),Database!$A:$AS,MATCH($J$1,Database!$A$1:$AS$1,),)))))/(((VLOOKUP(EDATE(B383,-12),Database!$A:$AS,MATCH($J$1,Database!$A$1:$AS$1,),))))</f>
        <v/>
      </c>
      <c r="K383" s="13">
        <f>((((VLOOKUP(B383,Database!$A:$AS,MATCH($K$1,Database!$A$1:$AS$1,),))))-(((VLOOKUP(EDATE(B383,-12),Database!$A:$AS,MATCH($K$1,Database!$A$1:$AS$1,),)))))/(((VLOOKUP(EDATE(B383,-12),Database!$A:$AS,MATCH($K$1,Database!$A$1:$AS$1,),))))</f>
        <v/>
      </c>
      <c r="L383" s="13" t="n"/>
      <c r="M383" s="13" t="n"/>
      <c r="N383" s="13" t="n"/>
      <c r="O383" s="13">
        <f>((((VLOOKUP(B383,Database!$A:$AS,MATCH($O$1,Database!$A$1:$AS$1,),))))-(((VLOOKUP(EDATE(B383,-12),Database!$A:$AS,MATCH($O$1,Database!$A$1:$AS$1,),)))))/(((VLOOKUP(EDATE(B383,-12),Database!$A:$AS,MATCH($O$1,Database!$A$1:$AS$1,),))))</f>
        <v/>
      </c>
      <c r="P383" s="13">
        <f>((((VLOOKUP(B383,Database!$A:$AS,MATCH($P$1,Database!$A$1:$AS$1,),))))-(((VLOOKUP(EDATE(B383,-12),Database!$A:$AS,MATCH($P$1,Database!$A$1:$AS$1,),)))))/(((VLOOKUP(EDATE(B383,-12),Database!$A:$AS,MATCH($P$1,Database!$A$1:$AS$1,),))))</f>
        <v/>
      </c>
      <c r="Q383" s="13">
        <f>((((VLOOKUP(B383,Database!$A:$AS,MATCH($Q$1,Database!$A$1:$AS$1,),))))-(((VLOOKUP(EDATE(B383,-12),Database!$A:$AS,MATCH($Q$1,Database!$A$1:$AS$1,),)))))/(((VLOOKUP(EDATE(B383,-12),Database!$A:$AS,MATCH($Q$1,Database!$A$1:$AS$1,),))))</f>
        <v/>
      </c>
      <c r="R383" s="13">
        <f>((((VLOOKUP(B383,Database!$A:$AS,MATCH($R$1,Database!$A$1:$AS$1,),))))-(((VLOOKUP(EDATE(B383,-12),Database!$A:$AS,MATCH($R$1,Database!$A$1:$AS$1,),)))))/(((VLOOKUP(EDATE(B383,-12),Database!$A:$AS,MATCH($R$1,Database!$A$1:$AS$1,),))))</f>
        <v/>
      </c>
      <c r="S383" s="13">
        <f>((((VLOOKUP(B383,Database!$A:$AS,MATCH($S$1,Database!$A$1:$AS$1,),))))-(((VLOOKUP(EDATE(B383,-12),Database!$A:$AS,MATCH($S$1,Database!$A$1:$AS$1,),)))))/(((VLOOKUP(EDATE(B383,-12),Database!$A:$AS,MATCH($S$1,Database!$A$1:$AS$1,),))))</f>
        <v/>
      </c>
      <c r="T383" s="13">
        <f>((((VLOOKUP(B383,Database!$A:$AS,MATCH($T$1,Database!$A$1:$AS$1,),))))-(((VLOOKUP(EDATE(B383,-12),Database!$A:$AS,MATCH($T$1,Database!$A$1:$AS$1,),)))))/(((VLOOKUP(EDATE(B383,-12),Database!$A:$AS,MATCH($T$1,Database!$A$1:$AS$1,),))))</f>
        <v/>
      </c>
      <c r="U383" s="13">
        <f>((((VLOOKUP(B383,Database!$A:$AS,MATCH($U$1,Database!$A$1:$AS$1,),))))-(((VLOOKUP(EDATE(B383,-12),Database!$A:$AS,MATCH($U$1,Database!$A$1:$AS$1,),)))))/(((VLOOKUP(EDATE(B383,-12),Database!$A:$AS,MATCH($U$1,Database!$A$1:$AS$1,),))))</f>
        <v/>
      </c>
      <c r="V383" s="13">
        <f>((((VLOOKUP(B383,Database!$A:$AS,MATCH($V$1,Database!$A$1:$AS$1,),))))-(((VLOOKUP(EDATE(B383,-12),Database!$A:$AS,MATCH($V$1,Database!$A$1:$AS$1,),)))))/(((VLOOKUP(EDATE(B383,-12),Database!$A:$AS,MATCH($V$1,Database!$A$1:$AS$1,),))))</f>
        <v/>
      </c>
    </row>
    <row r="384" customFormat="1" s="94">
      <c r="B384" s="85" t="n">
        <v>43831</v>
      </c>
      <c r="C384" s="13">
        <f>((((VLOOKUP(B384,Database!$A:$AS,MATCH($C$1,Database!$A$1:$AS$1,),))))-(((VLOOKUP(EDATE(B384,-12),Database!$A:$AS,MATCH($C$1,Database!$A$1:$AS$1,),)))))/(((VLOOKUP(EDATE(B384,-12),Database!$A:$AS,MATCH($C$1,Database!$A$1:$AS$1,),))))</f>
        <v/>
      </c>
      <c r="D384" s="13">
        <f>((((VLOOKUP(B384,Database!$A:$AS,MATCH($D$1,Database!$A$1:$AS$1,),))))-(((VLOOKUP(EDATE(B384,-12),Database!$A:$AS,MATCH($D$1,Database!$A$1:$AS$1,),)))))/(((VLOOKUP(EDATE(B384,-12),Database!$A:$AS,MATCH($D$1,Database!$A$1:$AS$1,),))))</f>
        <v/>
      </c>
      <c r="E384" s="13">
        <f>((((VLOOKUP(B384,Database!$A:$AS,MATCH($E$1,Database!$A$1:$AS$1,),))))-(((VLOOKUP(EDATE(B384,-12),Database!$A:$AS,MATCH($E$1,Database!$A$1:$AS$1,),)))))/(((VLOOKUP(EDATE(B384,-12),Database!$A:$AS,MATCH($E$1,Database!$A$1:$AS$1,),))))</f>
        <v/>
      </c>
      <c r="F384" s="13">
        <f>((((VLOOKUP(B384,Database!$A:$AS,MATCH($F$1,Database!$A$1:$AS$1,),))))-(((VLOOKUP(EDATE(B384,-12),Database!$A:$AS,MATCH($F$1,Database!$A$1:$AS$1,),)))))/(((VLOOKUP(EDATE(B384,-12),Database!$A:$AS,MATCH($F$1,Database!$A$1:$AS$1,),))))</f>
        <v/>
      </c>
      <c r="G384" s="13">
        <f>((((VLOOKUP(B384,Database!$A:$AS,MATCH($G$1,Database!$A$1:$AS$1,),))))-(((VLOOKUP(EDATE(B384,-12),Database!$A:$AS,MATCH($G$1,Database!$A$1:$AS$1,),)))))/(((VLOOKUP(EDATE(B384,-12),Database!$A:$AS,MATCH($G$1,Database!$A$1:$AS$1,),))))</f>
        <v/>
      </c>
      <c r="H384" s="13">
        <f>((((VLOOKUP(B384,Database!$A:$AS,MATCH($H$1,Database!$A$1:$AS$1,),))))-(((VLOOKUP(EDATE(B384,-12),Database!$A:$AS,MATCH($H$1,Database!$A$1:$AS$1,),)))))/(((VLOOKUP(EDATE(B384,-12),Database!$A:$AS,MATCH($H$1,Database!$A$1:$AS$1,),))))</f>
        <v/>
      </c>
      <c r="I384" s="13">
        <f>((((VLOOKUP(B384,Database!$A:$AS,MATCH($I$1,Database!$A$1:$AS$1,),))))-(((VLOOKUP(EDATE(B384,-12),Database!$A:$AS,MATCH($I$1,Database!$A$1:$AS$1,),)))))/(((VLOOKUP(EDATE(B384,-12),Database!$A:$AS,MATCH($I$1,Database!$A$1:$AS$1,),))))</f>
        <v/>
      </c>
      <c r="J384" s="13">
        <f>((((VLOOKUP(B384,Database!$A:$AS,MATCH($J$1,Database!$A$1:$AS$1,),))))-(((VLOOKUP(EDATE(B384,-12),Database!$A:$AS,MATCH($J$1,Database!$A$1:$AS$1,),)))))/(((VLOOKUP(EDATE(B384,-12),Database!$A:$AS,MATCH($J$1,Database!$A$1:$AS$1,),))))</f>
        <v/>
      </c>
      <c r="K384" s="13">
        <f>((((VLOOKUP(B384,Database!$A:$AS,MATCH($K$1,Database!$A$1:$AS$1,),))))-(((VLOOKUP(EDATE(B384,-12),Database!$A:$AS,MATCH($K$1,Database!$A$1:$AS$1,),)))))/(((VLOOKUP(EDATE(B384,-12),Database!$A:$AS,MATCH($K$1,Database!$A$1:$AS$1,),))))</f>
        <v/>
      </c>
      <c r="L384" s="13" t="n"/>
      <c r="M384" s="13" t="n"/>
      <c r="N384" s="13" t="n"/>
      <c r="O384" s="13">
        <f>((((VLOOKUP(B384,Database!$A:$AS,MATCH($O$1,Database!$A$1:$AS$1,),))))-(((VLOOKUP(EDATE(B384,-12),Database!$A:$AS,MATCH($O$1,Database!$A$1:$AS$1,),)))))/(((VLOOKUP(EDATE(B384,-12),Database!$A:$AS,MATCH($O$1,Database!$A$1:$AS$1,),))))</f>
        <v/>
      </c>
      <c r="P384" s="13">
        <f>((((VLOOKUP(B384,Database!$A:$AS,MATCH($P$1,Database!$A$1:$AS$1,),))))-(((VLOOKUP(EDATE(B384,-12),Database!$A:$AS,MATCH($P$1,Database!$A$1:$AS$1,),)))))/(((VLOOKUP(EDATE(B384,-12),Database!$A:$AS,MATCH($P$1,Database!$A$1:$AS$1,),))))</f>
        <v/>
      </c>
      <c r="Q384" s="13">
        <f>((((VLOOKUP(B384,Database!$A:$AS,MATCH($Q$1,Database!$A$1:$AS$1,),))))-(((VLOOKUP(EDATE(B384,-12),Database!$A:$AS,MATCH($Q$1,Database!$A$1:$AS$1,),)))))/(((VLOOKUP(EDATE(B384,-12),Database!$A:$AS,MATCH($Q$1,Database!$A$1:$AS$1,),))))</f>
        <v/>
      </c>
      <c r="R384" s="13">
        <f>((((VLOOKUP(B384,Database!$A:$AS,MATCH($R$1,Database!$A$1:$AS$1,),))))-(((VLOOKUP(EDATE(B384,-12),Database!$A:$AS,MATCH($R$1,Database!$A$1:$AS$1,),)))))/(((VLOOKUP(EDATE(B384,-12),Database!$A:$AS,MATCH($R$1,Database!$A$1:$AS$1,),))))</f>
        <v/>
      </c>
      <c r="S384" s="13">
        <f>((((VLOOKUP(B384,Database!$A:$AS,MATCH($S$1,Database!$A$1:$AS$1,),))))-(((VLOOKUP(EDATE(B384,-12),Database!$A:$AS,MATCH($S$1,Database!$A$1:$AS$1,),)))))/(((VLOOKUP(EDATE(B384,-12),Database!$A:$AS,MATCH($S$1,Database!$A$1:$AS$1,),))))</f>
        <v/>
      </c>
      <c r="T384" s="13">
        <f>((((VLOOKUP(B384,Database!$A:$AS,MATCH($T$1,Database!$A$1:$AS$1,),))))-(((VLOOKUP(EDATE(B384,-12),Database!$A:$AS,MATCH($T$1,Database!$A$1:$AS$1,),)))))/(((VLOOKUP(EDATE(B384,-12),Database!$A:$AS,MATCH($T$1,Database!$A$1:$AS$1,),))))</f>
        <v/>
      </c>
      <c r="U384" s="13">
        <f>((((VLOOKUP(B384,Database!$A:$AS,MATCH($U$1,Database!$A$1:$AS$1,),))))-(((VLOOKUP(EDATE(B384,-12),Database!$A:$AS,MATCH($U$1,Database!$A$1:$AS$1,),)))))/(((VLOOKUP(EDATE(B384,-12),Database!$A:$AS,MATCH($U$1,Database!$A$1:$AS$1,),))))</f>
        <v/>
      </c>
      <c r="V384" s="13">
        <f>((((VLOOKUP(B384,Database!$A:$AS,MATCH($V$1,Database!$A$1:$AS$1,),))))-(((VLOOKUP(EDATE(B384,-12),Database!$A:$AS,MATCH($V$1,Database!$A$1:$AS$1,),)))))/(((VLOOKUP(EDATE(B384,-12),Database!$A:$AS,MATCH($V$1,Database!$A$1:$AS$1,),))))</f>
        <v/>
      </c>
    </row>
    <row r="385" customFormat="1" s="94">
      <c r="B385" s="85" t="n">
        <v>43862</v>
      </c>
      <c r="C385" s="13">
        <f>((((VLOOKUP(B385,Database!$A:$AS,MATCH($C$1,Database!$A$1:$AS$1,),))))-(((VLOOKUP(EDATE(B385,-12),Database!$A:$AS,MATCH($C$1,Database!$A$1:$AS$1,),)))))/(((VLOOKUP(EDATE(B385,-12),Database!$A:$AS,MATCH($C$1,Database!$A$1:$AS$1,),))))</f>
        <v/>
      </c>
      <c r="D385" s="13">
        <f>((((VLOOKUP(B385,Database!$A:$AS,MATCH($D$1,Database!$A$1:$AS$1,),))))-(((VLOOKUP(EDATE(B385,-12),Database!$A:$AS,MATCH($D$1,Database!$A$1:$AS$1,),)))))/(((VLOOKUP(EDATE(B385,-12),Database!$A:$AS,MATCH($D$1,Database!$A$1:$AS$1,),))))</f>
        <v/>
      </c>
      <c r="E385" s="13">
        <f>((((VLOOKUP(B385,Database!$A:$AS,MATCH($E$1,Database!$A$1:$AS$1,),))))-(((VLOOKUP(EDATE(B385,-12),Database!$A:$AS,MATCH($E$1,Database!$A$1:$AS$1,),)))))/(((VLOOKUP(EDATE(B385,-12),Database!$A:$AS,MATCH($E$1,Database!$A$1:$AS$1,),))))</f>
        <v/>
      </c>
      <c r="F385" s="13">
        <f>((((VLOOKUP(B385,Database!$A:$AS,MATCH($F$1,Database!$A$1:$AS$1,),))))-(((VLOOKUP(EDATE(B385,-12),Database!$A:$AS,MATCH($F$1,Database!$A$1:$AS$1,),)))))/(((VLOOKUP(EDATE(B385,-12),Database!$A:$AS,MATCH($F$1,Database!$A$1:$AS$1,),))))</f>
        <v/>
      </c>
      <c r="G385" s="13">
        <f>((((VLOOKUP(B385,Database!$A:$AS,MATCH($G$1,Database!$A$1:$AS$1,),))))-(((VLOOKUP(EDATE(B385,-12),Database!$A:$AS,MATCH($G$1,Database!$A$1:$AS$1,),)))))/(((VLOOKUP(EDATE(B385,-12),Database!$A:$AS,MATCH($G$1,Database!$A$1:$AS$1,),))))</f>
        <v/>
      </c>
      <c r="H385" s="13">
        <f>((((VLOOKUP(B385,Database!$A:$AS,MATCH($H$1,Database!$A$1:$AS$1,),))))-(((VLOOKUP(EDATE(B385,-12),Database!$A:$AS,MATCH($H$1,Database!$A$1:$AS$1,),)))))/(((VLOOKUP(EDATE(B385,-12),Database!$A:$AS,MATCH($H$1,Database!$A$1:$AS$1,),))))</f>
        <v/>
      </c>
      <c r="I385" s="13">
        <f>((((VLOOKUP(B385,Database!$A:$AS,MATCH($I$1,Database!$A$1:$AS$1,),))))-(((VLOOKUP(EDATE(B385,-12),Database!$A:$AS,MATCH($I$1,Database!$A$1:$AS$1,),)))))/(((VLOOKUP(EDATE(B385,-12),Database!$A:$AS,MATCH($I$1,Database!$A$1:$AS$1,),))))</f>
        <v/>
      </c>
      <c r="J385" s="13">
        <f>((((VLOOKUP(B385,Database!$A:$AS,MATCH($J$1,Database!$A$1:$AS$1,),))))-(((VLOOKUP(EDATE(B385,-12),Database!$A:$AS,MATCH($J$1,Database!$A$1:$AS$1,),)))))/(((VLOOKUP(EDATE(B385,-12),Database!$A:$AS,MATCH($J$1,Database!$A$1:$AS$1,),))))</f>
        <v/>
      </c>
      <c r="K385" s="13">
        <f>((((VLOOKUP(B385,Database!$A:$AS,MATCH($K$1,Database!$A$1:$AS$1,),))))-(((VLOOKUP(EDATE(B385,-12),Database!$A:$AS,MATCH($K$1,Database!$A$1:$AS$1,),)))))/(((VLOOKUP(EDATE(B385,-12),Database!$A:$AS,MATCH($K$1,Database!$A$1:$AS$1,),))))</f>
        <v/>
      </c>
      <c r="L385" s="13" t="n"/>
      <c r="M385" s="13" t="n"/>
      <c r="N385" s="13" t="n"/>
      <c r="O385" s="13">
        <f>((((VLOOKUP(B385,Database!$A:$AS,MATCH($O$1,Database!$A$1:$AS$1,),))))-(((VLOOKUP(EDATE(B385,-12),Database!$A:$AS,MATCH($O$1,Database!$A$1:$AS$1,),)))))/(((VLOOKUP(EDATE(B385,-12),Database!$A:$AS,MATCH($O$1,Database!$A$1:$AS$1,),))))</f>
        <v/>
      </c>
      <c r="P385" s="13">
        <f>((((VLOOKUP(B385,Database!$A:$AS,MATCH($P$1,Database!$A$1:$AS$1,),))))-(((VLOOKUP(EDATE(B385,-12),Database!$A:$AS,MATCH($P$1,Database!$A$1:$AS$1,),)))))/(((VLOOKUP(EDATE(B385,-12),Database!$A:$AS,MATCH($P$1,Database!$A$1:$AS$1,),))))</f>
        <v/>
      </c>
      <c r="Q385" s="13">
        <f>((((VLOOKUP(B385,Database!$A:$AS,MATCH($Q$1,Database!$A$1:$AS$1,),))))-(((VLOOKUP(EDATE(B385,-12),Database!$A:$AS,MATCH($Q$1,Database!$A$1:$AS$1,),)))))/(((VLOOKUP(EDATE(B385,-12),Database!$A:$AS,MATCH($Q$1,Database!$A$1:$AS$1,),))))</f>
        <v/>
      </c>
      <c r="R385" s="13">
        <f>((((VLOOKUP(B385,Database!$A:$AS,MATCH($R$1,Database!$A$1:$AS$1,),))))-(((VLOOKUP(EDATE(B385,-12),Database!$A:$AS,MATCH($R$1,Database!$A$1:$AS$1,),)))))/(((VLOOKUP(EDATE(B385,-12),Database!$A:$AS,MATCH($R$1,Database!$A$1:$AS$1,),))))</f>
        <v/>
      </c>
      <c r="S385" s="13">
        <f>((((VLOOKUP(B385,Database!$A:$AS,MATCH($S$1,Database!$A$1:$AS$1,),))))-(((VLOOKUP(EDATE(B385,-12),Database!$A:$AS,MATCH($S$1,Database!$A$1:$AS$1,),)))))/(((VLOOKUP(EDATE(B385,-12),Database!$A:$AS,MATCH($S$1,Database!$A$1:$AS$1,),))))</f>
        <v/>
      </c>
      <c r="T385" s="13">
        <f>((((VLOOKUP(B385,Database!$A:$AS,MATCH($T$1,Database!$A$1:$AS$1,),))))-(((VLOOKUP(EDATE(B385,-12),Database!$A:$AS,MATCH($T$1,Database!$A$1:$AS$1,),)))))/(((VLOOKUP(EDATE(B385,-12),Database!$A:$AS,MATCH($T$1,Database!$A$1:$AS$1,),))))</f>
        <v/>
      </c>
      <c r="U385" s="13">
        <f>((((VLOOKUP(B385,Database!$A:$AS,MATCH($U$1,Database!$A$1:$AS$1,),))))-(((VLOOKUP(EDATE(B385,-12),Database!$A:$AS,MATCH($U$1,Database!$A$1:$AS$1,),)))))/(((VLOOKUP(EDATE(B385,-12),Database!$A:$AS,MATCH($U$1,Database!$A$1:$AS$1,),))))</f>
        <v/>
      </c>
      <c r="V385" s="13">
        <f>((((VLOOKUP(B385,Database!$A:$AS,MATCH($V$1,Database!$A$1:$AS$1,),))))-(((VLOOKUP(EDATE(B385,-12),Database!$A:$AS,MATCH($V$1,Database!$A$1:$AS$1,),)))))/(((VLOOKUP(EDATE(B385,-12),Database!$A:$AS,MATCH($V$1,Database!$A$1:$AS$1,),))))</f>
        <v/>
      </c>
    </row>
    <row r="386" customFormat="1" s="94">
      <c r="B386" s="85" t="n">
        <v>43891</v>
      </c>
      <c r="C386" s="13">
        <f>((((VLOOKUP(B386,Database!$A:$AS,MATCH($C$1,Database!$A$1:$AS$1,),))))-(((VLOOKUP(EDATE(B386,-12),Database!$A:$AS,MATCH($C$1,Database!$A$1:$AS$1,),)))))/(((VLOOKUP(EDATE(B386,-12),Database!$A:$AS,MATCH($C$1,Database!$A$1:$AS$1,),))))</f>
        <v/>
      </c>
      <c r="D386" s="13">
        <f>((((VLOOKUP(B386,Database!$A:$AS,MATCH($D$1,Database!$A$1:$AS$1,),))))-(((VLOOKUP(EDATE(B386,-12),Database!$A:$AS,MATCH($D$1,Database!$A$1:$AS$1,),)))))/(((VLOOKUP(EDATE(B386,-12),Database!$A:$AS,MATCH($D$1,Database!$A$1:$AS$1,),))))</f>
        <v/>
      </c>
      <c r="E386" s="13">
        <f>((((VLOOKUP(B386,Database!$A:$AS,MATCH($E$1,Database!$A$1:$AS$1,),))))-(((VLOOKUP(EDATE(B386,-12),Database!$A:$AS,MATCH($E$1,Database!$A$1:$AS$1,),)))))/(((VLOOKUP(EDATE(B386,-12),Database!$A:$AS,MATCH($E$1,Database!$A$1:$AS$1,),))))</f>
        <v/>
      </c>
      <c r="F386" s="13">
        <f>((((VLOOKUP(B386,Database!$A:$AS,MATCH($F$1,Database!$A$1:$AS$1,),))))-(((VLOOKUP(EDATE(B386,-12),Database!$A:$AS,MATCH($F$1,Database!$A$1:$AS$1,),)))))/(((VLOOKUP(EDATE(B386,-12),Database!$A:$AS,MATCH($F$1,Database!$A$1:$AS$1,),))))</f>
        <v/>
      </c>
      <c r="G386" s="13">
        <f>((((VLOOKUP(B386,Database!$A:$AS,MATCH($G$1,Database!$A$1:$AS$1,),))))-(((VLOOKUP(EDATE(B386,-12),Database!$A:$AS,MATCH($G$1,Database!$A$1:$AS$1,),)))))/(((VLOOKUP(EDATE(B386,-12),Database!$A:$AS,MATCH($G$1,Database!$A$1:$AS$1,),))))</f>
        <v/>
      </c>
      <c r="H386" s="13">
        <f>((((VLOOKUP(B386,Database!$A:$AS,MATCH($H$1,Database!$A$1:$AS$1,),))))-(((VLOOKUP(EDATE(B386,-12),Database!$A:$AS,MATCH($H$1,Database!$A$1:$AS$1,),)))))/(((VLOOKUP(EDATE(B386,-12),Database!$A:$AS,MATCH($H$1,Database!$A$1:$AS$1,),))))</f>
        <v/>
      </c>
      <c r="I386" s="13">
        <f>((((VLOOKUP(B386,Database!$A:$AS,MATCH($I$1,Database!$A$1:$AS$1,),))))-(((VLOOKUP(EDATE(B386,-12),Database!$A:$AS,MATCH($I$1,Database!$A$1:$AS$1,),)))))/(((VLOOKUP(EDATE(B386,-12),Database!$A:$AS,MATCH($I$1,Database!$A$1:$AS$1,),))))</f>
        <v/>
      </c>
      <c r="J386" s="13">
        <f>((((VLOOKUP(B386,Database!$A:$AS,MATCH($J$1,Database!$A$1:$AS$1,),))))-(((VLOOKUP(EDATE(B386,-12),Database!$A:$AS,MATCH($J$1,Database!$A$1:$AS$1,),)))))/(((VLOOKUP(EDATE(B386,-12),Database!$A:$AS,MATCH($J$1,Database!$A$1:$AS$1,),))))</f>
        <v/>
      </c>
      <c r="K386" s="13">
        <f>((((VLOOKUP(B386,Database!$A:$AS,MATCH($K$1,Database!$A$1:$AS$1,),))))-(((VLOOKUP(EDATE(B386,-12),Database!$A:$AS,MATCH($K$1,Database!$A$1:$AS$1,),)))))/(((VLOOKUP(EDATE(B386,-12),Database!$A:$AS,MATCH($K$1,Database!$A$1:$AS$1,),))))</f>
        <v/>
      </c>
      <c r="L386" s="13" t="n"/>
      <c r="M386" s="13" t="n"/>
      <c r="N386" s="13" t="n"/>
      <c r="O386" s="13">
        <f>((((VLOOKUP(B386,Database!$A:$AS,MATCH($O$1,Database!$A$1:$AS$1,),))))-(((VLOOKUP(EDATE(B386,-12),Database!$A:$AS,MATCH($O$1,Database!$A$1:$AS$1,),)))))/(((VLOOKUP(EDATE(B386,-12),Database!$A:$AS,MATCH($O$1,Database!$A$1:$AS$1,),))))</f>
        <v/>
      </c>
      <c r="P386" s="13">
        <f>((((VLOOKUP(B386,Database!$A:$AS,MATCH($P$1,Database!$A$1:$AS$1,),))))-(((VLOOKUP(EDATE(B386,-12),Database!$A:$AS,MATCH($P$1,Database!$A$1:$AS$1,),)))))/(((VLOOKUP(EDATE(B386,-12),Database!$A:$AS,MATCH($P$1,Database!$A$1:$AS$1,),))))</f>
        <v/>
      </c>
      <c r="Q386" s="13">
        <f>((((VLOOKUP(B386,Database!$A:$AS,MATCH($Q$1,Database!$A$1:$AS$1,),))))-(((VLOOKUP(EDATE(B386,-12),Database!$A:$AS,MATCH($Q$1,Database!$A$1:$AS$1,),)))))/(((VLOOKUP(EDATE(B386,-12),Database!$A:$AS,MATCH($Q$1,Database!$A$1:$AS$1,),))))</f>
        <v/>
      </c>
      <c r="R386" s="13">
        <f>((((VLOOKUP(B386,Database!$A:$AS,MATCH($R$1,Database!$A$1:$AS$1,),))))-(((VLOOKUP(EDATE(B386,-12),Database!$A:$AS,MATCH($R$1,Database!$A$1:$AS$1,),)))))/(((VLOOKUP(EDATE(B386,-12),Database!$A:$AS,MATCH($R$1,Database!$A$1:$AS$1,),))))</f>
        <v/>
      </c>
      <c r="S386" s="13">
        <f>((((VLOOKUP(B386,Database!$A:$AS,MATCH($S$1,Database!$A$1:$AS$1,),))))-(((VLOOKUP(EDATE(B386,-12),Database!$A:$AS,MATCH($S$1,Database!$A$1:$AS$1,),)))))/(((VLOOKUP(EDATE(B386,-12),Database!$A:$AS,MATCH($S$1,Database!$A$1:$AS$1,),))))</f>
        <v/>
      </c>
      <c r="T386" s="13">
        <f>((((VLOOKUP(B386,Database!$A:$AS,MATCH($T$1,Database!$A$1:$AS$1,),))))-(((VLOOKUP(EDATE(B386,-12),Database!$A:$AS,MATCH($T$1,Database!$A$1:$AS$1,),)))))/(((VLOOKUP(EDATE(B386,-12),Database!$A:$AS,MATCH($T$1,Database!$A$1:$AS$1,),))))</f>
        <v/>
      </c>
      <c r="U386" s="13">
        <f>((((VLOOKUP(B386,Database!$A:$AS,MATCH($U$1,Database!$A$1:$AS$1,),))))-(((VLOOKUP(EDATE(B386,-12),Database!$A:$AS,MATCH($U$1,Database!$A$1:$AS$1,),)))))/(((VLOOKUP(EDATE(B386,-12),Database!$A:$AS,MATCH($U$1,Database!$A$1:$AS$1,),))))</f>
        <v/>
      </c>
      <c r="V386" s="13">
        <f>((((VLOOKUP(B386,Database!$A:$AS,MATCH($V$1,Database!$A$1:$AS$1,),))))-(((VLOOKUP(EDATE(B386,-12),Database!$A:$AS,MATCH($V$1,Database!$A$1:$AS$1,),)))))/(((VLOOKUP(EDATE(B386,-12),Database!$A:$AS,MATCH($V$1,Database!$A$1:$AS$1,),))))</f>
        <v/>
      </c>
    </row>
    <row r="387" customFormat="1" s="94">
      <c r="B387" s="85" t="n">
        <v>43922</v>
      </c>
      <c r="C387" s="13">
        <f>((((VLOOKUP(B387,Database!$A:$AS,MATCH($C$1,Database!$A$1:$AS$1,),))))-(((VLOOKUP(EDATE(B387,-12),Database!$A:$AS,MATCH($C$1,Database!$A$1:$AS$1,),)))))/(((VLOOKUP(EDATE(B387,-12),Database!$A:$AS,MATCH($C$1,Database!$A$1:$AS$1,),))))</f>
        <v/>
      </c>
      <c r="D387" s="13">
        <f>((((VLOOKUP(B387,Database!$A:$AS,MATCH($D$1,Database!$A$1:$AS$1,),))))-(((VLOOKUP(EDATE(B387,-12),Database!$A:$AS,MATCH($D$1,Database!$A$1:$AS$1,),)))))/(((VLOOKUP(EDATE(B387,-12),Database!$A:$AS,MATCH($D$1,Database!$A$1:$AS$1,),))))</f>
        <v/>
      </c>
      <c r="E387" s="13">
        <f>((((VLOOKUP(B387,Database!$A:$AS,MATCH($E$1,Database!$A$1:$AS$1,),))))-(((VLOOKUP(EDATE(B387,-12),Database!$A:$AS,MATCH($E$1,Database!$A$1:$AS$1,),)))))/(((VLOOKUP(EDATE(B387,-12),Database!$A:$AS,MATCH($E$1,Database!$A$1:$AS$1,),))))</f>
        <v/>
      </c>
      <c r="F387" s="13">
        <f>((((VLOOKUP(B387,Database!$A:$AS,MATCH($F$1,Database!$A$1:$AS$1,),))))-(((VLOOKUP(EDATE(B387,-12),Database!$A:$AS,MATCH($F$1,Database!$A$1:$AS$1,),)))))/(((VLOOKUP(EDATE(B387,-12),Database!$A:$AS,MATCH($F$1,Database!$A$1:$AS$1,),))))</f>
        <v/>
      </c>
      <c r="G387" s="13">
        <f>((((VLOOKUP(B387,Database!$A:$AS,MATCH($G$1,Database!$A$1:$AS$1,),))))-(((VLOOKUP(EDATE(B387,-12),Database!$A:$AS,MATCH($G$1,Database!$A$1:$AS$1,),)))))/(((VLOOKUP(EDATE(B387,-12),Database!$A:$AS,MATCH($G$1,Database!$A$1:$AS$1,),))))</f>
        <v/>
      </c>
      <c r="H387" s="13">
        <f>((((VLOOKUP(B387,Database!$A:$AS,MATCH($H$1,Database!$A$1:$AS$1,),))))-(((VLOOKUP(EDATE(B387,-12),Database!$A:$AS,MATCH($H$1,Database!$A$1:$AS$1,),)))))/(((VLOOKUP(EDATE(B387,-12),Database!$A:$AS,MATCH($H$1,Database!$A$1:$AS$1,),))))</f>
        <v/>
      </c>
      <c r="I387" s="13">
        <f>((((VLOOKUP(B387,Database!$A:$AS,MATCH($I$1,Database!$A$1:$AS$1,),))))-(((VLOOKUP(EDATE(B387,-12),Database!$A:$AS,MATCH($I$1,Database!$A$1:$AS$1,),)))))/(((VLOOKUP(EDATE(B387,-12),Database!$A:$AS,MATCH($I$1,Database!$A$1:$AS$1,),))))</f>
        <v/>
      </c>
      <c r="J387" s="13">
        <f>((((VLOOKUP(B387,Database!$A:$AS,MATCH($J$1,Database!$A$1:$AS$1,),))))-(((VLOOKUP(EDATE(B387,-12),Database!$A:$AS,MATCH($J$1,Database!$A$1:$AS$1,),)))))/(((VLOOKUP(EDATE(B387,-12),Database!$A:$AS,MATCH($J$1,Database!$A$1:$AS$1,),))))</f>
        <v/>
      </c>
      <c r="K387" s="13">
        <f>((((VLOOKUP(B387,Database!$A:$AS,MATCH($K$1,Database!$A$1:$AS$1,),))))-(((VLOOKUP(EDATE(B387,-12),Database!$A:$AS,MATCH($K$1,Database!$A$1:$AS$1,),)))))/(((VLOOKUP(EDATE(B387,-12),Database!$A:$AS,MATCH($K$1,Database!$A$1:$AS$1,),))))</f>
        <v/>
      </c>
      <c r="L387" s="13" t="n"/>
      <c r="M387" s="13" t="n"/>
      <c r="N387" s="13" t="n"/>
      <c r="O387" s="13">
        <f>((((VLOOKUP(B387,Database!$A:$AS,MATCH($O$1,Database!$A$1:$AS$1,),))))-(((VLOOKUP(EDATE(B387,-12),Database!$A:$AS,MATCH($O$1,Database!$A$1:$AS$1,),)))))/(((VLOOKUP(EDATE(B387,-12),Database!$A:$AS,MATCH($O$1,Database!$A$1:$AS$1,),))))</f>
        <v/>
      </c>
      <c r="P387" s="13">
        <f>((((VLOOKUP(B387,Database!$A:$AS,MATCH($P$1,Database!$A$1:$AS$1,),))))-(((VLOOKUP(EDATE(B387,-12),Database!$A:$AS,MATCH($P$1,Database!$A$1:$AS$1,),)))))/(((VLOOKUP(EDATE(B387,-12),Database!$A:$AS,MATCH($P$1,Database!$A$1:$AS$1,),))))</f>
        <v/>
      </c>
      <c r="Q387" s="13">
        <f>((((VLOOKUP(B387,Database!$A:$AS,MATCH($Q$1,Database!$A$1:$AS$1,),))))-(((VLOOKUP(EDATE(B387,-12),Database!$A:$AS,MATCH($Q$1,Database!$A$1:$AS$1,),)))))/(((VLOOKUP(EDATE(B387,-12),Database!$A:$AS,MATCH($Q$1,Database!$A$1:$AS$1,),))))</f>
        <v/>
      </c>
      <c r="R387" s="13">
        <f>((((VLOOKUP(B387,Database!$A:$AS,MATCH($R$1,Database!$A$1:$AS$1,),))))-(((VLOOKUP(EDATE(B387,-12),Database!$A:$AS,MATCH($R$1,Database!$A$1:$AS$1,),)))))/(((VLOOKUP(EDATE(B387,-12),Database!$A:$AS,MATCH($R$1,Database!$A$1:$AS$1,),))))</f>
        <v/>
      </c>
      <c r="S387" s="13">
        <f>((((VLOOKUP(B387,Database!$A:$AS,MATCH($S$1,Database!$A$1:$AS$1,),))))-(((VLOOKUP(EDATE(B387,-12),Database!$A:$AS,MATCH($S$1,Database!$A$1:$AS$1,),)))))/(((VLOOKUP(EDATE(B387,-12),Database!$A:$AS,MATCH($S$1,Database!$A$1:$AS$1,),))))</f>
        <v/>
      </c>
      <c r="T387" s="13">
        <f>((((VLOOKUP(B387,Database!$A:$AS,MATCH($T$1,Database!$A$1:$AS$1,),))))-(((VLOOKUP(EDATE(B387,-12),Database!$A:$AS,MATCH($T$1,Database!$A$1:$AS$1,),)))))/(((VLOOKUP(EDATE(B387,-12),Database!$A:$AS,MATCH($T$1,Database!$A$1:$AS$1,),))))</f>
        <v/>
      </c>
      <c r="U387" s="13">
        <f>((((VLOOKUP(B387,Database!$A:$AS,MATCH($U$1,Database!$A$1:$AS$1,),))))-(((VLOOKUP(EDATE(B387,-12),Database!$A:$AS,MATCH($U$1,Database!$A$1:$AS$1,),)))))/(((VLOOKUP(EDATE(B387,-12),Database!$A:$AS,MATCH($U$1,Database!$A$1:$AS$1,),))))</f>
        <v/>
      </c>
      <c r="V387" s="13">
        <f>((((VLOOKUP(B387,Database!$A:$AS,MATCH($V$1,Database!$A$1:$AS$1,),))))-(((VLOOKUP(EDATE(B387,-12),Database!$A:$AS,MATCH($V$1,Database!$A$1:$AS$1,),)))))/(((VLOOKUP(EDATE(B387,-12),Database!$A:$AS,MATCH($V$1,Database!$A$1:$AS$1,),))))</f>
        <v/>
      </c>
    </row>
    <row r="388" customFormat="1" s="94">
      <c r="B388" s="85" t="n">
        <v>43952</v>
      </c>
      <c r="C388" s="13">
        <f>((((VLOOKUP(B388,Database!$A:$AS,MATCH($C$1,Database!$A$1:$AS$1,),))))-(((VLOOKUP(EDATE(B388,-12),Database!$A:$AS,MATCH($C$1,Database!$A$1:$AS$1,),)))))/(((VLOOKUP(EDATE(B388,-12),Database!$A:$AS,MATCH($C$1,Database!$A$1:$AS$1,),))))</f>
        <v/>
      </c>
      <c r="D388" s="13">
        <f>((((VLOOKUP(B388,Database!$A:$AS,MATCH($D$1,Database!$A$1:$AS$1,),))))-(((VLOOKUP(EDATE(B388,-12),Database!$A:$AS,MATCH($D$1,Database!$A$1:$AS$1,),)))))/(((VLOOKUP(EDATE(B388,-12),Database!$A:$AS,MATCH($D$1,Database!$A$1:$AS$1,),))))</f>
        <v/>
      </c>
      <c r="E388" s="13">
        <f>((((VLOOKUP(B388,Database!$A:$AS,MATCH($E$1,Database!$A$1:$AS$1,),))))-(((VLOOKUP(EDATE(B388,-12),Database!$A:$AS,MATCH($E$1,Database!$A$1:$AS$1,),)))))/(((VLOOKUP(EDATE(B388,-12),Database!$A:$AS,MATCH($E$1,Database!$A$1:$AS$1,),))))</f>
        <v/>
      </c>
      <c r="F388" s="13">
        <f>((((VLOOKUP(B388,Database!$A:$AS,MATCH($F$1,Database!$A$1:$AS$1,),))))-(((VLOOKUP(EDATE(B388,-12),Database!$A:$AS,MATCH($F$1,Database!$A$1:$AS$1,),)))))/(((VLOOKUP(EDATE(B388,-12),Database!$A:$AS,MATCH($F$1,Database!$A$1:$AS$1,),))))</f>
        <v/>
      </c>
      <c r="G388" s="13">
        <f>((((VLOOKUP(B388,Database!$A:$AS,MATCH($G$1,Database!$A$1:$AS$1,),))))-(((VLOOKUP(EDATE(B388,-12),Database!$A:$AS,MATCH($G$1,Database!$A$1:$AS$1,),)))))/(((VLOOKUP(EDATE(B388,-12),Database!$A:$AS,MATCH($G$1,Database!$A$1:$AS$1,),))))</f>
        <v/>
      </c>
      <c r="H388" s="13">
        <f>((((VLOOKUP(B388,Database!$A:$AS,MATCH($H$1,Database!$A$1:$AS$1,),))))-(((VLOOKUP(EDATE(B388,-12),Database!$A:$AS,MATCH($H$1,Database!$A$1:$AS$1,),)))))/(((VLOOKUP(EDATE(B388,-12),Database!$A:$AS,MATCH($H$1,Database!$A$1:$AS$1,),))))</f>
        <v/>
      </c>
      <c r="I388" s="13">
        <f>((((VLOOKUP(B388,Database!$A:$AS,MATCH($I$1,Database!$A$1:$AS$1,),))))-(((VLOOKUP(EDATE(B388,-12),Database!$A:$AS,MATCH($I$1,Database!$A$1:$AS$1,),)))))/(((VLOOKUP(EDATE(B388,-12),Database!$A:$AS,MATCH($I$1,Database!$A$1:$AS$1,),))))</f>
        <v/>
      </c>
      <c r="J388" s="13">
        <f>((((VLOOKUP(B388,Database!$A:$AS,MATCH($J$1,Database!$A$1:$AS$1,),))))-(((VLOOKUP(EDATE(B388,-12),Database!$A:$AS,MATCH($J$1,Database!$A$1:$AS$1,),)))))/(((VLOOKUP(EDATE(B388,-12),Database!$A:$AS,MATCH($J$1,Database!$A$1:$AS$1,),))))</f>
        <v/>
      </c>
      <c r="K388" s="13">
        <f>((((VLOOKUP(B388,Database!$A:$AS,MATCH($K$1,Database!$A$1:$AS$1,),))))-(((VLOOKUP(EDATE(B388,-12),Database!$A:$AS,MATCH($K$1,Database!$A$1:$AS$1,),)))))/(((VLOOKUP(EDATE(B388,-12),Database!$A:$AS,MATCH($K$1,Database!$A$1:$AS$1,),))))</f>
        <v/>
      </c>
      <c r="L388" s="13" t="n"/>
      <c r="M388" s="13" t="n"/>
      <c r="N388" s="13" t="n"/>
      <c r="O388" s="13">
        <f>((((VLOOKUP(B388,Database!$A:$AS,MATCH($O$1,Database!$A$1:$AS$1,),))))-(((VLOOKUP(EDATE(B388,-12),Database!$A:$AS,MATCH($O$1,Database!$A$1:$AS$1,),)))))/(((VLOOKUP(EDATE(B388,-12),Database!$A:$AS,MATCH($O$1,Database!$A$1:$AS$1,),))))</f>
        <v/>
      </c>
      <c r="P388" s="13">
        <f>((((VLOOKUP(B388,Database!$A:$AS,MATCH($P$1,Database!$A$1:$AS$1,),))))-(((VLOOKUP(EDATE(B388,-12),Database!$A:$AS,MATCH($P$1,Database!$A$1:$AS$1,),)))))/(((VLOOKUP(EDATE(B388,-12),Database!$A:$AS,MATCH($P$1,Database!$A$1:$AS$1,),))))</f>
        <v/>
      </c>
      <c r="Q388" s="13">
        <f>((((VLOOKUP(B388,Database!$A:$AS,MATCH($Q$1,Database!$A$1:$AS$1,),))))-(((VLOOKUP(EDATE(B388,-12),Database!$A:$AS,MATCH($Q$1,Database!$A$1:$AS$1,),)))))/(((VLOOKUP(EDATE(B388,-12),Database!$A:$AS,MATCH($Q$1,Database!$A$1:$AS$1,),))))</f>
        <v/>
      </c>
      <c r="R388" s="13">
        <f>((((VLOOKUP(B388,Database!$A:$AS,MATCH($R$1,Database!$A$1:$AS$1,),))))-(((VLOOKUP(EDATE(B388,-12),Database!$A:$AS,MATCH($R$1,Database!$A$1:$AS$1,),)))))/(((VLOOKUP(EDATE(B388,-12),Database!$A:$AS,MATCH($R$1,Database!$A$1:$AS$1,),))))</f>
        <v/>
      </c>
      <c r="S388" s="13">
        <f>((((VLOOKUP(B388,Database!$A:$AS,MATCH($S$1,Database!$A$1:$AS$1,),))))-(((VLOOKUP(EDATE(B388,-12),Database!$A:$AS,MATCH($S$1,Database!$A$1:$AS$1,),)))))/(((VLOOKUP(EDATE(B388,-12),Database!$A:$AS,MATCH($S$1,Database!$A$1:$AS$1,),))))</f>
        <v/>
      </c>
      <c r="T388" s="13">
        <f>((((VLOOKUP(B388,Database!$A:$AS,MATCH($T$1,Database!$A$1:$AS$1,),))))-(((VLOOKUP(EDATE(B388,-12),Database!$A:$AS,MATCH($T$1,Database!$A$1:$AS$1,),)))))/(((VLOOKUP(EDATE(B388,-12),Database!$A:$AS,MATCH($T$1,Database!$A$1:$AS$1,),))))</f>
        <v/>
      </c>
      <c r="U388" s="13">
        <f>((((VLOOKUP(B388,Database!$A:$AS,MATCH($U$1,Database!$A$1:$AS$1,),))))-(((VLOOKUP(EDATE(B388,-12),Database!$A:$AS,MATCH($U$1,Database!$A$1:$AS$1,),)))))/(((VLOOKUP(EDATE(B388,-12),Database!$A:$AS,MATCH($U$1,Database!$A$1:$AS$1,),))))</f>
        <v/>
      </c>
      <c r="V388" s="13">
        <f>((((VLOOKUP(B388,Database!$A:$AS,MATCH($V$1,Database!$A$1:$AS$1,),))))-(((VLOOKUP(EDATE(B388,-12),Database!$A:$AS,MATCH($V$1,Database!$A$1:$AS$1,),)))))/(((VLOOKUP(EDATE(B388,-12),Database!$A:$AS,MATCH($V$1,Database!$A$1:$AS$1,),))))</f>
        <v/>
      </c>
    </row>
    <row r="389" customFormat="1" s="94">
      <c r="B389" s="85" t="n">
        <v>43983</v>
      </c>
      <c r="C389" s="13">
        <f>((((VLOOKUP(B389,Database!$A:$AS,MATCH($C$1,Database!$A$1:$AS$1,),))))-(((VLOOKUP(EDATE(B389,-12),Database!$A:$AS,MATCH($C$1,Database!$A$1:$AS$1,),)))))/(((VLOOKUP(EDATE(B389,-12),Database!$A:$AS,MATCH($C$1,Database!$A$1:$AS$1,),))))</f>
        <v/>
      </c>
      <c r="D389" s="13">
        <f>((((VLOOKUP(B389,Database!$A:$AS,MATCH($D$1,Database!$A$1:$AS$1,),))))-(((VLOOKUP(EDATE(B389,-12),Database!$A:$AS,MATCH($D$1,Database!$A$1:$AS$1,),)))))/(((VLOOKUP(EDATE(B389,-12),Database!$A:$AS,MATCH($D$1,Database!$A$1:$AS$1,),))))</f>
        <v/>
      </c>
      <c r="E389" s="13">
        <f>((((VLOOKUP(B389,Database!$A:$AS,MATCH($E$1,Database!$A$1:$AS$1,),))))-(((VLOOKUP(EDATE(B389,-12),Database!$A:$AS,MATCH($E$1,Database!$A$1:$AS$1,),)))))/(((VLOOKUP(EDATE(B389,-12),Database!$A:$AS,MATCH($E$1,Database!$A$1:$AS$1,),))))</f>
        <v/>
      </c>
      <c r="F389" s="13">
        <f>((((VLOOKUP(B389,Database!$A:$AS,MATCH($F$1,Database!$A$1:$AS$1,),))))-(((VLOOKUP(EDATE(B389,-12),Database!$A:$AS,MATCH($F$1,Database!$A$1:$AS$1,),)))))/(((VLOOKUP(EDATE(B389,-12),Database!$A:$AS,MATCH($F$1,Database!$A$1:$AS$1,),))))</f>
        <v/>
      </c>
      <c r="G389" s="13">
        <f>((((VLOOKUP(B389,Database!$A:$AS,MATCH($G$1,Database!$A$1:$AS$1,),))))-(((VLOOKUP(EDATE(B389,-12),Database!$A:$AS,MATCH($G$1,Database!$A$1:$AS$1,),)))))/(((VLOOKUP(EDATE(B389,-12),Database!$A:$AS,MATCH($G$1,Database!$A$1:$AS$1,),))))</f>
        <v/>
      </c>
      <c r="H389" s="13">
        <f>((((VLOOKUP(B389,Database!$A:$AS,MATCH($H$1,Database!$A$1:$AS$1,),))))-(((VLOOKUP(EDATE(B389,-12),Database!$A:$AS,MATCH($H$1,Database!$A$1:$AS$1,),)))))/(((VLOOKUP(EDATE(B389,-12),Database!$A:$AS,MATCH($H$1,Database!$A$1:$AS$1,),))))</f>
        <v/>
      </c>
      <c r="I389" s="13">
        <f>((((VLOOKUP(B389,Database!$A:$AS,MATCH($I$1,Database!$A$1:$AS$1,),))))-(((VLOOKUP(EDATE(B389,-12),Database!$A:$AS,MATCH($I$1,Database!$A$1:$AS$1,),)))))/(((VLOOKUP(EDATE(B389,-12),Database!$A:$AS,MATCH($I$1,Database!$A$1:$AS$1,),))))</f>
        <v/>
      </c>
      <c r="J389" s="13">
        <f>((((VLOOKUP(B389,Database!$A:$AS,MATCH($J$1,Database!$A$1:$AS$1,),))))-(((VLOOKUP(EDATE(B389,-12),Database!$A:$AS,MATCH($J$1,Database!$A$1:$AS$1,),)))))/(((VLOOKUP(EDATE(B389,-12),Database!$A:$AS,MATCH($J$1,Database!$A$1:$AS$1,),))))</f>
        <v/>
      </c>
      <c r="K389" s="13">
        <f>((((VLOOKUP(B389,Database!$A:$AS,MATCH($K$1,Database!$A$1:$AS$1,),))))-(((VLOOKUP(EDATE(B389,-12),Database!$A:$AS,MATCH($K$1,Database!$A$1:$AS$1,),)))))/(((VLOOKUP(EDATE(B389,-12),Database!$A:$AS,MATCH($K$1,Database!$A$1:$AS$1,),))))</f>
        <v/>
      </c>
      <c r="L389" s="13" t="n"/>
      <c r="M389" s="13" t="n"/>
      <c r="N389" s="13" t="n"/>
      <c r="O389" s="13">
        <f>((((VLOOKUP(B389,Database!$A:$AS,MATCH($O$1,Database!$A$1:$AS$1,),))))-(((VLOOKUP(EDATE(B389,-12),Database!$A:$AS,MATCH($O$1,Database!$A$1:$AS$1,),)))))/(((VLOOKUP(EDATE(B389,-12),Database!$A:$AS,MATCH($O$1,Database!$A$1:$AS$1,),))))</f>
        <v/>
      </c>
      <c r="P389" s="13">
        <f>((((VLOOKUP(B389,Database!$A:$AS,MATCH($P$1,Database!$A$1:$AS$1,),))))-(((VLOOKUP(EDATE(B389,-12),Database!$A:$AS,MATCH($P$1,Database!$A$1:$AS$1,),)))))/(((VLOOKUP(EDATE(B389,-12),Database!$A:$AS,MATCH($P$1,Database!$A$1:$AS$1,),))))</f>
        <v/>
      </c>
      <c r="Q389" s="13">
        <f>((((VLOOKUP(B389,Database!$A:$AS,MATCH($Q$1,Database!$A$1:$AS$1,),))))-(((VLOOKUP(EDATE(B389,-12),Database!$A:$AS,MATCH($Q$1,Database!$A$1:$AS$1,),)))))/(((VLOOKUP(EDATE(B389,-12),Database!$A:$AS,MATCH($Q$1,Database!$A$1:$AS$1,),))))</f>
        <v/>
      </c>
      <c r="R389" s="13">
        <f>((((VLOOKUP(B389,Database!$A:$AS,MATCH($R$1,Database!$A$1:$AS$1,),))))-(((VLOOKUP(EDATE(B389,-12),Database!$A:$AS,MATCH($R$1,Database!$A$1:$AS$1,),)))))/(((VLOOKUP(EDATE(B389,-12),Database!$A:$AS,MATCH($R$1,Database!$A$1:$AS$1,),))))</f>
        <v/>
      </c>
      <c r="S389" s="13">
        <f>((((VLOOKUP(B389,Database!$A:$AS,MATCH($S$1,Database!$A$1:$AS$1,),))))-(((VLOOKUP(EDATE(B389,-12),Database!$A:$AS,MATCH($S$1,Database!$A$1:$AS$1,),)))))/(((VLOOKUP(EDATE(B389,-12),Database!$A:$AS,MATCH($S$1,Database!$A$1:$AS$1,),))))</f>
        <v/>
      </c>
      <c r="T389" s="13">
        <f>((((VLOOKUP(B389,Database!$A:$AS,MATCH($T$1,Database!$A$1:$AS$1,),))))-(((VLOOKUP(EDATE(B389,-12),Database!$A:$AS,MATCH($T$1,Database!$A$1:$AS$1,),)))))/(((VLOOKUP(EDATE(B389,-12),Database!$A:$AS,MATCH($T$1,Database!$A$1:$AS$1,),))))</f>
        <v/>
      </c>
      <c r="U389" s="13">
        <f>((((VLOOKUP(B389,Database!$A:$AS,MATCH($U$1,Database!$A$1:$AS$1,),))))-(((VLOOKUP(EDATE(B389,-12),Database!$A:$AS,MATCH($U$1,Database!$A$1:$AS$1,),)))))/(((VLOOKUP(EDATE(B389,-12),Database!$A:$AS,MATCH($U$1,Database!$A$1:$AS$1,),))))</f>
        <v/>
      </c>
      <c r="V389" s="13">
        <f>((((VLOOKUP(B389,Database!$A:$AS,MATCH($V$1,Database!$A$1:$AS$1,),))))-(((VLOOKUP(EDATE(B389,-12),Database!$A:$AS,MATCH($V$1,Database!$A$1:$AS$1,),)))))/(((VLOOKUP(EDATE(B389,-12),Database!$A:$AS,MATCH($V$1,Database!$A$1:$AS$1,),))))</f>
        <v/>
      </c>
    </row>
    <row r="390" customFormat="1" s="94">
      <c r="B390" s="85" t="n">
        <v>44013</v>
      </c>
      <c r="C390" s="13">
        <f>((((VLOOKUP(B390,Database!$A:$AS,MATCH($C$1,Database!$A$1:$AS$1,),))))-(((VLOOKUP(EDATE(B390,-12),Database!$A:$AS,MATCH($C$1,Database!$A$1:$AS$1,),)))))/(((VLOOKUP(EDATE(B390,-12),Database!$A:$AS,MATCH($C$1,Database!$A$1:$AS$1,),))))</f>
        <v/>
      </c>
      <c r="D390" s="13">
        <f>((((VLOOKUP(B390,Database!$A:$AS,MATCH($D$1,Database!$A$1:$AS$1,),))))-(((VLOOKUP(EDATE(B390,-12),Database!$A:$AS,MATCH($D$1,Database!$A$1:$AS$1,),)))))/(((VLOOKUP(EDATE(B390,-12),Database!$A:$AS,MATCH($D$1,Database!$A$1:$AS$1,),))))</f>
        <v/>
      </c>
      <c r="E390" s="13">
        <f>((((VLOOKUP(B390,Database!$A:$AS,MATCH($E$1,Database!$A$1:$AS$1,),))))-(((VLOOKUP(EDATE(B390,-12),Database!$A:$AS,MATCH($E$1,Database!$A$1:$AS$1,),)))))/(((VLOOKUP(EDATE(B390,-12),Database!$A:$AS,MATCH($E$1,Database!$A$1:$AS$1,),))))</f>
        <v/>
      </c>
      <c r="F390" s="13">
        <f>((((VLOOKUP(B390,Database!$A:$AS,MATCH($F$1,Database!$A$1:$AS$1,),))))-(((VLOOKUP(EDATE(B390,-12),Database!$A:$AS,MATCH($F$1,Database!$A$1:$AS$1,),)))))/(((VLOOKUP(EDATE(B390,-12),Database!$A:$AS,MATCH($F$1,Database!$A$1:$AS$1,),))))</f>
        <v/>
      </c>
      <c r="G390" s="13">
        <f>((((VLOOKUP(B390,Database!$A:$AS,MATCH($G$1,Database!$A$1:$AS$1,),))))-(((VLOOKUP(EDATE(B390,-12),Database!$A:$AS,MATCH($G$1,Database!$A$1:$AS$1,),)))))/(((VLOOKUP(EDATE(B390,-12),Database!$A:$AS,MATCH($G$1,Database!$A$1:$AS$1,),))))</f>
        <v/>
      </c>
      <c r="H390" s="13">
        <f>((((VLOOKUP(B390,Database!$A:$AS,MATCH($H$1,Database!$A$1:$AS$1,),))))-(((VLOOKUP(EDATE(B390,-12),Database!$A:$AS,MATCH($H$1,Database!$A$1:$AS$1,),)))))/(((VLOOKUP(EDATE(B390,-12),Database!$A:$AS,MATCH($H$1,Database!$A$1:$AS$1,),))))</f>
        <v/>
      </c>
      <c r="I390" s="13">
        <f>((((VLOOKUP(B390,Database!$A:$AS,MATCH($I$1,Database!$A$1:$AS$1,),))))-(((VLOOKUP(EDATE(B390,-12),Database!$A:$AS,MATCH($I$1,Database!$A$1:$AS$1,),)))))/(((VLOOKUP(EDATE(B390,-12),Database!$A:$AS,MATCH($I$1,Database!$A$1:$AS$1,),))))</f>
        <v/>
      </c>
      <c r="J390" s="13">
        <f>((((VLOOKUP(B390,Database!$A:$AS,MATCH($J$1,Database!$A$1:$AS$1,),))))-(((VLOOKUP(EDATE(B390,-12),Database!$A:$AS,MATCH($J$1,Database!$A$1:$AS$1,),)))))/(((VLOOKUP(EDATE(B390,-12),Database!$A:$AS,MATCH($J$1,Database!$A$1:$AS$1,),))))</f>
        <v/>
      </c>
      <c r="K390" s="13">
        <f>((((VLOOKUP(B390,Database!$A:$AS,MATCH($K$1,Database!$A$1:$AS$1,),))))-(((VLOOKUP(EDATE(B390,-12),Database!$A:$AS,MATCH($K$1,Database!$A$1:$AS$1,),)))))/(((VLOOKUP(EDATE(B390,-12),Database!$A:$AS,MATCH($K$1,Database!$A$1:$AS$1,),))))</f>
        <v/>
      </c>
      <c r="L390" s="13" t="n"/>
      <c r="M390" s="13" t="n"/>
      <c r="N390" s="13" t="n"/>
      <c r="O390" s="13">
        <f>((((VLOOKUP(B390,Database!$A:$AS,MATCH($O$1,Database!$A$1:$AS$1,),))))-(((VLOOKUP(EDATE(B390,-12),Database!$A:$AS,MATCH($O$1,Database!$A$1:$AS$1,),)))))/(((VLOOKUP(EDATE(B390,-12),Database!$A:$AS,MATCH($O$1,Database!$A$1:$AS$1,),))))</f>
        <v/>
      </c>
      <c r="P390" s="13">
        <f>((((VLOOKUP(B390,Database!$A:$AS,MATCH($P$1,Database!$A$1:$AS$1,),))))-(((VLOOKUP(EDATE(B390,-12),Database!$A:$AS,MATCH($P$1,Database!$A$1:$AS$1,),)))))/(((VLOOKUP(EDATE(B390,-12),Database!$A:$AS,MATCH($P$1,Database!$A$1:$AS$1,),))))</f>
        <v/>
      </c>
      <c r="Q390" s="13">
        <f>((((VLOOKUP(B390,Database!$A:$AS,MATCH($Q$1,Database!$A$1:$AS$1,),))))-(((VLOOKUP(EDATE(B390,-12),Database!$A:$AS,MATCH($Q$1,Database!$A$1:$AS$1,),)))))/(((VLOOKUP(EDATE(B390,-12),Database!$A:$AS,MATCH($Q$1,Database!$A$1:$AS$1,),))))</f>
        <v/>
      </c>
      <c r="R390" s="13">
        <f>((((VLOOKUP(B390,Database!$A:$AS,MATCH($R$1,Database!$A$1:$AS$1,),))))-(((VLOOKUP(EDATE(B390,-12),Database!$A:$AS,MATCH($R$1,Database!$A$1:$AS$1,),)))))/(((VLOOKUP(EDATE(B390,-12),Database!$A:$AS,MATCH($R$1,Database!$A$1:$AS$1,),))))</f>
        <v/>
      </c>
      <c r="S390" s="13">
        <f>((((VLOOKUP(B390,Database!$A:$AS,MATCH($S$1,Database!$A$1:$AS$1,),))))-(((VLOOKUP(EDATE(B390,-12),Database!$A:$AS,MATCH($S$1,Database!$A$1:$AS$1,),)))))/(((VLOOKUP(EDATE(B390,-12),Database!$A:$AS,MATCH($S$1,Database!$A$1:$AS$1,),))))</f>
        <v/>
      </c>
      <c r="T390" s="13">
        <f>((((VLOOKUP(B390,Database!$A:$AS,MATCH($T$1,Database!$A$1:$AS$1,),))))-(((VLOOKUP(EDATE(B390,-12),Database!$A:$AS,MATCH($T$1,Database!$A$1:$AS$1,),)))))/(((VLOOKUP(EDATE(B390,-12),Database!$A:$AS,MATCH($T$1,Database!$A$1:$AS$1,),))))</f>
        <v/>
      </c>
      <c r="U390" s="13">
        <f>((((VLOOKUP(B390,Database!$A:$AS,MATCH($U$1,Database!$A$1:$AS$1,),))))-(((VLOOKUP(EDATE(B390,-12),Database!$A:$AS,MATCH($U$1,Database!$A$1:$AS$1,),)))))/(((VLOOKUP(EDATE(B390,-12),Database!$A:$AS,MATCH($U$1,Database!$A$1:$AS$1,),))))</f>
        <v/>
      </c>
      <c r="V390" s="13">
        <f>((((VLOOKUP(B390,Database!$A:$AS,MATCH($V$1,Database!$A$1:$AS$1,),))))-(((VLOOKUP(EDATE(B390,-12),Database!$A:$AS,MATCH($V$1,Database!$A$1:$AS$1,),)))))/(((VLOOKUP(EDATE(B390,-12),Database!$A:$AS,MATCH($V$1,Database!$A$1:$AS$1,),))))</f>
        <v/>
      </c>
    </row>
    <row r="391" customFormat="1" s="94">
      <c r="B391" s="85" t="n">
        <v>44044</v>
      </c>
      <c r="C391" s="13">
        <f>((((VLOOKUP(B391,Database!$A:$AS,MATCH($C$1,Database!$A$1:$AS$1,),))))-(((VLOOKUP(EDATE(B391,-12),Database!$A:$AS,MATCH($C$1,Database!$A$1:$AS$1,),)))))/(((VLOOKUP(EDATE(B391,-12),Database!$A:$AS,MATCH($C$1,Database!$A$1:$AS$1,),))))</f>
        <v/>
      </c>
      <c r="D391" s="13">
        <f>((((VLOOKUP(B391,Database!$A:$AS,MATCH($D$1,Database!$A$1:$AS$1,),))))-(((VLOOKUP(EDATE(B391,-12),Database!$A:$AS,MATCH($D$1,Database!$A$1:$AS$1,),)))))/(((VLOOKUP(EDATE(B391,-12),Database!$A:$AS,MATCH($D$1,Database!$A$1:$AS$1,),))))</f>
        <v/>
      </c>
      <c r="E391" s="13">
        <f>((((VLOOKUP(B391,Database!$A:$AS,MATCH($E$1,Database!$A$1:$AS$1,),))))-(((VLOOKUP(EDATE(B391,-12),Database!$A:$AS,MATCH($E$1,Database!$A$1:$AS$1,),)))))/(((VLOOKUP(EDATE(B391,-12),Database!$A:$AS,MATCH($E$1,Database!$A$1:$AS$1,),))))</f>
        <v/>
      </c>
      <c r="F391" s="13">
        <f>((((VLOOKUP(B391,Database!$A:$AS,MATCH($F$1,Database!$A$1:$AS$1,),))))-(((VLOOKUP(EDATE(B391,-12),Database!$A:$AS,MATCH($F$1,Database!$A$1:$AS$1,),)))))/(((VLOOKUP(EDATE(B391,-12),Database!$A:$AS,MATCH($F$1,Database!$A$1:$AS$1,),))))</f>
        <v/>
      </c>
      <c r="G391" s="13">
        <f>((((VLOOKUP(B391,Database!$A:$AS,MATCH($G$1,Database!$A$1:$AS$1,),))))-(((VLOOKUP(EDATE(B391,-12),Database!$A:$AS,MATCH($G$1,Database!$A$1:$AS$1,),)))))/(((VLOOKUP(EDATE(B391,-12),Database!$A:$AS,MATCH($G$1,Database!$A$1:$AS$1,),))))</f>
        <v/>
      </c>
      <c r="H391" s="13">
        <f>((((VLOOKUP(B391,Database!$A:$AS,MATCH($H$1,Database!$A$1:$AS$1,),))))-(((VLOOKUP(EDATE(B391,-12),Database!$A:$AS,MATCH($H$1,Database!$A$1:$AS$1,),)))))/(((VLOOKUP(EDATE(B391,-12),Database!$A:$AS,MATCH($H$1,Database!$A$1:$AS$1,),))))</f>
        <v/>
      </c>
      <c r="I391" s="13">
        <f>((((VLOOKUP(B391,Database!$A:$AS,MATCH($I$1,Database!$A$1:$AS$1,),))))-(((VLOOKUP(EDATE(B391,-12),Database!$A:$AS,MATCH($I$1,Database!$A$1:$AS$1,),)))))/(((VLOOKUP(EDATE(B391,-12),Database!$A:$AS,MATCH($I$1,Database!$A$1:$AS$1,),))))</f>
        <v/>
      </c>
      <c r="J391" s="13">
        <f>((((VLOOKUP(B391,Database!$A:$AS,MATCH($J$1,Database!$A$1:$AS$1,),))))-(((VLOOKUP(EDATE(B391,-12),Database!$A:$AS,MATCH($J$1,Database!$A$1:$AS$1,),)))))/(((VLOOKUP(EDATE(B391,-12),Database!$A:$AS,MATCH($J$1,Database!$A$1:$AS$1,),))))</f>
        <v/>
      </c>
      <c r="K391" s="13">
        <f>((((VLOOKUP(B391,Database!$A:$AS,MATCH($K$1,Database!$A$1:$AS$1,),))))-(((VLOOKUP(EDATE(B391,-12),Database!$A:$AS,MATCH($K$1,Database!$A$1:$AS$1,),)))))/(((VLOOKUP(EDATE(B391,-12),Database!$A:$AS,MATCH($K$1,Database!$A$1:$AS$1,),))))</f>
        <v/>
      </c>
      <c r="L391" s="13" t="n"/>
      <c r="M391" s="13" t="n"/>
      <c r="N391" s="13" t="n"/>
      <c r="O391" s="13">
        <f>((((VLOOKUP(B391,Database!$A:$AS,MATCH($O$1,Database!$A$1:$AS$1,),))))-(((VLOOKUP(EDATE(B391,-12),Database!$A:$AS,MATCH($O$1,Database!$A$1:$AS$1,),)))))/(((VLOOKUP(EDATE(B391,-12),Database!$A:$AS,MATCH($O$1,Database!$A$1:$AS$1,),))))</f>
        <v/>
      </c>
      <c r="P391" s="13">
        <f>((((VLOOKUP(B391,Database!$A:$AS,MATCH($P$1,Database!$A$1:$AS$1,),))))-(((VLOOKUP(EDATE(B391,-12),Database!$A:$AS,MATCH($P$1,Database!$A$1:$AS$1,),)))))/(((VLOOKUP(EDATE(B391,-12),Database!$A:$AS,MATCH($P$1,Database!$A$1:$AS$1,),))))</f>
        <v/>
      </c>
      <c r="Q391" s="13">
        <f>((((VLOOKUP(B391,Database!$A:$AS,MATCH($Q$1,Database!$A$1:$AS$1,),))))-(((VLOOKUP(EDATE(B391,-12),Database!$A:$AS,MATCH($Q$1,Database!$A$1:$AS$1,),)))))/(((VLOOKUP(EDATE(B391,-12),Database!$A:$AS,MATCH($Q$1,Database!$A$1:$AS$1,),))))</f>
        <v/>
      </c>
      <c r="R391" s="13">
        <f>((((VLOOKUP(B391,Database!$A:$AS,MATCH($R$1,Database!$A$1:$AS$1,),))))-(((VLOOKUP(EDATE(B391,-12),Database!$A:$AS,MATCH($R$1,Database!$A$1:$AS$1,),)))))/(((VLOOKUP(EDATE(B391,-12),Database!$A:$AS,MATCH($R$1,Database!$A$1:$AS$1,),))))</f>
        <v/>
      </c>
      <c r="S391" s="13">
        <f>((((VLOOKUP(B391,Database!$A:$AS,MATCH($S$1,Database!$A$1:$AS$1,),))))-(((VLOOKUP(EDATE(B391,-12),Database!$A:$AS,MATCH($S$1,Database!$A$1:$AS$1,),)))))/(((VLOOKUP(EDATE(B391,-12),Database!$A:$AS,MATCH($S$1,Database!$A$1:$AS$1,),))))</f>
        <v/>
      </c>
      <c r="T391" s="13">
        <f>((((VLOOKUP(B391,Database!$A:$AS,MATCH($T$1,Database!$A$1:$AS$1,),))))-(((VLOOKUP(EDATE(B391,-12),Database!$A:$AS,MATCH($T$1,Database!$A$1:$AS$1,),)))))/(((VLOOKUP(EDATE(B391,-12),Database!$A:$AS,MATCH($T$1,Database!$A$1:$AS$1,),))))</f>
        <v/>
      </c>
      <c r="U391" s="13">
        <f>((((VLOOKUP(B391,Database!$A:$AS,MATCH($U$1,Database!$A$1:$AS$1,),))))-(((VLOOKUP(EDATE(B391,-12),Database!$A:$AS,MATCH($U$1,Database!$A$1:$AS$1,),)))))/(((VLOOKUP(EDATE(B391,-12),Database!$A:$AS,MATCH($U$1,Database!$A$1:$AS$1,),))))</f>
        <v/>
      </c>
      <c r="V391" s="13">
        <f>((((VLOOKUP(B391,Database!$A:$AS,MATCH($V$1,Database!$A$1:$AS$1,),))))-(((VLOOKUP(EDATE(B391,-12),Database!$A:$AS,MATCH($V$1,Database!$A$1:$AS$1,),)))))/(((VLOOKUP(EDATE(B391,-12),Database!$A:$AS,MATCH($V$1,Database!$A$1:$AS$1,),))))</f>
        <v/>
      </c>
    </row>
    <row r="392" customFormat="1" s="94">
      <c r="B392" s="85" t="n">
        <v>44075</v>
      </c>
      <c r="C392" s="13">
        <f>((((VLOOKUP(B392,Database!$A:$AS,MATCH($C$1,Database!$A$1:$AS$1,),))))-(((VLOOKUP(EDATE(B392,-12),Database!$A:$AS,MATCH($C$1,Database!$A$1:$AS$1,),)))))/(((VLOOKUP(EDATE(B392,-12),Database!$A:$AS,MATCH($C$1,Database!$A$1:$AS$1,),))))</f>
        <v/>
      </c>
      <c r="D392" s="13">
        <f>((((VLOOKUP(B392,Database!$A:$AS,MATCH($D$1,Database!$A$1:$AS$1,),))))-(((VLOOKUP(EDATE(B392,-12),Database!$A:$AS,MATCH($D$1,Database!$A$1:$AS$1,),)))))/(((VLOOKUP(EDATE(B392,-12),Database!$A:$AS,MATCH($D$1,Database!$A$1:$AS$1,),))))</f>
        <v/>
      </c>
      <c r="E392" s="13">
        <f>((((VLOOKUP(B392,Database!$A:$AS,MATCH($E$1,Database!$A$1:$AS$1,),))))-(((VLOOKUP(EDATE(B392,-12),Database!$A:$AS,MATCH($E$1,Database!$A$1:$AS$1,),)))))/(((VLOOKUP(EDATE(B392,-12),Database!$A:$AS,MATCH($E$1,Database!$A$1:$AS$1,),))))</f>
        <v/>
      </c>
      <c r="F392" s="13">
        <f>((((VLOOKUP(B392,Database!$A:$AS,MATCH($F$1,Database!$A$1:$AS$1,),))))-(((VLOOKUP(EDATE(B392,-12),Database!$A:$AS,MATCH($F$1,Database!$A$1:$AS$1,),)))))/(((VLOOKUP(EDATE(B392,-12),Database!$A:$AS,MATCH($F$1,Database!$A$1:$AS$1,),))))</f>
        <v/>
      </c>
      <c r="G392" s="13">
        <f>((((VLOOKUP(B392,Database!$A:$AS,MATCH($G$1,Database!$A$1:$AS$1,),))))-(((VLOOKUP(EDATE(B392,-12),Database!$A:$AS,MATCH($G$1,Database!$A$1:$AS$1,),)))))/(((VLOOKUP(EDATE(B392,-12),Database!$A:$AS,MATCH($G$1,Database!$A$1:$AS$1,),))))</f>
        <v/>
      </c>
      <c r="H392" s="13">
        <f>((((VLOOKUP(B392,Database!$A:$AS,MATCH($H$1,Database!$A$1:$AS$1,),))))-(((VLOOKUP(EDATE(B392,-12),Database!$A:$AS,MATCH($H$1,Database!$A$1:$AS$1,),)))))/(((VLOOKUP(EDATE(B392,-12),Database!$A:$AS,MATCH($H$1,Database!$A$1:$AS$1,),))))</f>
        <v/>
      </c>
      <c r="I392" s="13">
        <f>((((VLOOKUP(B392,Database!$A:$AS,MATCH($I$1,Database!$A$1:$AS$1,),))))-(((VLOOKUP(EDATE(B392,-12),Database!$A:$AS,MATCH($I$1,Database!$A$1:$AS$1,),)))))/(((VLOOKUP(EDATE(B392,-12),Database!$A:$AS,MATCH($I$1,Database!$A$1:$AS$1,),))))</f>
        <v/>
      </c>
      <c r="J392" s="13">
        <f>((((VLOOKUP(B392,Database!$A:$AS,MATCH($J$1,Database!$A$1:$AS$1,),))))-(((VLOOKUP(EDATE(B392,-12),Database!$A:$AS,MATCH($J$1,Database!$A$1:$AS$1,),)))))/(((VLOOKUP(EDATE(B392,-12),Database!$A:$AS,MATCH($J$1,Database!$A$1:$AS$1,),))))</f>
        <v/>
      </c>
      <c r="K392" s="13">
        <f>((((VLOOKUP(B392,Database!$A:$AS,MATCH($K$1,Database!$A$1:$AS$1,),))))-(((VLOOKUP(EDATE(B392,-12),Database!$A:$AS,MATCH($K$1,Database!$A$1:$AS$1,),)))))/(((VLOOKUP(EDATE(B392,-12),Database!$A:$AS,MATCH($K$1,Database!$A$1:$AS$1,),))))</f>
        <v/>
      </c>
      <c r="L392" s="13" t="n"/>
      <c r="M392" s="13" t="n"/>
      <c r="N392" s="13" t="n"/>
      <c r="O392" s="13">
        <f>((((VLOOKUP(B392,Database!$A:$AS,MATCH($O$1,Database!$A$1:$AS$1,),))))-(((VLOOKUP(EDATE(B392,-12),Database!$A:$AS,MATCH($O$1,Database!$A$1:$AS$1,),)))))/(((VLOOKUP(EDATE(B392,-12),Database!$A:$AS,MATCH($O$1,Database!$A$1:$AS$1,),))))</f>
        <v/>
      </c>
      <c r="P392" s="13">
        <f>((((VLOOKUP(B392,Database!$A:$AS,MATCH($P$1,Database!$A$1:$AS$1,),))))-(((VLOOKUP(EDATE(B392,-12),Database!$A:$AS,MATCH($P$1,Database!$A$1:$AS$1,),)))))/(((VLOOKUP(EDATE(B392,-12),Database!$A:$AS,MATCH($P$1,Database!$A$1:$AS$1,),))))</f>
        <v/>
      </c>
      <c r="Q392" s="13">
        <f>((((VLOOKUP(B392,Database!$A:$AS,MATCH($Q$1,Database!$A$1:$AS$1,),))))-(((VLOOKUP(EDATE(B392,-12),Database!$A:$AS,MATCH($Q$1,Database!$A$1:$AS$1,),)))))/(((VLOOKUP(EDATE(B392,-12),Database!$A:$AS,MATCH($Q$1,Database!$A$1:$AS$1,),))))</f>
        <v/>
      </c>
      <c r="R392" s="13">
        <f>((((VLOOKUP(B392,Database!$A:$AS,MATCH($R$1,Database!$A$1:$AS$1,),))))-(((VLOOKUP(EDATE(B392,-12),Database!$A:$AS,MATCH($R$1,Database!$A$1:$AS$1,),)))))/(((VLOOKUP(EDATE(B392,-12),Database!$A:$AS,MATCH($R$1,Database!$A$1:$AS$1,),))))</f>
        <v/>
      </c>
      <c r="S392" s="13">
        <f>((((VLOOKUP(B392,Database!$A:$AS,MATCH($S$1,Database!$A$1:$AS$1,),))))-(((VLOOKUP(EDATE(B392,-12),Database!$A:$AS,MATCH($S$1,Database!$A$1:$AS$1,),)))))/(((VLOOKUP(EDATE(B392,-12),Database!$A:$AS,MATCH($S$1,Database!$A$1:$AS$1,),))))</f>
        <v/>
      </c>
      <c r="T392" s="13">
        <f>((((VLOOKUP(B392,Database!$A:$AS,MATCH($T$1,Database!$A$1:$AS$1,),))))-(((VLOOKUP(EDATE(B392,-12),Database!$A:$AS,MATCH($T$1,Database!$A$1:$AS$1,),)))))/(((VLOOKUP(EDATE(B392,-12),Database!$A:$AS,MATCH($T$1,Database!$A$1:$AS$1,),))))</f>
        <v/>
      </c>
      <c r="U392" s="13">
        <f>((((VLOOKUP(B392,Database!$A:$AS,MATCH($U$1,Database!$A$1:$AS$1,),))))-(((VLOOKUP(EDATE(B392,-12),Database!$A:$AS,MATCH($U$1,Database!$A$1:$AS$1,),)))))/(((VLOOKUP(EDATE(B392,-12),Database!$A:$AS,MATCH($U$1,Database!$A$1:$AS$1,),))))</f>
        <v/>
      </c>
      <c r="V392" s="13">
        <f>((((VLOOKUP(B392,Database!$A:$AS,MATCH($V$1,Database!$A$1:$AS$1,),))))-(((VLOOKUP(EDATE(B392,-12),Database!$A:$AS,MATCH($V$1,Database!$A$1:$AS$1,),)))))/(((VLOOKUP(EDATE(B392,-12),Database!$A:$AS,MATCH($V$1,Database!$A$1:$AS$1,),))))</f>
        <v/>
      </c>
    </row>
    <row r="393" customFormat="1" s="94">
      <c r="B393" s="85" t="n">
        <v>44105</v>
      </c>
      <c r="C393" s="13">
        <f>((((VLOOKUP(B393,Database!$A:$AS,MATCH($C$1,Database!$A$1:$AS$1,),))))-(((VLOOKUP(EDATE(B393,-12),Database!$A:$AS,MATCH($C$1,Database!$A$1:$AS$1,),)))))/(((VLOOKUP(EDATE(B393,-12),Database!$A:$AS,MATCH($C$1,Database!$A$1:$AS$1,),))))</f>
        <v/>
      </c>
      <c r="D393" s="13">
        <f>((((VLOOKUP(B393,Database!$A:$AS,MATCH($D$1,Database!$A$1:$AS$1,),))))-(((VLOOKUP(EDATE(B393,-12),Database!$A:$AS,MATCH($D$1,Database!$A$1:$AS$1,),)))))/(((VLOOKUP(EDATE(B393,-12),Database!$A:$AS,MATCH($D$1,Database!$A$1:$AS$1,),))))</f>
        <v/>
      </c>
      <c r="E393" s="13">
        <f>((((VLOOKUP(B393,Database!$A:$AS,MATCH($E$1,Database!$A$1:$AS$1,),))))-(((VLOOKUP(EDATE(B393,-12),Database!$A:$AS,MATCH($E$1,Database!$A$1:$AS$1,),)))))/(((VLOOKUP(EDATE(B393,-12),Database!$A:$AS,MATCH($E$1,Database!$A$1:$AS$1,),))))</f>
        <v/>
      </c>
      <c r="F393" s="13">
        <f>((((VLOOKUP(B393,Database!$A:$AS,MATCH($F$1,Database!$A$1:$AS$1,),))))-(((VLOOKUP(EDATE(B393,-12),Database!$A:$AS,MATCH($F$1,Database!$A$1:$AS$1,),)))))/(((VLOOKUP(EDATE(B393,-12),Database!$A:$AS,MATCH($F$1,Database!$A$1:$AS$1,),))))</f>
        <v/>
      </c>
      <c r="G393" s="13">
        <f>((((VLOOKUP(B393,Database!$A:$AS,MATCH($G$1,Database!$A$1:$AS$1,),))))-(((VLOOKUP(EDATE(B393,-12),Database!$A:$AS,MATCH($G$1,Database!$A$1:$AS$1,),)))))/(((VLOOKUP(EDATE(B393,-12),Database!$A:$AS,MATCH($G$1,Database!$A$1:$AS$1,),))))</f>
        <v/>
      </c>
      <c r="H393" s="13">
        <f>((((VLOOKUP(B393,Database!$A:$AS,MATCH($H$1,Database!$A$1:$AS$1,),))))-(((VLOOKUP(EDATE(B393,-12),Database!$A:$AS,MATCH($H$1,Database!$A$1:$AS$1,),)))))/(((VLOOKUP(EDATE(B393,-12),Database!$A:$AS,MATCH($H$1,Database!$A$1:$AS$1,),))))</f>
        <v/>
      </c>
      <c r="I393" s="13">
        <f>((((VLOOKUP(B393,Database!$A:$AS,MATCH($I$1,Database!$A$1:$AS$1,),))))-(((VLOOKUP(EDATE(B393,-12),Database!$A:$AS,MATCH($I$1,Database!$A$1:$AS$1,),)))))/(((VLOOKUP(EDATE(B393,-12),Database!$A:$AS,MATCH($I$1,Database!$A$1:$AS$1,),))))</f>
        <v/>
      </c>
      <c r="J393" s="13">
        <f>((((VLOOKUP(B393,Database!$A:$AS,MATCH($J$1,Database!$A$1:$AS$1,),))))-(((VLOOKUP(EDATE(B393,-12),Database!$A:$AS,MATCH($J$1,Database!$A$1:$AS$1,),)))))/(((VLOOKUP(EDATE(B393,-12),Database!$A:$AS,MATCH($J$1,Database!$A$1:$AS$1,),))))</f>
        <v/>
      </c>
      <c r="K393" s="13">
        <f>((((VLOOKUP(B393,Database!$A:$AS,MATCH($K$1,Database!$A$1:$AS$1,),))))-(((VLOOKUP(EDATE(B393,-12),Database!$A:$AS,MATCH($K$1,Database!$A$1:$AS$1,),)))))/(((VLOOKUP(EDATE(B393,-12),Database!$A:$AS,MATCH($K$1,Database!$A$1:$AS$1,),))))</f>
        <v/>
      </c>
      <c r="L393" s="13" t="n"/>
      <c r="M393" s="13" t="n"/>
      <c r="N393" s="13" t="n"/>
      <c r="O393" s="13">
        <f>((((VLOOKUP(B393,Database!$A:$AS,MATCH($O$1,Database!$A$1:$AS$1,),))))-(((VLOOKUP(EDATE(B393,-12),Database!$A:$AS,MATCH($O$1,Database!$A$1:$AS$1,),)))))/(((VLOOKUP(EDATE(B393,-12),Database!$A:$AS,MATCH($O$1,Database!$A$1:$AS$1,),))))</f>
        <v/>
      </c>
      <c r="P393" s="13">
        <f>((((VLOOKUP(B393,Database!$A:$AS,MATCH($P$1,Database!$A$1:$AS$1,),))))-(((VLOOKUP(EDATE(B393,-12),Database!$A:$AS,MATCH($P$1,Database!$A$1:$AS$1,),)))))/(((VLOOKUP(EDATE(B393,-12),Database!$A:$AS,MATCH($P$1,Database!$A$1:$AS$1,),))))</f>
        <v/>
      </c>
      <c r="Q393" s="13">
        <f>((((VLOOKUP(B393,Database!$A:$AS,MATCH($Q$1,Database!$A$1:$AS$1,),))))-(((VLOOKUP(EDATE(B393,-12),Database!$A:$AS,MATCH($Q$1,Database!$A$1:$AS$1,),)))))/(((VLOOKUP(EDATE(B393,-12),Database!$A:$AS,MATCH($Q$1,Database!$A$1:$AS$1,),))))</f>
        <v/>
      </c>
      <c r="R393" s="13">
        <f>((((VLOOKUP(B393,Database!$A:$AS,MATCH($R$1,Database!$A$1:$AS$1,),))))-(((VLOOKUP(EDATE(B393,-12),Database!$A:$AS,MATCH($R$1,Database!$A$1:$AS$1,),)))))/(((VLOOKUP(EDATE(B393,-12),Database!$A:$AS,MATCH($R$1,Database!$A$1:$AS$1,),))))</f>
        <v/>
      </c>
      <c r="S393" s="13">
        <f>((((VLOOKUP(B393,Database!$A:$AS,MATCH($S$1,Database!$A$1:$AS$1,),))))-(((VLOOKUP(EDATE(B393,-12),Database!$A:$AS,MATCH($S$1,Database!$A$1:$AS$1,),)))))/(((VLOOKUP(EDATE(B393,-12),Database!$A:$AS,MATCH($S$1,Database!$A$1:$AS$1,),))))</f>
        <v/>
      </c>
      <c r="T393" s="13">
        <f>((((VLOOKUP(B393,Database!$A:$AS,MATCH($T$1,Database!$A$1:$AS$1,),))))-(((VLOOKUP(EDATE(B393,-12),Database!$A:$AS,MATCH($T$1,Database!$A$1:$AS$1,),)))))/(((VLOOKUP(EDATE(B393,-12),Database!$A:$AS,MATCH($T$1,Database!$A$1:$AS$1,),))))</f>
        <v/>
      </c>
      <c r="U393" s="13">
        <f>((((VLOOKUP(B393,Database!$A:$AS,MATCH($U$1,Database!$A$1:$AS$1,),))))-(((VLOOKUP(EDATE(B393,-12),Database!$A:$AS,MATCH($U$1,Database!$A$1:$AS$1,),)))))/(((VLOOKUP(EDATE(B393,-12),Database!$A:$AS,MATCH($U$1,Database!$A$1:$AS$1,),))))</f>
        <v/>
      </c>
      <c r="V393" s="13">
        <f>((((VLOOKUP(B393,Database!$A:$AS,MATCH($V$1,Database!$A$1:$AS$1,),))))-(((VLOOKUP(EDATE(B393,-12),Database!$A:$AS,MATCH($V$1,Database!$A$1:$AS$1,),)))))/(((VLOOKUP(EDATE(B393,-12),Database!$A:$AS,MATCH($V$1,Database!$A$1:$AS$1,),))))</f>
        <v/>
      </c>
    </row>
    <row r="394" customFormat="1" s="94"/>
    <row r="395" customFormat="1" s="94"/>
    <row r="396" customFormat="1" s="94"/>
    <row r="397" customFormat="1" s="94"/>
    <row r="398" customFormat="1" s="94"/>
    <row r="399" customFormat="1" s="94"/>
    <row r="400" customFormat="1" s="94"/>
    <row r="401" customFormat="1" s="94"/>
    <row r="402" customFormat="1" s="94"/>
    <row r="403" customFormat="1" s="94"/>
    <row r="404" customFormat="1" s="94"/>
    <row r="405" customFormat="1" s="94"/>
    <row r="406" customFormat="1" s="94"/>
    <row r="407" customFormat="1" s="94"/>
    <row r="408" customFormat="1" s="94"/>
    <row r="409" customFormat="1" s="94"/>
    <row r="410" customFormat="1" s="94"/>
    <row r="411" customFormat="1" s="94"/>
    <row r="412" customFormat="1" s="94"/>
    <row r="413" customFormat="1" s="94"/>
    <row r="414" customFormat="1" s="94"/>
    <row r="415" customFormat="1" s="94"/>
    <row r="416" customFormat="1" s="94"/>
    <row r="417" customFormat="1" s="94"/>
    <row r="418" customFormat="1" s="94"/>
    <row r="419" customFormat="1" s="94"/>
    <row r="420" customFormat="1" s="94"/>
    <row r="421" customFormat="1" s="94"/>
    <row r="422" customFormat="1" s="94"/>
    <row r="423" customFormat="1" s="94"/>
    <row r="424" customFormat="1" s="94"/>
    <row r="425" customFormat="1" s="94"/>
    <row r="426" customFormat="1" s="94"/>
    <row r="427" customFormat="1" s="94"/>
    <row r="428" customFormat="1" s="94"/>
    <row r="429" customFormat="1" s="94"/>
    <row r="430" customFormat="1" s="94"/>
    <row r="431" customFormat="1" s="94"/>
    <row r="432" customFormat="1" s="94"/>
    <row r="433" customFormat="1" s="94"/>
    <row r="434" customFormat="1" s="94"/>
    <row r="435" customFormat="1" s="94"/>
    <row r="436" customFormat="1" s="94"/>
    <row r="437" customFormat="1" s="94"/>
    <row r="438" customFormat="1" s="94"/>
    <row r="439" customFormat="1" s="94"/>
    <row r="440" customFormat="1" s="94"/>
    <row r="441" customFormat="1" s="94"/>
    <row r="442" customFormat="1" s="94"/>
    <row r="443" customFormat="1" s="94"/>
    <row r="444" customFormat="1" s="94"/>
    <row r="445" customFormat="1" s="94"/>
    <row r="446" customFormat="1" s="94"/>
    <row r="447" customFormat="1" s="94"/>
    <row r="448" customFormat="1" s="94"/>
    <row r="449" customFormat="1" s="94"/>
    <row r="450" customFormat="1" s="94"/>
    <row r="451" customFormat="1" s="94"/>
    <row r="452" customFormat="1" s="94"/>
    <row r="453" customFormat="1" s="94"/>
    <row r="454" customFormat="1" s="94"/>
    <row r="455" customFormat="1" s="94"/>
    <row r="456" customFormat="1" s="94"/>
    <row r="457" customFormat="1" s="94"/>
    <row r="458" customFormat="1" s="94"/>
    <row r="459" customFormat="1" s="94"/>
    <row r="460" customFormat="1" s="94"/>
    <row r="461" customFormat="1" s="94"/>
    <row r="462" customFormat="1" s="94"/>
    <row r="463" customFormat="1" s="94"/>
    <row r="464" customFormat="1" s="94"/>
    <row r="465" customFormat="1" s="94"/>
    <row r="466" customFormat="1" s="94"/>
    <row r="467" customFormat="1" s="94"/>
    <row r="468" customFormat="1" s="94"/>
    <row r="469" customFormat="1" s="94"/>
    <row r="470" customFormat="1" s="94"/>
    <row r="471" customFormat="1" s="94"/>
    <row r="472" customFormat="1" s="94"/>
    <row r="473" customFormat="1" s="94"/>
    <row r="474" customFormat="1" s="94"/>
    <row r="475" customFormat="1" s="94"/>
    <row r="476" customFormat="1" s="94"/>
    <row r="477" customFormat="1" s="94"/>
    <row r="478" customFormat="1" s="94"/>
    <row r="479" customFormat="1" s="94"/>
    <row r="480" customFormat="1" s="94"/>
    <row r="481" customFormat="1" s="94"/>
    <row r="482" customFormat="1" s="94"/>
    <row r="483" customFormat="1" s="94"/>
    <row r="484" customFormat="1" s="94"/>
    <row r="485" customFormat="1" s="94"/>
    <row r="486" customFormat="1" s="94"/>
    <row r="487" customFormat="1" s="94"/>
    <row r="488" customFormat="1" s="94"/>
    <row r="489" customFormat="1" s="94"/>
    <row r="490" customFormat="1" s="94"/>
    <row r="491" customFormat="1" s="94"/>
    <row r="492" customFormat="1" s="94"/>
    <row r="493" customFormat="1" s="94"/>
    <row r="494" customFormat="1" s="94"/>
    <row r="495" customFormat="1" s="94"/>
    <row r="496" customFormat="1" s="94"/>
    <row r="497" customFormat="1" s="94"/>
    <row r="498" customFormat="1" s="94"/>
    <row r="499" customFormat="1" s="94"/>
    <row r="500" customFormat="1" s="94"/>
    <row r="501" customFormat="1" s="94"/>
    <row r="502" customFormat="1" s="94"/>
    <row r="503" customFormat="1" s="94"/>
    <row r="504" customFormat="1" s="94"/>
    <row r="505" customFormat="1" s="94"/>
    <row r="506" customFormat="1" s="94"/>
    <row r="507" customFormat="1" s="94"/>
    <row r="508" customFormat="1" s="94"/>
    <row r="509" customFormat="1" s="94"/>
    <row r="510" customFormat="1" s="94"/>
    <row r="511" customFormat="1" s="94"/>
    <row r="512" customFormat="1" s="94"/>
    <row r="513" customFormat="1" s="94"/>
    <row r="514" customFormat="1" s="94"/>
    <row r="515" customFormat="1" s="94"/>
    <row r="516" customFormat="1" s="94"/>
    <row r="517" customFormat="1" s="94"/>
    <row r="518" customFormat="1" s="94"/>
    <row r="519" customFormat="1" s="94"/>
    <row r="520" customFormat="1" s="94"/>
    <row r="521" customFormat="1" s="94"/>
    <row r="522" customFormat="1" s="94"/>
    <row r="523" customFormat="1" s="94"/>
    <row r="524" customFormat="1" s="94"/>
    <row r="525" customFormat="1" s="94"/>
    <row r="526" customFormat="1" s="94"/>
    <row r="527" customFormat="1" s="94"/>
    <row r="528" customFormat="1" s="94"/>
    <row r="529" customFormat="1" s="94"/>
    <row r="530" customFormat="1" s="94"/>
    <row r="531" customFormat="1" s="94"/>
    <row r="532" customFormat="1" s="94"/>
    <row r="533" customFormat="1" s="94"/>
    <row r="534" customFormat="1" s="94"/>
    <row r="535" customFormat="1" s="94"/>
    <row r="536" customFormat="1" s="94"/>
    <row r="537" customFormat="1" s="94"/>
    <row r="538" customFormat="1" s="94"/>
    <row r="539" customFormat="1" s="94"/>
    <row r="540" customFormat="1" s="94"/>
    <row r="541" customFormat="1" s="94"/>
    <row r="542" customFormat="1" s="94"/>
    <row r="543" customFormat="1" s="94"/>
    <row r="544" customFormat="1" s="94"/>
    <row r="545" customFormat="1" s="94"/>
    <row r="546" customFormat="1" s="94"/>
    <row r="547" customFormat="1" s="94"/>
    <row r="548" customFormat="1" s="94"/>
    <row r="549" customFormat="1" s="94"/>
    <row r="550" customFormat="1" s="94"/>
    <row r="551" customFormat="1" s="94"/>
    <row r="552" customFormat="1" s="94"/>
    <row r="553" customFormat="1" s="94"/>
    <row r="554" customFormat="1" s="94"/>
    <row r="555" customFormat="1" s="94"/>
    <row r="556" customFormat="1" s="94"/>
    <row r="557" customFormat="1" s="94"/>
    <row r="558" customFormat="1" s="94"/>
    <row r="559" customFormat="1" s="94"/>
    <row r="560" customFormat="1" s="94"/>
    <row r="561" customFormat="1" s="94"/>
    <row r="562" customFormat="1" s="94"/>
    <row r="563" customFormat="1" s="94"/>
    <row r="564" customFormat="1" s="94"/>
    <row r="565" customFormat="1" s="94"/>
    <row r="566" customFormat="1" s="94"/>
    <row r="567" customFormat="1" s="94"/>
    <row r="568" customFormat="1" s="94"/>
    <row r="569" customFormat="1" s="94"/>
    <row r="570" customFormat="1" s="94"/>
    <row r="571" customFormat="1" s="94"/>
    <row r="572" customFormat="1" s="94"/>
    <row r="573" customFormat="1" s="94"/>
    <row r="574" customFormat="1" s="94"/>
    <row r="575" customFormat="1" s="94"/>
    <row r="576" customFormat="1" s="94"/>
    <row r="577" customFormat="1" s="94"/>
    <row r="578" customFormat="1" s="94"/>
    <row r="579" customFormat="1" s="94"/>
    <row r="580" customFormat="1" s="94"/>
    <row r="581" customFormat="1" s="94"/>
    <row r="582" customFormat="1" s="94"/>
    <row r="583" customFormat="1" s="94"/>
    <row r="584" customFormat="1" s="94"/>
    <row r="585" customFormat="1" s="94"/>
    <row r="586" customFormat="1" s="94"/>
    <row r="587" customFormat="1" s="94"/>
    <row r="588" customFormat="1" s="94"/>
    <row r="589" customFormat="1" s="94"/>
    <row r="590" customFormat="1" s="94"/>
    <row r="591" customFormat="1" s="94"/>
    <row r="592" customFormat="1" s="94"/>
    <row r="593" customFormat="1" s="94"/>
    <row r="594" customFormat="1" s="94"/>
    <row r="595" customFormat="1" s="94"/>
    <row r="596" customFormat="1" s="94"/>
    <row r="597" customFormat="1" s="94"/>
    <row r="598" customFormat="1" s="94"/>
    <row r="599" customFormat="1" s="94"/>
    <row r="600" customFormat="1" s="94"/>
    <row r="601" customFormat="1" s="94"/>
    <row r="602" customFormat="1" s="94"/>
    <row r="603" customFormat="1" s="94"/>
    <row r="604" customFormat="1" s="94"/>
    <row r="605" customFormat="1" s="94"/>
    <row r="606" customFormat="1" s="94"/>
    <row r="607" customFormat="1" s="94"/>
    <row r="608" customFormat="1" s="94"/>
    <row r="609" customFormat="1" s="94"/>
    <row r="610" customFormat="1" s="94"/>
    <row r="611" customFormat="1" s="94"/>
    <row r="612" customFormat="1" s="94"/>
    <row r="613" customFormat="1" s="94"/>
    <row r="614" customFormat="1" s="94"/>
    <row r="615" customFormat="1" s="94"/>
    <row r="616" customFormat="1" s="94"/>
    <row r="617" customFormat="1" s="94"/>
    <row r="618" customFormat="1" s="94"/>
    <row r="619" customFormat="1" s="94"/>
    <row r="620" customFormat="1" s="94"/>
    <row r="621" customFormat="1" s="94"/>
    <row r="622" customFormat="1" s="94"/>
    <row r="623" customFormat="1" s="94"/>
    <row r="624" customFormat="1" s="94"/>
    <row r="625" customFormat="1" s="94"/>
    <row r="626" customFormat="1" s="94"/>
    <row r="627" customFormat="1" s="94"/>
    <row r="628" customFormat="1" s="94"/>
    <row r="629" customFormat="1" s="94"/>
    <row r="630" customFormat="1" s="94"/>
    <row r="631" customFormat="1" s="94"/>
    <row r="632" customFormat="1" s="94"/>
    <row r="633" customFormat="1" s="94"/>
    <row r="634" customFormat="1" s="94"/>
    <row r="635" customFormat="1" s="94"/>
    <row r="636" customFormat="1" s="94"/>
    <row r="637" customFormat="1" s="94"/>
    <row r="638" customFormat="1" s="94"/>
    <row r="639" customFormat="1" s="94"/>
    <row r="640" customFormat="1" s="94"/>
    <row r="641" customFormat="1" s="94"/>
    <row r="642" customFormat="1" s="94"/>
    <row r="643" customFormat="1" s="94"/>
    <row r="644" customFormat="1" s="94"/>
    <row r="645" customFormat="1" s="94"/>
    <row r="646" customFormat="1" s="94"/>
    <row r="647" customFormat="1" s="94"/>
    <row r="648" customFormat="1" s="94"/>
    <row r="649" customFormat="1" s="94"/>
    <row r="650" customFormat="1" s="94"/>
    <row r="651" customFormat="1" s="94"/>
    <row r="652" customFormat="1" s="94"/>
    <row r="653" customFormat="1" s="94"/>
    <row r="654" customFormat="1" s="94"/>
    <row r="655" customFormat="1" s="94"/>
    <row r="656" customFormat="1" s="94"/>
    <row r="657" customFormat="1" s="94"/>
    <row r="658" customFormat="1" s="94"/>
    <row r="659" customFormat="1" s="94"/>
    <row r="660" customFormat="1" s="94"/>
    <row r="661" customFormat="1" s="94"/>
    <row r="662" customFormat="1" s="94"/>
    <row r="663" customFormat="1" s="94"/>
    <row r="664" customFormat="1" s="94"/>
    <row r="665" customFormat="1" s="94"/>
    <row r="666" customFormat="1" s="94"/>
    <row r="667" customFormat="1" s="94"/>
    <row r="668" customFormat="1" s="94"/>
    <row r="669" customFormat="1" s="94"/>
    <row r="670" customFormat="1" s="94"/>
    <row r="671" customFormat="1" s="94"/>
    <row r="672" customFormat="1" s="94"/>
    <row r="673" customFormat="1" s="94"/>
    <row r="674" customFormat="1" s="94"/>
    <row r="675" customFormat="1" s="94"/>
    <row r="676" customFormat="1" s="94"/>
    <row r="677" customFormat="1" s="94"/>
    <row r="678" customFormat="1" s="94"/>
    <row r="679" customFormat="1" s="94"/>
    <row r="680" customFormat="1" s="94"/>
    <row r="681" customFormat="1" s="94"/>
    <row r="682" customFormat="1" s="94"/>
    <row r="683" customFormat="1" s="94"/>
    <row r="684" customFormat="1" s="94"/>
    <row r="685" customFormat="1" s="94"/>
    <row r="686" customFormat="1" s="94"/>
    <row r="687" customFormat="1" s="94"/>
    <row r="688" customFormat="1" s="94"/>
    <row r="689" customFormat="1" s="94"/>
    <row r="690" customFormat="1" s="94"/>
    <row r="691" customFormat="1" s="94"/>
    <row r="692" customFormat="1" s="94"/>
    <row r="693" customFormat="1" s="94"/>
    <row r="694" customFormat="1" s="94"/>
    <row r="695" customFormat="1" s="94"/>
    <row r="696" customFormat="1" s="94"/>
    <row r="697" customFormat="1" s="94"/>
    <row r="698" customFormat="1" s="94"/>
    <row r="699" customFormat="1" s="94"/>
    <row r="700" customFormat="1" s="94"/>
    <row r="701" customFormat="1" s="94"/>
    <row r="702" customFormat="1" s="94"/>
    <row r="703" customFormat="1" s="94"/>
    <row r="704" customFormat="1" s="94"/>
    <row r="705" customFormat="1" s="94"/>
    <row r="706" customFormat="1" s="94"/>
    <row r="707" customFormat="1" s="94"/>
    <row r="708" customFormat="1" s="94"/>
    <row r="709" customFormat="1" s="94"/>
    <row r="710" customFormat="1" s="94"/>
    <row r="711" customFormat="1" s="94"/>
    <row r="712" customFormat="1" s="94"/>
    <row r="713" customFormat="1" s="94"/>
    <row r="714" customFormat="1" s="94"/>
    <row r="715" customFormat="1" s="94"/>
    <row r="716" customFormat="1" s="94"/>
    <row r="717" customFormat="1" s="94"/>
    <row r="718" customFormat="1" s="94"/>
    <row r="719" customFormat="1" s="94"/>
    <row r="720" customFormat="1" s="94"/>
    <row r="721" customFormat="1" s="94"/>
    <row r="722" customFormat="1" s="94"/>
    <row r="723" customFormat="1" s="94"/>
    <row r="724" customFormat="1" s="94"/>
    <row r="725" customFormat="1" s="94"/>
    <row r="726" customFormat="1" s="94"/>
    <row r="727" customFormat="1" s="94"/>
    <row r="728" customFormat="1" s="94"/>
    <row r="729" customFormat="1" s="94"/>
    <row r="730" customFormat="1" s="94"/>
    <row r="731" customFormat="1" s="94"/>
    <row r="732" customFormat="1" s="94"/>
    <row r="733" customFormat="1" s="94"/>
    <row r="734" customFormat="1" s="94"/>
    <row r="735" customFormat="1" s="94"/>
    <row r="736" customFormat="1" s="94"/>
    <row r="737" customFormat="1" s="94"/>
    <row r="738" customFormat="1" s="94"/>
    <row r="739" customFormat="1" s="94"/>
    <row r="740" customFormat="1" s="94"/>
    <row r="741" customFormat="1" s="94"/>
    <row r="742" customFormat="1" s="94"/>
    <row r="743" customFormat="1" s="94"/>
    <row r="744" customFormat="1" s="94"/>
    <row r="745" customFormat="1" s="94"/>
    <row r="746" customFormat="1" s="94"/>
    <row r="747" customFormat="1" s="94"/>
    <row r="748" customFormat="1" s="94"/>
    <row r="749" customFormat="1" s="94"/>
    <row r="750" customFormat="1" s="94"/>
    <row r="751" customFormat="1" s="94"/>
    <row r="752" customFormat="1" s="94"/>
    <row r="753" customFormat="1" s="94"/>
    <row r="754" customFormat="1" s="94"/>
    <row r="755" customFormat="1" s="94"/>
    <row r="756" customFormat="1" s="94"/>
    <row r="757" customFormat="1" s="94"/>
    <row r="758" customFormat="1" s="94"/>
    <row r="759" customFormat="1" s="94"/>
    <row r="760" customFormat="1" s="94"/>
    <row r="761" customFormat="1" s="94"/>
    <row r="762" customFormat="1" s="94"/>
    <row r="763" customFormat="1" s="94"/>
    <row r="764" customFormat="1" s="94"/>
    <row r="765" customFormat="1" s="94"/>
    <row r="766" customFormat="1" s="94"/>
    <row r="767" customFormat="1" s="94"/>
    <row r="768" customFormat="1" s="94"/>
    <row r="769" customFormat="1" s="94"/>
    <row r="770" customFormat="1" s="94"/>
    <row r="771" customFormat="1" s="94"/>
    <row r="772" customFormat="1" s="94"/>
    <row r="773" customFormat="1" s="94"/>
    <row r="774" customFormat="1" s="94"/>
    <row r="775" customFormat="1" s="94"/>
    <row r="776" customFormat="1" s="94"/>
    <row r="777" customFormat="1" s="94"/>
    <row r="778" customFormat="1" s="94"/>
    <row r="779" customFormat="1" s="94"/>
    <row r="780" customFormat="1" s="94"/>
    <row r="781" customFormat="1" s="94"/>
    <row r="782" customFormat="1" s="94"/>
    <row r="783" customFormat="1" s="94"/>
    <row r="784" customFormat="1" s="94"/>
    <row r="785" customFormat="1" s="94"/>
    <row r="786" customFormat="1" s="94"/>
    <row r="787" customFormat="1" s="94"/>
    <row r="788" customFormat="1" s="94"/>
    <row r="789" customFormat="1" s="94"/>
    <row r="790" customFormat="1" s="94"/>
    <row r="791" customFormat="1" s="94"/>
    <row r="792" customFormat="1" s="94"/>
    <row r="793" customFormat="1" s="94"/>
    <row r="794" customFormat="1" s="94"/>
    <row r="795" customFormat="1" s="94"/>
    <row r="796" customFormat="1" s="94"/>
    <row r="797" customFormat="1" s="94"/>
    <row r="798" customFormat="1" s="94"/>
    <row r="799" customFormat="1" s="94"/>
    <row r="800" customFormat="1" s="94"/>
    <row r="801" customFormat="1" s="94"/>
    <row r="802" customFormat="1" s="94"/>
    <row r="803" customFormat="1" s="94"/>
    <row r="804" customFormat="1" s="94"/>
    <row r="805" customFormat="1" s="94"/>
    <row r="806" customFormat="1" s="94"/>
    <row r="807" customFormat="1" s="94"/>
    <row r="808" customFormat="1" s="94"/>
    <row r="809" customFormat="1" s="94"/>
    <row r="810" customFormat="1" s="94"/>
    <row r="811" customFormat="1" s="94"/>
    <row r="812" customFormat="1" s="94"/>
    <row r="813" customFormat="1" s="94"/>
    <row r="814" customFormat="1" s="94"/>
    <row r="815" customFormat="1" s="94"/>
    <row r="816" customFormat="1" s="94"/>
    <row r="817" customFormat="1" s="94"/>
    <row r="818" customFormat="1" s="94"/>
    <row r="819" customFormat="1" s="94"/>
    <row r="820" customFormat="1" s="94"/>
    <row r="821" customFormat="1" s="94"/>
    <row r="822" customFormat="1" s="94"/>
    <row r="823" customFormat="1" s="94"/>
    <row r="824" customFormat="1" s="94"/>
    <row r="825" customFormat="1" s="94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W834"/>
  <sheetViews>
    <sheetView zoomScale="120" zoomScaleNormal="120" workbookViewId="0">
      <pane ySplit="1" topLeftCell="A2" activePane="bottomLeft" state="frozen"/>
      <selection pane="bottomLeft" activeCell="U19" sqref="U19"/>
    </sheetView>
  </sheetViews>
  <sheetFormatPr baseColWidth="10" defaultColWidth="8.83203125" defaultRowHeight="15"/>
  <cols>
    <col width="9.1640625" customWidth="1" style="1" min="1" max="1"/>
    <col width="12.6640625" bestFit="1" customWidth="1" style="82" min="2" max="2"/>
    <col width="11.6640625" customWidth="1" style="7" min="3" max="3"/>
    <col width="11.6640625" customWidth="1" style="6" min="4" max="4"/>
    <col width="12.83203125" customWidth="1" style="82" min="18" max="18"/>
    <col width="10.6640625" bestFit="1" customWidth="1" style="82" min="19" max="19"/>
    <col width="14.6640625" customWidth="1" style="82" min="20" max="20"/>
    <col width="31.33203125" customWidth="1" style="82" min="21" max="21"/>
  </cols>
  <sheetData>
    <row r="1">
      <c r="A1" s="38" t="inlineStr">
        <is>
          <t>Data</t>
        </is>
      </c>
      <c r="B1" s="39" t="inlineStr">
        <is>
          <t>ITA</t>
        </is>
      </c>
      <c r="C1" s="40" t="inlineStr">
        <is>
          <t>FRA</t>
        </is>
      </c>
      <c r="D1" s="41" t="inlineStr">
        <is>
          <t>DEU</t>
        </is>
      </c>
      <c r="E1" s="39" t="inlineStr">
        <is>
          <t>ESP</t>
        </is>
      </c>
      <c r="F1" s="39" t="inlineStr">
        <is>
          <t>EA19</t>
        </is>
      </c>
      <c r="G1" s="39" t="inlineStr">
        <is>
          <t>GBR</t>
        </is>
      </c>
      <c r="H1" s="39" t="inlineStr">
        <is>
          <t>Italy</t>
        </is>
      </c>
      <c r="I1" s="39" t="inlineStr">
        <is>
          <t>France</t>
        </is>
      </c>
      <c r="J1" s="39" t="inlineStr">
        <is>
          <t>Germany</t>
        </is>
      </c>
      <c r="K1" s="39" t="inlineStr">
        <is>
          <t>Spain</t>
        </is>
      </c>
      <c r="L1" s="39" t="inlineStr">
        <is>
          <t>Eurozone</t>
        </is>
      </c>
      <c r="M1" s="39" t="inlineStr">
        <is>
          <t>United Kingdom</t>
        </is>
      </c>
      <c r="N1" s="39" t="inlineStr">
        <is>
          <t>USA</t>
        </is>
      </c>
      <c r="O1" s="39" t="inlineStr">
        <is>
          <t xml:space="preserve">USA </t>
        </is>
      </c>
      <c r="P1" s="39" t="inlineStr">
        <is>
          <t>JPN</t>
        </is>
      </c>
      <c r="Q1" s="42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94">
      <c r="A2" s="22" t="n">
        <v>32874</v>
      </c>
      <c r="B2" s="86">
        <f>VLOOKUP(A2,Database!$A:$AS,MATCH($B$1,Database!$A$1:$AS$1,0),FALSE)</f>
        <v/>
      </c>
      <c r="C2" s="86">
        <f>VLOOKUP(A2,Database!$A:$AS,MATCH($C$1,Database!$A$1:$AS$1,0),FALSE)</f>
        <v/>
      </c>
      <c r="D2" s="86">
        <f>VLOOKUP(A2,Database!$A:$AS,MATCH($D$1,Database!$A$1:$AS$1,0),FALSE)</f>
        <v/>
      </c>
      <c r="E2" s="86">
        <f>VLOOKUP(A2,Database!$A:$AS,MATCH($E$1,Database!$A$1:$AS$1,0),FALSE)</f>
        <v/>
      </c>
      <c r="F2" s="86">
        <f>VLOOKUP(A2,Database!$A:$AS,MATCH($F$1,Database!$A$1:$AS$1,0),FALSE)</f>
        <v/>
      </c>
      <c r="G2" s="86">
        <f>VLOOKUP(A2,Database!$A:$AS,MATCH($G$1,Database!$A$1:$AS$1,0),FALSE)</f>
        <v/>
      </c>
      <c r="H2" s="86">
        <f>(((Table134567891011121314151617343[[#This Row],[ITA]]-VLOOKUP($U$1,A:B,2,))/VLOOKUP($U$1,A:B,2,))*100)+100</f>
        <v/>
      </c>
      <c r="I2" s="86">
        <f>(((Table134567891011121314151617343[[#This Row],[FRA]]-VLOOKUP($U$1,A:C,3,))/VLOOKUP($U$1,A:C,3,))*100)+100</f>
        <v/>
      </c>
      <c r="J2" s="86">
        <f>(((Table134567891011121314151617343[[#This Row],[DEU]]-VLOOKUP($U$1,A:D,4,))/VLOOKUP($U$1,A:D,4,))*100)+100</f>
        <v/>
      </c>
      <c r="K2" s="86">
        <f>(((Table134567891011121314151617343[[#This Row],[ESP]]-VLOOKUP($U$1,A:E,5,))/VLOOKUP($U$1,A:E,5,))*100)+100</f>
        <v/>
      </c>
      <c r="L2" s="86">
        <f>(((Table134567891011121314151617343[[#This Row],[EA19]]-VLOOKUP($U$1,A:F,6,))/VLOOKUP($U$1,A:F,6,))*100)+100</f>
        <v/>
      </c>
      <c r="M2" s="86">
        <f>(((Table134567891011121314151617343[[#This Row],[GBR]]-VLOOKUP($U$1,A:G,7,))/VLOOKUP($U$1,A:G,7,))*100)+100</f>
        <v/>
      </c>
      <c r="N2" s="86">
        <f>VLOOKUP(A2,Database!$A:$AS,MATCH($N$1,Database!$A$1:$AS$1,0),FALSE)</f>
        <v/>
      </c>
      <c r="O2" s="86">
        <f>(((Table134567891011121314151617343[[#This Row],[USA]]-VLOOKUP($U$1,A:N,14,))/VLOOKUP($U$1,A:N,14,))*100)+100</f>
        <v/>
      </c>
      <c r="P2" s="86">
        <f>VLOOKUP(A2,Database!$A:$AS,MATCH($P$1,Database!$A$1:$AS$1,0),FALSE)</f>
        <v/>
      </c>
      <c r="Q2" s="86">
        <f>(((Table134567891011121314151617343[[#This Row],[JPN]]-VLOOKUP($U$1,A:Q,16,))/VLOOKUP($U$1,A:Q,16,))*100)+100</f>
        <v/>
      </c>
      <c r="W2" s="94" t="inlineStr">
        <is>
          <t>AUT</t>
        </is>
      </c>
    </row>
    <row r="3" customFormat="1" s="94">
      <c r="A3" s="22" t="n">
        <v>32905</v>
      </c>
      <c r="B3" s="86">
        <f>VLOOKUP(A3,Database!$A:$AS,MATCH($B$1,Database!$A$1:$AS$1,0),FALSE)</f>
        <v/>
      </c>
      <c r="C3" s="86">
        <f>VLOOKUP(A3,Database!$A:$AS,MATCH($C$1,Database!$A$1:$AS$1,0),FALSE)</f>
        <v/>
      </c>
      <c r="D3" s="86">
        <f>VLOOKUP(A3,Database!$A:$AS,MATCH($D$1,Database!$A$1:$AS$1,0),FALSE)</f>
        <v/>
      </c>
      <c r="E3" s="86">
        <f>VLOOKUP(A3,Database!$A:$AS,MATCH($E$1,Database!$A$1:$AS$1,0),FALSE)</f>
        <v/>
      </c>
      <c r="F3" s="86">
        <f>VLOOKUP(A3,Database!$A:$AS,MATCH($F$1,Database!$A$1:$AS$1,0),FALSE)</f>
        <v/>
      </c>
      <c r="G3" s="86">
        <f>VLOOKUP(A3,Database!$A:$AS,MATCH($G$1,Database!$A$1:$AS$1,0),FALSE)</f>
        <v/>
      </c>
      <c r="H3" s="86">
        <f>(((Table134567891011121314151617343[[#This Row],[ITA]]-VLOOKUP($U$1,A:B,2,))/VLOOKUP($U$1,A:B,2,))*100)+100</f>
        <v/>
      </c>
      <c r="I3" s="86">
        <f>(((Table134567891011121314151617343[[#This Row],[FRA]]-VLOOKUP($U$1,A:C,3,))/VLOOKUP($U$1,A:C,3,))*100)+100</f>
        <v/>
      </c>
      <c r="J3" s="86">
        <f>(((Table134567891011121314151617343[[#This Row],[DEU]]-VLOOKUP($U$1,A:D,4,))/VLOOKUP($U$1,A:D,4,))*100)+100</f>
        <v/>
      </c>
      <c r="K3" s="86">
        <f>(((Table134567891011121314151617343[[#This Row],[ESP]]-VLOOKUP($U$1,A:E,5,))/VLOOKUP($U$1,A:E,5,))*100)+100</f>
        <v/>
      </c>
      <c r="L3" s="86">
        <f>(((Table134567891011121314151617343[[#This Row],[EA19]]-VLOOKUP($U$1,A:F,6,))/VLOOKUP($U$1,A:F,6,))*100)+100</f>
        <v/>
      </c>
      <c r="M3" s="86">
        <f>(((Table134567891011121314151617343[[#This Row],[GBR]]-VLOOKUP($U$1,A:G,7,))/VLOOKUP($U$1,A:G,7,))*100)+100</f>
        <v/>
      </c>
      <c r="N3" s="86">
        <f>VLOOKUP(A3,Database!$A:$AS,MATCH($N$1,Database!$A$1:$AS$1,0),FALSE)</f>
        <v/>
      </c>
      <c r="O3" s="86">
        <f>(((Table134567891011121314151617343[[#This Row],[USA]]-VLOOKUP($U$1,A:N,14,))/VLOOKUP($U$1,A:N,14,))*100)+100</f>
        <v/>
      </c>
      <c r="P3" s="86">
        <f>VLOOKUP(A3,Database!$A:$AS,MATCH($P$1,Database!$A$1:$AS$1,0),FALSE)</f>
        <v/>
      </c>
      <c r="Q3" s="86">
        <f>(((Table134567891011121314151617343[[#This Row],[JPN]]-VLOOKUP($U$1,A:Q,16,))/VLOOKUP($U$1,A:Q,16,))*100)+100</f>
        <v/>
      </c>
      <c r="W3" s="94" t="inlineStr">
        <is>
          <t>BEL</t>
        </is>
      </c>
    </row>
    <row r="4" customFormat="1" s="94">
      <c r="A4" s="22" t="n">
        <v>32933</v>
      </c>
      <c r="B4" s="86">
        <f>VLOOKUP(A4,Database!$A:$AS,MATCH($B$1,Database!$A$1:$AS$1,0),FALSE)</f>
        <v/>
      </c>
      <c r="C4" s="86">
        <f>VLOOKUP(A4,Database!$A:$AS,MATCH($C$1,Database!$A$1:$AS$1,0),FALSE)</f>
        <v/>
      </c>
      <c r="D4" s="86">
        <f>VLOOKUP(A4,Database!$A:$AS,MATCH($D$1,Database!$A$1:$AS$1,0),FALSE)</f>
        <v/>
      </c>
      <c r="E4" s="86">
        <f>VLOOKUP(A4,Database!$A:$AS,MATCH($E$1,Database!$A$1:$AS$1,0),FALSE)</f>
        <v/>
      </c>
      <c r="F4" s="86">
        <f>VLOOKUP(A4,Database!$A:$AS,MATCH($F$1,Database!$A$1:$AS$1,0),FALSE)</f>
        <v/>
      </c>
      <c r="G4" s="86">
        <f>VLOOKUP(A4,Database!$A:$AS,MATCH($G$1,Database!$A$1:$AS$1,0),FALSE)</f>
        <v/>
      </c>
      <c r="H4" s="86">
        <f>(((Table134567891011121314151617343[[#This Row],[ITA]]-VLOOKUP($U$1,A:B,2,))/VLOOKUP($U$1,A:B,2,))*100)+100</f>
        <v/>
      </c>
      <c r="I4" s="86">
        <f>(((Table134567891011121314151617343[[#This Row],[FRA]]-VLOOKUP($U$1,A:C,3,))/VLOOKUP($U$1,A:C,3,))*100)+100</f>
        <v/>
      </c>
      <c r="J4" s="86">
        <f>(((Table134567891011121314151617343[[#This Row],[DEU]]-VLOOKUP($U$1,A:D,4,))/VLOOKUP($U$1,A:D,4,))*100)+100</f>
        <v/>
      </c>
      <c r="K4" s="86">
        <f>(((Table134567891011121314151617343[[#This Row],[ESP]]-VLOOKUP($U$1,A:E,5,))/VLOOKUP($U$1,A:E,5,))*100)+100</f>
        <v/>
      </c>
      <c r="L4" s="86">
        <f>(((Table134567891011121314151617343[[#This Row],[EA19]]-VLOOKUP($U$1,A:F,6,))/VLOOKUP($U$1,A:F,6,))*100)+100</f>
        <v/>
      </c>
      <c r="M4" s="86">
        <f>(((Table134567891011121314151617343[[#This Row],[GBR]]-VLOOKUP($U$1,A:G,7,))/VLOOKUP($U$1,A:G,7,))*100)+100</f>
        <v/>
      </c>
      <c r="N4" s="86">
        <f>VLOOKUP(A4,Database!$A:$AS,MATCH($N$1,Database!$A$1:$AS$1,0),FALSE)</f>
        <v/>
      </c>
      <c r="O4" s="86">
        <f>(((Table134567891011121314151617343[[#This Row],[USA]]-VLOOKUP($U$1,A:N,14,))/VLOOKUP($U$1,A:N,14,))*100)+100</f>
        <v/>
      </c>
      <c r="P4" s="86">
        <f>VLOOKUP(A4,Database!$A:$AS,MATCH($P$1,Database!$A$1:$AS$1,0),FALSE)</f>
        <v/>
      </c>
      <c r="Q4" s="86">
        <f>(((Table134567891011121314151617343[[#This Row],[JPN]]-VLOOKUP($U$1,A:Q,16,))/VLOOKUP($U$1,A:Q,16,))*100)+100</f>
        <v/>
      </c>
      <c r="W4" s="94" t="inlineStr">
        <is>
          <t>CAN</t>
        </is>
      </c>
    </row>
    <row r="5" customFormat="1" s="94">
      <c r="A5" s="22" t="n">
        <v>32964</v>
      </c>
      <c r="B5" s="86">
        <f>VLOOKUP(A5,Database!$A:$AS,MATCH($B$1,Database!$A$1:$AS$1,0),FALSE)</f>
        <v/>
      </c>
      <c r="C5" s="86">
        <f>VLOOKUP(A5,Database!$A:$AS,MATCH($C$1,Database!$A$1:$AS$1,0),FALSE)</f>
        <v/>
      </c>
      <c r="D5" s="86">
        <f>VLOOKUP(A5,Database!$A:$AS,MATCH($D$1,Database!$A$1:$AS$1,0),FALSE)</f>
        <v/>
      </c>
      <c r="E5" s="86">
        <f>VLOOKUP(A5,Database!$A:$AS,MATCH($E$1,Database!$A$1:$AS$1,0),FALSE)</f>
        <v/>
      </c>
      <c r="F5" s="86">
        <f>VLOOKUP(A5,Database!$A:$AS,MATCH($F$1,Database!$A$1:$AS$1,0),FALSE)</f>
        <v/>
      </c>
      <c r="G5" s="86">
        <f>VLOOKUP(A5,Database!$A:$AS,MATCH($G$1,Database!$A$1:$AS$1,0),FALSE)</f>
        <v/>
      </c>
      <c r="H5" s="86">
        <f>(((Table134567891011121314151617343[[#This Row],[ITA]]-VLOOKUP($U$1,A:B,2,))/VLOOKUP($U$1,A:B,2,))*100)+100</f>
        <v/>
      </c>
      <c r="I5" s="86">
        <f>(((Table134567891011121314151617343[[#This Row],[FRA]]-VLOOKUP($U$1,A:C,3,))/VLOOKUP($U$1,A:C,3,))*100)+100</f>
        <v/>
      </c>
      <c r="J5" s="86">
        <f>(((Table134567891011121314151617343[[#This Row],[DEU]]-VLOOKUP($U$1,A:D,4,))/VLOOKUP($U$1,A:D,4,))*100)+100</f>
        <v/>
      </c>
      <c r="K5" s="86">
        <f>(((Table134567891011121314151617343[[#This Row],[ESP]]-VLOOKUP($U$1,A:E,5,))/VLOOKUP($U$1,A:E,5,))*100)+100</f>
        <v/>
      </c>
      <c r="L5" s="86">
        <f>(((Table134567891011121314151617343[[#This Row],[EA19]]-VLOOKUP($U$1,A:F,6,))/VLOOKUP($U$1,A:F,6,))*100)+100</f>
        <v/>
      </c>
      <c r="M5" s="86">
        <f>(((Table134567891011121314151617343[[#This Row],[GBR]]-VLOOKUP($U$1,A:G,7,))/VLOOKUP($U$1,A:G,7,))*100)+100</f>
        <v/>
      </c>
      <c r="N5" s="86">
        <f>VLOOKUP(A5,Database!$A:$AS,MATCH($N$1,Database!$A$1:$AS$1,0),FALSE)</f>
        <v/>
      </c>
      <c r="O5" s="86">
        <f>(((Table134567891011121314151617343[[#This Row],[USA]]-VLOOKUP($U$1,A:N,14,))/VLOOKUP($U$1,A:N,14,))*100)+100</f>
        <v/>
      </c>
      <c r="P5" s="86">
        <f>VLOOKUP(A5,Database!$A:$AS,MATCH($P$1,Database!$A$1:$AS$1,0),FALSE)</f>
        <v/>
      </c>
      <c r="Q5" s="86">
        <f>(((Table134567891011121314151617343[[#This Row],[JPN]]-VLOOKUP($U$1,A:Q,16,))/VLOOKUP($U$1,A:Q,16,))*100)+100</f>
        <v/>
      </c>
      <c r="W5" s="94" t="inlineStr">
        <is>
          <t>CHL</t>
        </is>
      </c>
    </row>
    <row r="6" customFormat="1" s="94">
      <c r="A6" s="22" t="n">
        <v>32994</v>
      </c>
      <c r="B6" s="86">
        <f>VLOOKUP(A6,Database!$A:$AS,MATCH($B$1,Database!$A$1:$AS$1,0),FALSE)</f>
        <v/>
      </c>
      <c r="C6" s="86">
        <f>VLOOKUP(A6,Database!$A:$AS,MATCH($C$1,Database!$A$1:$AS$1,0),FALSE)</f>
        <v/>
      </c>
      <c r="D6" s="86">
        <f>VLOOKUP(A6,Database!$A:$AS,MATCH($D$1,Database!$A$1:$AS$1,0),FALSE)</f>
        <v/>
      </c>
      <c r="E6" s="86">
        <f>VLOOKUP(A6,Database!$A:$AS,MATCH($E$1,Database!$A$1:$AS$1,0),FALSE)</f>
        <v/>
      </c>
      <c r="F6" s="86">
        <f>VLOOKUP(A6,Database!$A:$AS,MATCH($F$1,Database!$A$1:$AS$1,0),FALSE)</f>
        <v/>
      </c>
      <c r="G6" s="86">
        <f>VLOOKUP(A6,Database!$A:$AS,MATCH($G$1,Database!$A$1:$AS$1,0),FALSE)</f>
        <v/>
      </c>
      <c r="H6" s="86">
        <f>(((Table134567891011121314151617343[[#This Row],[ITA]]-VLOOKUP($U$1,A:B,2,))/VLOOKUP($U$1,A:B,2,))*100)+100</f>
        <v/>
      </c>
      <c r="I6" s="86">
        <f>(((Table134567891011121314151617343[[#This Row],[FRA]]-VLOOKUP($U$1,A:C,3,))/VLOOKUP($U$1,A:C,3,))*100)+100</f>
        <v/>
      </c>
      <c r="J6" s="86">
        <f>(((Table134567891011121314151617343[[#This Row],[DEU]]-VLOOKUP($U$1,A:D,4,))/VLOOKUP($U$1,A:D,4,))*100)+100</f>
        <v/>
      </c>
      <c r="K6" s="86">
        <f>(((Table134567891011121314151617343[[#This Row],[ESP]]-VLOOKUP($U$1,A:E,5,))/VLOOKUP($U$1,A:E,5,))*100)+100</f>
        <v/>
      </c>
      <c r="L6" s="86">
        <f>(((Table134567891011121314151617343[[#This Row],[EA19]]-VLOOKUP($U$1,A:F,6,))/VLOOKUP($U$1,A:F,6,))*100)+100</f>
        <v/>
      </c>
      <c r="M6" s="86">
        <f>(((Table134567891011121314151617343[[#This Row],[GBR]]-VLOOKUP($U$1,A:G,7,))/VLOOKUP($U$1,A:G,7,))*100)+100</f>
        <v/>
      </c>
      <c r="N6" s="86">
        <f>VLOOKUP(A6,Database!$A:$AS,MATCH($N$1,Database!$A$1:$AS$1,0),FALSE)</f>
        <v/>
      </c>
      <c r="O6" s="86">
        <f>(((Table134567891011121314151617343[[#This Row],[USA]]-VLOOKUP($U$1,A:N,14,))/VLOOKUP($U$1,A:N,14,))*100)+100</f>
        <v/>
      </c>
      <c r="P6" s="86">
        <f>VLOOKUP(A6,Database!$A:$AS,MATCH($P$1,Database!$A$1:$AS$1,0),FALSE)</f>
        <v/>
      </c>
      <c r="Q6" s="86">
        <f>(((Table134567891011121314151617343[[#This Row],[JPN]]-VLOOKUP($U$1,A:Q,16,))/VLOOKUP($U$1,A:Q,16,))*100)+100</f>
        <v/>
      </c>
      <c r="W6" s="94" t="inlineStr">
        <is>
          <t>CZE</t>
        </is>
      </c>
    </row>
    <row r="7" customFormat="1" s="94">
      <c r="A7" s="22" t="n">
        <v>33025</v>
      </c>
      <c r="B7" s="86">
        <f>VLOOKUP(A7,Database!$A:$AS,MATCH($B$1,Database!$A$1:$AS$1,0),FALSE)</f>
        <v/>
      </c>
      <c r="C7" s="86">
        <f>VLOOKUP(A7,Database!$A:$AS,MATCH($C$1,Database!$A$1:$AS$1,0),FALSE)</f>
        <v/>
      </c>
      <c r="D7" s="86">
        <f>VLOOKUP(A7,Database!$A:$AS,MATCH($D$1,Database!$A$1:$AS$1,0),FALSE)</f>
        <v/>
      </c>
      <c r="E7" s="86">
        <f>VLOOKUP(A7,Database!$A:$AS,MATCH($E$1,Database!$A$1:$AS$1,0),FALSE)</f>
        <v/>
      </c>
      <c r="F7" s="86">
        <f>VLOOKUP(A7,Database!$A:$AS,MATCH($F$1,Database!$A$1:$AS$1,0),FALSE)</f>
        <v/>
      </c>
      <c r="G7" s="86">
        <f>VLOOKUP(A7,Database!$A:$AS,MATCH($G$1,Database!$A$1:$AS$1,0),FALSE)</f>
        <v/>
      </c>
      <c r="H7" s="86">
        <f>(((Table134567891011121314151617343[[#This Row],[ITA]]-VLOOKUP($U$1,A:B,2,))/VLOOKUP($U$1,A:B,2,))*100)+100</f>
        <v/>
      </c>
      <c r="I7" s="86">
        <f>(((Table134567891011121314151617343[[#This Row],[FRA]]-VLOOKUP($U$1,A:C,3,))/VLOOKUP($U$1,A:C,3,))*100)+100</f>
        <v/>
      </c>
      <c r="J7" s="86">
        <f>(((Table134567891011121314151617343[[#This Row],[DEU]]-VLOOKUP($U$1,A:D,4,))/VLOOKUP($U$1,A:D,4,))*100)+100</f>
        <v/>
      </c>
      <c r="K7" s="86">
        <f>(((Table134567891011121314151617343[[#This Row],[ESP]]-VLOOKUP($U$1,A:E,5,))/VLOOKUP($U$1,A:E,5,))*100)+100</f>
        <v/>
      </c>
      <c r="L7" s="86">
        <f>(((Table134567891011121314151617343[[#This Row],[EA19]]-VLOOKUP($U$1,A:F,6,))/VLOOKUP($U$1,A:F,6,))*100)+100</f>
        <v/>
      </c>
      <c r="M7" s="86">
        <f>(((Table134567891011121314151617343[[#This Row],[GBR]]-VLOOKUP($U$1,A:G,7,))/VLOOKUP($U$1,A:G,7,))*100)+100</f>
        <v/>
      </c>
      <c r="N7" s="86">
        <f>VLOOKUP(A7,Database!$A:$AS,MATCH($N$1,Database!$A$1:$AS$1,0),FALSE)</f>
        <v/>
      </c>
      <c r="O7" s="86">
        <f>(((Table134567891011121314151617343[[#This Row],[USA]]-VLOOKUP($U$1,A:N,14,))/VLOOKUP($U$1,A:N,14,))*100)+100</f>
        <v/>
      </c>
      <c r="P7" s="86">
        <f>VLOOKUP(A7,Database!$A:$AS,MATCH($P$1,Database!$A$1:$AS$1,0),FALSE)</f>
        <v/>
      </c>
      <c r="Q7" s="86">
        <f>(((Table134567891011121314151617343[[#This Row],[JPN]]-VLOOKUP($U$1,A:Q,16,))/VLOOKUP($U$1,A:Q,16,))*100)+100</f>
        <v/>
      </c>
      <c r="W7" s="94" t="inlineStr">
        <is>
          <t>DEU</t>
        </is>
      </c>
    </row>
    <row r="8" customFormat="1" s="94">
      <c r="A8" s="22" t="n">
        <v>33055</v>
      </c>
      <c r="B8" s="86">
        <f>VLOOKUP(A8,Database!$A:$AS,MATCH($B$1,Database!$A$1:$AS$1,0),FALSE)</f>
        <v/>
      </c>
      <c r="C8" s="86">
        <f>VLOOKUP(A8,Database!$A:$AS,MATCH($C$1,Database!$A$1:$AS$1,0),FALSE)</f>
        <v/>
      </c>
      <c r="D8" s="86">
        <f>VLOOKUP(A8,Database!$A:$AS,MATCH($D$1,Database!$A$1:$AS$1,0),FALSE)</f>
        <v/>
      </c>
      <c r="E8" s="86">
        <f>VLOOKUP(A8,Database!$A:$AS,MATCH($E$1,Database!$A$1:$AS$1,0),FALSE)</f>
        <v/>
      </c>
      <c r="F8" s="86">
        <f>VLOOKUP(A8,Database!$A:$AS,MATCH($F$1,Database!$A$1:$AS$1,0),FALSE)</f>
        <v/>
      </c>
      <c r="G8" s="86">
        <f>VLOOKUP(A8,Database!$A:$AS,MATCH($G$1,Database!$A$1:$AS$1,0),FALSE)</f>
        <v/>
      </c>
      <c r="H8" s="86">
        <f>(((Table134567891011121314151617343[[#This Row],[ITA]]-VLOOKUP($U$1,A:B,2,))/VLOOKUP($U$1,A:B,2,))*100)+100</f>
        <v/>
      </c>
      <c r="I8" s="86">
        <f>(((Table134567891011121314151617343[[#This Row],[FRA]]-VLOOKUP($U$1,A:C,3,))/VLOOKUP($U$1,A:C,3,))*100)+100</f>
        <v/>
      </c>
      <c r="J8" s="86">
        <f>(((Table134567891011121314151617343[[#This Row],[DEU]]-VLOOKUP($U$1,A:D,4,))/VLOOKUP($U$1,A:D,4,))*100)+100</f>
        <v/>
      </c>
      <c r="K8" s="86">
        <f>(((Table134567891011121314151617343[[#This Row],[ESP]]-VLOOKUP($U$1,A:E,5,))/VLOOKUP($U$1,A:E,5,))*100)+100</f>
        <v/>
      </c>
      <c r="L8" s="86">
        <f>(((Table134567891011121314151617343[[#This Row],[EA19]]-VLOOKUP($U$1,A:F,6,))/VLOOKUP($U$1,A:F,6,))*100)+100</f>
        <v/>
      </c>
      <c r="M8" s="86">
        <f>(((Table134567891011121314151617343[[#This Row],[GBR]]-VLOOKUP($U$1,A:G,7,))/VLOOKUP($U$1,A:G,7,))*100)+100</f>
        <v/>
      </c>
      <c r="N8" s="86">
        <f>VLOOKUP(A8,Database!$A:$AS,MATCH($N$1,Database!$A$1:$AS$1,0),FALSE)</f>
        <v/>
      </c>
      <c r="O8" s="86">
        <f>(((Table134567891011121314151617343[[#This Row],[USA]]-VLOOKUP($U$1,A:N,14,))/VLOOKUP($U$1,A:N,14,))*100)+100</f>
        <v/>
      </c>
      <c r="P8" s="86">
        <f>VLOOKUP(A8,Database!$A:$AS,MATCH($P$1,Database!$A$1:$AS$1,0),FALSE)</f>
        <v/>
      </c>
      <c r="Q8" s="86">
        <f>(((Table134567891011121314151617343[[#This Row],[JPN]]-VLOOKUP($U$1,A:Q,16,))/VLOOKUP($U$1,A:Q,16,))*100)+100</f>
        <v/>
      </c>
      <c r="W8" s="94" t="inlineStr">
        <is>
          <t>DNK</t>
        </is>
      </c>
    </row>
    <row r="9" customFormat="1" s="94">
      <c r="A9" s="22" t="n">
        <v>33086</v>
      </c>
      <c r="B9" s="86">
        <f>VLOOKUP(A9,Database!$A:$AS,MATCH($B$1,Database!$A$1:$AS$1,0),FALSE)</f>
        <v/>
      </c>
      <c r="C9" s="86">
        <f>VLOOKUP(A9,Database!$A:$AS,MATCH($C$1,Database!$A$1:$AS$1,0),FALSE)</f>
        <v/>
      </c>
      <c r="D9" s="86">
        <f>VLOOKUP(A9,Database!$A:$AS,MATCH($D$1,Database!$A$1:$AS$1,0),FALSE)</f>
        <v/>
      </c>
      <c r="E9" s="86">
        <f>VLOOKUP(A9,Database!$A:$AS,MATCH($E$1,Database!$A$1:$AS$1,0),FALSE)</f>
        <v/>
      </c>
      <c r="F9" s="86">
        <f>VLOOKUP(A9,Database!$A:$AS,MATCH($F$1,Database!$A$1:$AS$1,0),FALSE)</f>
        <v/>
      </c>
      <c r="G9" s="86">
        <f>VLOOKUP(A9,Database!$A:$AS,MATCH($G$1,Database!$A$1:$AS$1,0),FALSE)</f>
        <v/>
      </c>
      <c r="H9" s="86">
        <f>(((Table134567891011121314151617343[[#This Row],[ITA]]-VLOOKUP($U$1,A:B,2,))/VLOOKUP($U$1,A:B,2,))*100)+100</f>
        <v/>
      </c>
      <c r="I9" s="86">
        <f>(((Table134567891011121314151617343[[#This Row],[FRA]]-VLOOKUP($U$1,A:C,3,))/VLOOKUP($U$1,A:C,3,))*100)+100</f>
        <v/>
      </c>
      <c r="J9" s="86">
        <f>(((Table134567891011121314151617343[[#This Row],[DEU]]-VLOOKUP($U$1,A:D,4,))/VLOOKUP($U$1,A:D,4,))*100)+100</f>
        <v/>
      </c>
      <c r="K9" s="86">
        <f>(((Table134567891011121314151617343[[#This Row],[ESP]]-VLOOKUP($U$1,A:E,5,))/VLOOKUP($U$1,A:E,5,))*100)+100</f>
        <v/>
      </c>
      <c r="L9" s="86">
        <f>(((Table134567891011121314151617343[[#This Row],[EA19]]-VLOOKUP($U$1,A:F,6,))/VLOOKUP($U$1,A:F,6,))*100)+100</f>
        <v/>
      </c>
      <c r="M9" s="86">
        <f>(((Table134567891011121314151617343[[#This Row],[GBR]]-VLOOKUP($U$1,A:G,7,))/VLOOKUP($U$1,A:G,7,))*100)+100</f>
        <v/>
      </c>
      <c r="N9" s="86">
        <f>VLOOKUP(A9,Database!$A:$AS,MATCH($N$1,Database!$A$1:$AS$1,0),FALSE)</f>
        <v/>
      </c>
      <c r="O9" s="86">
        <f>(((Table134567891011121314151617343[[#This Row],[USA]]-VLOOKUP($U$1,A:N,14,))/VLOOKUP($U$1,A:N,14,))*100)+100</f>
        <v/>
      </c>
      <c r="P9" s="86">
        <f>VLOOKUP(A9,Database!$A:$AS,MATCH($P$1,Database!$A$1:$AS$1,0),FALSE)</f>
        <v/>
      </c>
      <c r="Q9" s="86">
        <f>(((Table134567891011121314151617343[[#This Row],[JPN]]-VLOOKUP($U$1,A:Q,16,))/VLOOKUP($U$1,A:Q,16,))*100)+100</f>
        <v/>
      </c>
      <c r="W9" s="94" t="inlineStr">
        <is>
          <t>ESP</t>
        </is>
      </c>
    </row>
    <row r="10" customFormat="1" s="94">
      <c r="A10" s="22" t="n">
        <v>33117</v>
      </c>
      <c r="B10" s="86">
        <f>VLOOKUP(A10,Database!$A:$AS,MATCH($B$1,Database!$A$1:$AS$1,0),FALSE)</f>
        <v/>
      </c>
      <c r="C10" s="86">
        <f>VLOOKUP(A10,Database!$A:$AS,MATCH($C$1,Database!$A$1:$AS$1,0),FALSE)</f>
        <v/>
      </c>
      <c r="D10" s="86">
        <f>VLOOKUP(A10,Database!$A:$AS,MATCH($D$1,Database!$A$1:$AS$1,0),FALSE)</f>
        <v/>
      </c>
      <c r="E10" s="86">
        <f>VLOOKUP(A10,Database!$A:$AS,MATCH($E$1,Database!$A$1:$AS$1,0),FALSE)</f>
        <v/>
      </c>
      <c r="F10" s="86">
        <f>VLOOKUP(A10,Database!$A:$AS,MATCH($F$1,Database!$A$1:$AS$1,0),FALSE)</f>
        <v/>
      </c>
      <c r="G10" s="86">
        <f>VLOOKUP(A10,Database!$A:$AS,MATCH($G$1,Database!$A$1:$AS$1,0),FALSE)</f>
        <v/>
      </c>
      <c r="H10" s="86">
        <f>(((Table134567891011121314151617343[[#This Row],[ITA]]-VLOOKUP($U$1,A:B,2,))/VLOOKUP($U$1,A:B,2,))*100)+100</f>
        <v/>
      </c>
      <c r="I10" s="86">
        <f>(((Table134567891011121314151617343[[#This Row],[FRA]]-VLOOKUP($U$1,A:C,3,))/VLOOKUP($U$1,A:C,3,))*100)+100</f>
        <v/>
      </c>
      <c r="J10" s="86">
        <f>(((Table134567891011121314151617343[[#This Row],[DEU]]-VLOOKUP($U$1,A:D,4,))/VLOOKUP($U$1,A:D,4,))*100)+100</f>
        <v/>
      </c>
      <c r="K10" s="86">
        <f>(((Table134567891011121314151617343[[#This Row],[ESP]]-VLOOKUP($U$1,A:E,5,))/VLOOKUP($U$1,A:E,5,))*100)+100</f>
        <v/>
      </c>
      <c r="L10" s="86">
        <f>(((Table134567891011121314151617343[[#This Row],[EA19]]-VLOOKUP($U$1,A:F,6,))/VLOOKUP($U$1,A:F,6,))*100)+100</f>
        <v/>
      </c>
      <c r="M10" s="86">
        <f>(((Table134567891011121314151617343[[#This Row],[GBR]]-VLOOKUP($U$1,A:G,7,))/VLOOKUP($U$1,A:G,7,))*100)+100</f>
        <v/>
      </c>
      <c r="N10" s="86">
        <f>VLOOKUP(A10,Database!$A:$AS,MATCH($N$1,Database!$A$1:$AS$1,0),FALSE)</f>
        <v/>
      </c>
      <c r="O10" s="86">
        <f>(((Table134567891011121314151617343[[#This Row],[USA]]-VLOOKUP($U$1,A:N,14,))/VLOOKUP($U$1,A:N,14,))*100)+100</f>
        <v/>
      </c>
      <c r="P10" s="86">
        <f>VLOOKUP(A10,Database!$A:$AS,MATCH($P$1,Database!$A$1:$AS$1,0),FALSE)</f>
        <v/>
      </c>
      <c r="Q10" s="86">
        <f>(((Table134567891011121314151617343[[#This Row],[JPN]]-VLOOKUP($U$1,A:Q,16,))/VLOOKUP($U$1,A:Q,16,))*100)+100</f>
        <v/>
      </c>
      <c r="W10" s="94" t="inlineStr">
        <is>
          <t>EST</t>
        </is>
      </c>
    </row>
    <row r="11" customFormat="1" s="94">
      <c r="A11" s="22" t="n">
        <v>33147</v>
      </c>
      <c r="B11" s="86">
        <f>VLOOKUP(A11,Database!$A:$AS,MATCH($B$1,Database!$A$1:$AS$1,0),FALSE)</f>
        <v/>
      </c>
      <c r="C11" s="86">
        <f>VLOOKUP(A11,Database!$A:$AS,MATCH($C$1,Database!$A$1:$AS$1,0),FALSE)</f>
        <v/>
      </c>
      <c r="D11" s="86">
        <f>VLOOKUP(A11,Database!$A:$AS,MATCH($D$1,Database!$A$1:$AS$1,0),FALSE)</f>
        <v/>
      </c>
      <c r="E11" s="86">
        <f>VLOOKUP(A11,Database!$A:$AS,MATCH($E$1,Database!$A$1:$AS$1,0),FALSE)</f>
        <v/>
      </c>
      <c r="F11" s="86">
        <f>VLOOKUP(A11,Database!$A:$AS,MATCH($F$1,Database!$A$1:$AS$1,0),FALSE)</f>
        <v/>
      </c>
      <c r="G11" s="86">
        <f>VLOOKUP(A11,Database!$A:$AS,MATCH($G$1,Database!$A$1:$AS$1,0),FALSE)</f>
        <v/>
      </c>
      <c r="H11" s="86">
        <f>(((Table134567891011121314151617343[[#This Row],[ITA]]-VLOOKUP($U$1,A:B,2,))/VLOOKUP($U$1,A:B,2,))*100)+100</f>
        <v/>
      </c>
      <c r="I11" s="86">
        <f>(((Table134567891011121314151617343[[#This Row],[FRA]]-VLOOKUP($U$1,A:C,3,))/VLOOKUP($U$1,A:C,3,))*100)+100</f>
        <v/>
      </c>
      <c r="J11" s="86">
        <f>(((Table134567891011121314151617343[[#This Row],[DEU]]-VLOOKUP($U$1,A:D,4,))/VLOOKUP($U$1,A:D,4,))*100)+100</f>
        <v/>
      </c>
      <c r="K11" s="86">
        <f>(((Table134567891011121314151617343[[#This Row],[ESP]]-VLOOKUP($U$1,A:E,5,))/VLOOKUP($U$1,A:E,5,))*100)+100</f>
        <v/>
      </c>
      <c r="L11" s="86">
        <f>(((Table134567891011121314151617343[[#This Row],[EA19]]-VLOOKUP($U$1,A:F,6,))/VLOOKUP($U$1,A:F,6,))*100)+100</f>
        <v/>
      </c>
      <c r="M11" s="86">
        <f>(((Table134567891011121314151617343[[#This Row],[GBR]]-VLOOKUP($U$1,A:G,7,))/VLOOKUP($U$1,A:G,7,))*100)+100</f>
        <v/>
      </c>
      <c r="N11" s="86">
        <f>VLOOKUP(A11,Database!$A:$AS,MATCH($N$1,Database!$A$1:$AS$1,0),FALSE)</f>
        <v/>
      </c>
      <c r="O11" s="86">
        <f>(((Table134567891011121314151617343[[#This Row],[USA]]-VLOOKUP($U$1,A:N,14,))/VLOOKUP($U$1,A:N,14,))*100)+100</f>
        <v/>
      </c>
      <c r="P11" s="86">
        <f>VLOOKUP(A11,Database!$A:$AS,MATCH($P$1,Database!$A$1:$AS$1,0),FALSE)</f>
        <v/>
      </c>
      <c r="Q11" s="86">
        <f>(((Table134567891011121314151617343[[#This Row],[JPN]]-VLOOKUP($U$1,A:Q,16,))/VLOOKUP($U$1,A:Q,16,))*100)+100</f>
        <v/>
      </c>
      <c r="W11" s="94" t="inlineStr">
        <is>
          <t>FIN</t>
        </is>
      </c>
    </row>
    <row r="12" customFormat="1" s="94">
      <c r="A12" s="22" t="n">
        <v>33178</v>
      </c>
      <c r="B12" s="86">
        <f>VLOOKUP(A12,Database!$A:$AS,MATCH($B$1,Database!$A$1:$AS$1,0),FALSE)</f>
        <v/>
      </c>
      <c r="C12" s="86">
        <f>VLOOKUP(A12,Database!$A:$AS,MATCH($C$1,Database!$A$1:$AS$1,0),FALSE)</f>
        <v/>
      </c>
      <c r="D12" s="86">
        <f>VLOOKUP(A12,Database!$A:$AS,MATCH($D$1,Database!$A$1:$AS$1,0),FALSE)</f>
        <v/>
      </c>
      <c r="E12" s="86">
        <f>VLOOKUP(A12,Database!$A:$AS,MATCH($E$1,Database!$A$1:$AS$1,0),FALSE)</f>
        <v/>
      </c>
      <c r="F12" s="86">
        <f>VLOOKUP(A12,Database!$A:$AS,MATCH($F$1,Database!$A$1:$AS$1,0),FALSE)</f>
        <v/>
      </c>
      <c r="G12" s="86">
        <f>VLOOKUP(A12,Database!$A:$AS,MATCH($G$1,Database!$A$1:$AS$1,0),FALSE)</f>
        <v/>
      </c>
      <c r="H12" s="86">
        <f>(((Table134567891011121314151617343[[#This Row],[ITA]]-VLOOKUP($U$1,A:B,2,))/VLOOKUP($U$1,A:B,2,))*100)+100</f>
        <v/>
      </c>
      <c r="I12" s="86">
        <f>(((Table134567891011121314151617343[[#This Row],[FRA]]-VLOOKUP($U$1,A:C,3,))/VLOOKUP($U$1,A:C,3,))*100)+100</f>
        <v/>
      </c>
      <c r="J12" s="86">
        <f>(((Table134567891011121314151617343[[#This Row],[DEU]]-VLOOKUP($U$1,A:D,4,))/VLOOKUP($U$1,A:D,4,))*100)+100</f>
        <v/>
      </c>
      <c r="K12" s="86">
        <f>(((Table134567891011121314151617343[[#This Row],[ESP]]-VLOOKUP($U$1,A:E,5,))/VLOOKUP($U$1,A:E,5,))*100)+100</f>
        <v/>
      </c>
      <c r="L12" s="86">
        <f>(((Table134567891011121314151617343[[#This Row],[EA19]]-VLOOKUP($U$1,A:F,6,))/VLOOKUP($U$1,A:F,6,))*100)+100</f>
        <v/>
      </c>
      <c r="M12" s="86">
        <f>(((Table134567891011121314151617343[[#This Row],[GBR]]-VLOOKUP($U$1,A:G,7,))/VLOOKUP($U$1,A:G,7,))*100)+100</f>
        <v/>
      </c>
      <c r="N12" s="86">
        <f>VLOOKUP(A12,Database!$A:$AS,MATCH($N$1,Database!$A$1:$AS$1,0),FALSE)</f>
        <v/>
      </c>
      <c r="O12" s="86">
        <f>(((Table134567891011121314151617343[[#This Row],[USA]]-VLOOKUP($U$1,A:N,14,))/VLOOKUP($U$1,A:N,14,))*100)+100</f>
        <v/>
      </c>
      <c r="P12" s="86">
        <f>VLOOKUP(A12,Database!$A:$AS,MATCH($P$1,Database!$A$1:$AS$1,0),FALSE)</f>
        <v/>
      </c>
      <c r="Q12" s="86">
        <f>(((Table134567891011121314151617343[[#This Row],[JPN]]-VLOOKUP($U$1,A:Q,16,))/VLOOKUP($U$1,A:Q,16,))*100)+100</f>
        <v/>
      </c>
      <c r="W12" s="94" t="inlineStr">
        <is>
          <t>FRA</t>
        </is>
      </c>
    </row>
    <row r="13" customFormat="1" s="94">
      <c r="A13" s="22" t="n">
        <v>33208</v>
      </c>
      <c r="B13" s="86">
        <f>VLOOKUP(A13,Database!$A:$AS,MATCH($B$1,Database!$A$1:$AS$1,0),FALSE)</f>
        <v/>
      </c>
      <c r="C13" s="86">
        <f>VLOOKUP(A13,Database!$A:$AS,MATCH($C$1,Database!$A$1:$AS$1,0),FALSE)</f>
        <v/>
      </c>
      <c r="D13" s="86">
        <f>VLOOKUP(A13,Database!$A:$AS,MATCH($D$1,Database!$A$1:$AS$1,0),FALSE)</f>
        <v/>
      </c>
      <c r="E13" s="86">
        <f>VLOOKUP(A13,Database!$A:$AS,MATCH($E$1,Database!$A$1:$AS$1,0),FALSE)</f>
        <v/>
      </c>
      <c r="F13" s="86">
        <f>VLOOKUP(A13,Database!$A:$AS,MATCH($F$1,Database!$A$1:$AS$1,0),FALSE)</f>
        <v/>
      </c>
      <c r="G13" s="86">
        <f>VLOOKUP(A13,Database!$A:$AS,MATCH($G$1,Database!$A$1:$AS$1,0),FALSE)</f>
        <v/>
      </c>
      <c r="H13" s="86">
        <f>(((Table134567891011121314151617343[[#This Row],[ITA]]-VLOOKUP($U$1,A:B,2,))/VLOOKUP($U$1,A:B,2,))*100)+100</f>
        <v/>
      </c>
      <c r="I13" s="86">
        <f>(((Table134567891011121314151617343[[#This Row],[FRA]]-VLOOKUP($U$1,A:C,3,))/VLOOKUP($U$1,A:C,3,))*100)+100</f>
        <v/>
      </c>
      <c r="J13" s="86">
        <f>(((Table134567891011121314151617343[[#This Row],[DEU]]-VLOOKUP($U$1,A:D,4,))/VLOOKUP($U$1,A:D,4,))*100)+100</f>
        <v/>
      </c>
      <c r="K13" s="86">
        <f>(((Table134567891011121314151617343[[#This Row],[ESP]]-VLOOKUP($U$1,A:E,5,))/VLOOKUP($U$1,A:E,5,))*100)+100</f>
        <v/>
      </c>
      <c r="L13" s="86">
        <f>(((Table134567891011121314151617343[[#This Row],[EA19]]-VLOOKUP($U$1,A:F,6,))/VLOOKUP($U$1,A:F,6,))*100)+100</f>
        <v/>
      </c>
      <c r="M13" s="86">
        <f>(((Table134567891011121314151617343[[#This Row],[GBR]]-VLOOKUP($U$1,A:G,7,))/VLOOKUP($U$1,A:G,7,))*100)+100</f>
        <v/>
      </c>
      <c r="N13" s="86">
        <f>VLOOKUP(A13,Database!$A:$AS,MATCH($N$1,Database!$A$1:$AS$1,0),FALSE)</f>
        <v/>
      </c>
      <c r="O13" s="86">
        <f>(((Table134567891011121314151617343[[#This Row],[USA]]-VLOOKUP($U$1,A:N,14,))/VLOOKUP($U$1,A:N,14,))*100)+100</f>
        <v/>
      </c>
      <c r="P13" s="86">
        <f>VLOOKUP(A13,Database!$A:$AS,MATCH($P$1,Database!$A$1:$AS$1,0),FALSE)</f>
        <v/>
      </c>
      <c r="Q13" s="86">
        <f>(((Table134567891011121314151617343[[#This Row],[JPN]]-VLOOKUP($U$1,A:Q,16,))/VLOOKUP($U$1,A:Q,16,))*100)+100</f>
        <v/>
      </c>
      <c r="W13" s="94" t="inlineStr">
        <is>
          <t>GBR</t>
        </is>
      </c>
    </row>
    <row r="14" customFormat="1" s="94">
      <c r="A14" s="22" t="n">
        <v>33239</v>
      </c>
      <c r="B14" s="86">
        <f>VLOOKUP(A14,Database!$A:$AS,MATCH($B$1,Database!$A$1:$AS$1,0),FALSE)</f>
        <v/>
      </c>
      <c r="C14" s="86">
        <f>VLOOKUP(A14,Database!$A:$AS,MATCH($C$1,Database!$A$1:$AS$1,0),FALSE)</f>
        <v/>
      </c>
      <c r="D14" s="86">
        <f>VLOOKUP(A14,Database!$A:$AS,MATCH($D$1,Database!$A$1:$AS$1,0),FALSE)</f>
        <v/>
      </c>
      <c r="E14" s="86">
        <f>VLOOKUP(A14,Database!$A:$AS,MATCH($E$1,Database!$A$1:$AS$1,0),FALSE)</f>
        <v/>
      </c>
      <c r="F14" s="86">
        <f>VLOOKUP(A14,Database!$A:$AS,MATCH($F$1,Database!$A$1:$AS$1,0),FALSE)</f>
        <v/>
      </c>
      <c r="G14" s="86">
        <f>VLOOKUP(A14,Database!$A:$AS,MATCH($G$1,Database!$A$1:$AS$1,0),FALSE)</f>
        <v/>
      </c>
      <c r="H14" s="86">
        <f>(((Table134567891011121314151617343[[#This Row],[ITA]]-VLOOKUP($U$1,A:B,2,))/VLOOKUP($U$1,A:B,2,))*100)+100</f>
        <v/>
      </c>
      <c r="I14" s="86">
        <f>(((Table134567891011121314151617343[[#This Row],[FRA]]-VLOOKUP($U$1,A:C,3,))/VLOOKUP($U$1,A:C,3,))*100)+100</f>
        <v/>
      </c>
      <c r="J14" s="86">
        <f>(((Table134567891011121314151617343[[#This Row],[DEU]]-VLOOKUP($U$1,A:D,4,))/VLOOKUP($U$1,A:D,4,))*100)+100</f>
        <v/>
      </c>
      <c r="K14" s="86">
        <f>(((Table134567891011121314151617343[[#This Row],[ESP]]-VLOOKUP($U$1,A:E,5,))/VLOOKUP($U$1,A:E,5,))*100)+100</f>
        <v/>
      </c>
      <c r="L14" s="86">
        <f>(((Table134567891011121314151617343[[#This Row],[EA19]]-VLOOKUP($U$1,A:F,6,))/VLOOKUP($U$1,A:F,6,))*100)+100</f>
        <v/>
      </c>
      <c r="M14" s="86">
        <f>(((Table134567891011121314151617343[[#This Row],[GBR]]-VLOOKUP($U$1,A:G,7,))/VLOOKUP($U$1,A:G,7,))*100)+100</f>
        <v/>
      </c>
      <c r="N14" s="86">
        <f>VLOOKUP(A14,Database!$A:$AS,MATCH($N$1,Database!$A$1:$AS$1,0),FALSE)</f>
        <v/>
      </c>
      <c r="O14" s="86">
        <f>(((Table134567891011121314151617343[[#This Row],[USA]]-VLOOKUP($U$1,A:N,14,))/VLOOKUP($U$1,A:N,14,))*100)+100</f>
        <v/>
      </c>
      <c r="P14" s="86">
        <f>VLOOKUP(A14,Database!$A:$AS,MATCH($P$1,Database!$A$1:$AS$1,0),FALSE)</f>
        <v/>
      </c>
      <c r="Q14" s="86">
        <f>(((Table134567891011121314151617343[[#This Row],[JPN]]-VLOOKUP($U$1,A:Q,16,))/VLOOKUP($U$1,A:Q,16,))*100)+100</f>
        <v/>
      </c>
      <c r="W14" s="94" t="inlineStr">
        <is>
          <t>GRC</t>
        </is>
      </c>
    </row>
    <row r="15" customFormat="1" s="94">
      <c r="A15" s="22" t="n">
        <v>33270</v>
      </c>
      <c r="B15" s="86">
        <f>VLOOKUP(A15,Database!$A:$AS,MATCH($B$1,Database!$A$1:$AS$1,0),FALSE)</f>
        <v/>
      </c>
      <c r="C15" s="86">
        <f>VLOOKUP(A15,Database!$A:$AS,MATCH($C$1,Database!$A$1:$AS$1,0),FALSE)</f>
        <v/>
      </c>
      <c r="D15" s="86">
        <f>VLOOKUP(A15,Database!$A:$AS,MATCH($D$1,Database!$A$1:$AS$1,0),FALSE)</f>
        <v/>
      </c>
      <c r="E15" s="86">
        <f>VLOOKUP(A15,Database!$A:$AS,MATCH($E$1,Database!$A$1:$AS$1,0),FALSE)</f>
        <v/>
      </c>
      <c r="F15" s="86">
        <f>VLOOKUP(A15,Database!$A:$AS,MATCH($F$1,Database!$A$1:$AS$1,0),FALSE)</f>
        <v/>
      </c>
      <c r="G15" s="86">
        <f>VLOOKUP(A15,Database!$A:$AS,MATCH($G$1,Database!$A$1:$AS$1,0),FALSE)</f>
        <v/>
      </c>
      <c r="H15" s="86">
        <f>(((Table134567891011121314151617343[[#This Row],[ITA]]-VLOOKUP($U$1,A:B,2,))/VLOOKUP($U$1,A:B,2,))*100)+100</f>
        <v/>
      </c>
      <c r="I15" s="86">
        <f>(((Table134567891011121314151617343[[#This Row],[FRA]]-VLOOKUP($U$1,A:C,3,))/VLOOKUP($U$1,A:C,3,))*100)+100</f>
        <v/>
      </c>
      <c r="J15" s="86">
        <f>(((Table134567891011121314151617343[[#This Row],[DEU]]-VLOOKUP($U$1,A:D,4,))/VLOOKUP($U$1,A:D,4,))*100)+100</f>
        <v/>
      </c>
      <c r="K15" s="86">
        <f>(((Table134567891011121314151617343[[#This Row],[ESP]]-VLOOKUP($U$1,A:E,5,))/VLOOKUP($U$1,A:E,5,))*100)+100</f>
        <v/>
      </c>
      <c r="L15" s="86">
        <f>(((Table134567891011121314151617343[[#This Row],[EA19]]-VLOOKUP($U$1,A:F,6,))/VLOOKUP($U$1,A:F,6,))*100)+100</f>
        <v/>
      </c>
      <c r="M15" s="86">
        <f>(((Table134567891011121314151617343[[#This Row],[GBR]]-VLOOKUP($U$1,A:G,7,))/VLOOKUP($U$1,A:G,7,))*100)+100</f>
        <v/>
      </c>
      <c r="N15" s="86">
        <f>VLOOKUP(A15,Database!$A:$AS,MATCH($N$1,Database!$A$1:$AS$1,0),FALSE)</f>
        <v/>
      </c>
      <c r="O15" s="86">
        <f>(((Table134567891011121314151617343[[#This Row],[USA]]-VLOOKUP($U$1,A:N,14,))/VLOOKUP($U$1,A:N,14,))*100)+100</f>
        <v/>
      </c>
      <c r="P15" s="86">
        <f>VLOOKUP(A15,Database!$A:$AS,MATCH($P$1,Database!$A$1:$AS$1,0),FALSE)</f>
        <v/>
      </c>
      <c r="Q15" s="86">
        <f>(((Table134567891011121314151617343[[#This Row],[JPN]]-VLOOKUP($U$1,A:Q,16,))/VLOOKUP($U$1,A:Q,16,))*100)+100</f>
        <v/>
      </c>
      <c r="W15" s="94" t="inlineStr">
        <is>
          <t>HUN</t>
        </is>
      </c>
    </row>
    <row r="16" customFormat="1" s="94">
      <c r="A16" s="22" t="n">
        <v>33298</v>
      </c>
      <c r="B16" s="86">
        <f>VLOOKUP(A16,Database!$A:$AS,MATCH($B$1,Database!$A$1:$AS$1,0),FALSE)</f>
        <v/>
      </c>
      <c r="C16" s="86">
        <f>VLOOKUP(A16,Database!$A:$AS,MATCH($C$1,Database!$A$1:$AS$1,0),FALSE)</f>
        <v/>
      </c>
      <c r="D16" s="86">
        <f>VLOOKUP(A16,Database!$A:$AS,MATCH($D$1,Database!$A$1:$AS$1,0),FALSE)</f>
        <v/>
      </c>
      <c r="E16" s="86">
        <f>VLOOKUP(A16,Database!$A:$AS,MATCH($E$1,Database!$A$1:$AS$1,0),FALSE)</f>
        <v/>
      </c>
      <c r="F16" s="86">
        <f>VLOOKUP(A16,Database!$A:$AS,MATCH($F$1,Database!$A$1:$AS$1,0),FALSE)</f>
        <v/>
      </c>
      <c r="G16" s="86">
        <f>VLOOKUP(A16,Database!$A:$AS,MATCH($G$1,Database!$A$1:$AS$1,0),FALSE)</f>
        <v/>
      </c>
      <c r="H16" s="86">
        <f>(((Table134567891011121314151617343[[#This Row],[ITA]]-VLOOKUP($U$1,A:B,2,))/VLOOKUP($U$1,A:B,2,))*100)+100</f>
        <v/>
      </c>
      <c r="I16" s="86">
        <f>(((Table134567891011121314151617343[[#This Row],[FRA]]-VLOOKUP($U$1,A:C,3,))/VLOOKUP($U$1,A:C,3,))*100)+100</f>
        <v/>
      </c>
      <c r="J16" s="86">
        <f>(((Table134567891011121314151617343[[#This Row],[DEU]]-VLOOKUP($U$1,A:D,4,))/VLOOKUP($U$1,A:D,4,))*100)+100</f>
        <v/>
      </c>
      <c r="K16" s="86">
        <f>(((Table134567891011121314151617343[[#This Row],[ESP]]-VLOOKUP($U$1,A:E,5,))/VLOOKUP($U$1,A:E,5,))*100)+100</f>
        <v/>
      </c>
      <c r="L16" s="86">
        <f>(((Table134567891011121314151617343[[#This Row],[EA19]]-VLOOKUP($U$1,A:F,6,))/VLOOKUP($U$1,A:F,6,))*100)+100</f>
        <v/>
      </c>
      <c r="M16" s="86">
        <f>(((Table134567891011121314151617343[[#This Row],[GBR]]-VLOOKUP($U$1,A:G,7,))/VLOOKUP($U$1,A:G,7,))*100)+100</f>
        <v/>
      </c>
      <c r="N16" s="86">
        <f>VLOOKUP(A16,Database!$A:$AS,MATCH($N$1,Database!$A$1:$AS$1,0),FALSE)</f>
        <v/>
      </c>
      <c r="O16" s="86">
        <f>(((Table134567891011121314151617343[[#This Row],[USA]]-VLOOKUP($U$1,A:N,14,))/VLOOKUP($U$1,A:N,14,))*100)+100</f>
        <v/>
      </c>
      <c r="P16" s="86">
        <f>VLOOKUP(A16,Database!$A:$AS,MATCH($P$1,Database!$A$1:$AS$1,0),FALSE)</f>
        <v/>
      </c>
      <c r="Q16" s="86">
        <f>(((Table134567891011121314151617343[[#This Row],[JPN]]-VLOOKUP($U$1,A:Q,16,))/VLOOKUP($U$1,A:Q,16,))*100)+100</f>
        <v/>
      </c>
      <c r="W16" s="94" t="inlineStr">
        <is>
          <t>IRL</t>
        </is>
      </c>
    </row>
    <row r="17" customFormat="1" s="94">
      <c r="A17" s="22" t="n">
        <v>33329</v>
      </c>
      <c r="B17" s="86">
        <f>VLOOKUP(A17,Database!$A:$AS,MATCH($B$1,Database!$A$1:$AS$1,0),FALSE)</f>
        <v/>
      </c>
      <c r="C17" s="86">
        <f>VLOOKUP(A17,Database!$A:$AS,MATCH($C$1,Database!$A$1:$AS$1,0),FALSE)</f>
        <v/>
      </c>
      <c r="D17" s="86">
        <f>VLOOKUP(A17,Database!$A:$AS,MATCH($D$1,Database!$A$1:$AS$1,0),FALSE)</f>
        <v/>
      </c>
      <c r="E17" s="86">
        <f>VLOOKUP(A17,Database!$A:$AS,MATCH($E$1,Database!$A$1:$AS$1,0),FALSE)</f>
        <v/>
      </c>
      <c r="F17" s="86">
        <f>VLOOKUP(A17,Database!$A:$AS,MATCH($F$1,Database!$A$1:$AS$1,0),FALSE)</f>
        <v/>
      </c>
      <c r="G17" s="86">
        <f>VLOOKUP(A17,Database!$A:$AS,MATCH($G$1,Database!$A$1:$AS$1,0),FALSE)</f>
        <v/>
      </c>
      <c r="H17" s="86">
        <f>(((Table134567891011121314151617343[[#This Row],[ITA]]-VLOOKUP($U$1,A:B,2,))/VLOOKUP($U$1,A:B,2,))*100)+100</f>
        <v/>
      </c>
      <c r="I17" s="86">
        <f>(((Table134567891011121314151617343[[#This Row],[FRA]]-VLOOKUP($U$1,A:C,3,))/VLOOKUP($U$1,A:C,3,))*100)+100</f>
        <v/>
      </c>
      <c r="J17" s="86">
        <f>(((Table134567891011121314151617343[[#This Row],[DEU]]-VLOOKUP($U$1,A:D,4,))/VLOOKUP($U$1,A:D,4,))*100)+100</f>
        <v/>
      </c>
      <c r="K17" s="86">
        <f>(((Table134567891011121314151617343[[#This Row],[ESP]]-VLOOKUP($U$1,A:E,5,))/VLOOKUP($U$1,A:E,5,))*100)+100</f>
        <v/>
      </c>
      <c r="L17" s="86">
        <f>(((Table134567891011121314151617343[[#This Row],[EA19]]-VLOOKUP($U$1,A:F,6,))/VLOOKUP($U$1,A:F,6,))*100)+100</f>
        <v/>
      </c>
      <c r="M17" s="86">
        <f>(((Table134567891011121314151617343[[#This Row],[GBR]]-VLOOKUP($U$1,A:G,7,))/VLOOKUP($U$1,A:G,7,))*100)+100</f>
        <v/>
      </c>
      <c r="N17" s="86">
        <f>VLOOKUP(A17,Database!$A:$AS,MATCH($N$1,Database!$A$1:$AS$1,0),FALSE)</f>
        <v/>
      </c>
      <c r="O17" s="86">
        <f>(((Table134567891011121314151617343[[#This Row],[USA]]-VLOOKUP($U$1,A:N,14,))/VLOOKUP($U$1,A:N,14,))*100)+100</f>
        <v/>
      </c>
      <c r="P17" s="86">
        <f>VLOOKUP(A17,Database!$A:$AS,MATCH($P$1,Database!$A$1:$AS$1,0),FALSE)</f>
        <v/>
      </c>
      <c r="Q17" s="86">
        <f>(((Table134567891011121314151617343[[#This Row],[JPN]]-VLOOKUP($U$1,A:Q,16,))/VLOOKUP($U$1,A:Q,16,))*100)+100</f>
        <v/>
      </c>
      <c r="W17" s="94" t="inlineStr">
        <is>
          <t>ISL</t>
        </is>
      </c>
    </row>
    <row r="18" customFormat="1" s="94">
      <c r="A18" s="22" t="n">
        <v>33359</v>
      </c>
      <c r="B18" s="86">
        <f>VLOOKUP(A18,Database!$A:$AS,MATCH($B$1,Database!$A$1:$AS$1,0),FALSE)</f>
        <v/>
      </c>
      <c r="C18" s="86">
        <f>VLOOKUP(A18,Database!$A:$AS,MATCH($C$1,Database!$A$1:$AS$1,0),FALSE)</f>
        <v/>
      </c>
      <c r="D18" s="86">
        <f>VLOOKUP(A18,Database!$A:$AS,MATCH($D$1,Database!$A$1:$AS$1,0),FALSE)</f>
        <v/>
      </c>
      <c r="E18" s="86">
        <f>VLOOKUP(A18,Database!$A:$AS,MATCH($E$1,Database!$A$1:$AS$1,0),FALSE)</f>
        <v/>
      </c>
      <c r="F18" s="86">
        <f>VLOOKUP(A18,Database!$A:$AS,MATCH($F$1,Database!$A$1:$AS$1,0),FALSE)</f>
        <v/>
      </c>
      <c r="G18" s="86">
        <f>VLOOKUP(A18,Database!$A:$AS,MATCH($G$1,Database!$A$1:$AS$1,0),FALSE)</f>
        <v/>
      </c>
      <c r="H18" s="86">
        <f>(((Table134567891011121314151617343[[#This Row],[ITA]]-VLOOKUP($U$1,A:B,2,))/VLOOKUP($U$1,A:B,2,))*100)+100</f>
        <v/>
      </c>
      <c r="I18" s="86">
        <f>(((Table134567891011121314151617343[[#This Row],[FRA]]-VLOOKUP($U$1,A:C,3,))/VLOOKUP($U$1,A:C,3,))*100)+100</f>
        <v/>
      </c>
      <c r="J18" s="86">
        <f>(((Table134567891011121314151617343[[#This Row],[DEU]]-VLOOKUP($U$1,A:D,4,))/VLOOKUP($U$1,A:D,4,))*100)+100</f>
        <v/>
      </c>
      <c r="K18" s="86">
        <f>(((Table134567891011121314151617343[[#This Row],[ESP]]-VLOOKUP($U$1,A:E,5,))/VLOOKUP($U$1,A:E,5,))*100)+100</f>
        <v/>
      </c>
      <c r="L18" s="86">
        <f>(((Table134567891011121314151617343[[#This Row],[EA19]]-VLOOKUP($U$1,A:F,6,))/VLOOKUP($U$1,A:F,6,))*100)+100</f>
        <v/>
      </c>
      <c r="M18" s="86">
        <f>(((Table134567891011121314151617343[[#This Row],[GBR]]-VLOOKUP($U$1,A:G,7,))/VLOOKUP($U$1,A:G,7,))*100)+100</f>
        <v/>
      </c>
      <c r="N18" s="86">
        <f>VLOOKUP(A18,Database!$A:$AS,MATCH($N$1,Database!$A$1:$AS$1,0),FALSE)</f>
        <v/>
      </c>
      <c r="O18" s="86">
        <f>(((Table134567891011121314151617343[[#This Row],[USA]]-VLOOKUP($U$1,A:N,14,))/VLOOKUP($U$1,A:N,14,))*100)+100</f>
        <v/>
      </c>
      <c r="P18" s="86">
        <f>VLOOKUP(A18,Database!$A:$AS,MATCH($P$1,Database!$A$1:$AS$1,0),FALSE)</f>
        <v/>
      </c>
      <c r="Q18" s="86">
        <f>(((Table134567891011121314151617343[[#This Row],[JPN]]-VLOOKUP($U$1,A:Q,16,))/VLOOKUP($U$1,A:Q,16,))*100)+100</f>
        <v/>
      </c>
      <c r="W18" s="94" t="inlineStr">
        <is>
          <t>ISR</t>
        </is>
      </c>
    </row>
    <row r="19" customFormat="1" s="94">
      <c r="A19" s="22" t="n">
        <v>33390</v>
      </c>
      <c r="B19" s="86">
        <f>VLOOKUP(A19,Database!$A:$AS,MATCH($B$1,Database!$A$1:$AS$1,0),FALSE)</f>
        <v/>
      </c>
      <c r="C19" s="86">
        <f>VLOOKUP(A19,Database!$A:$AS,MATCH($C$1,Database!$A$1:$AS$1,0),FALSE)</f>
        <v/>
      </c>
      <c r="D19" s="86">
        <f>VLOOKUP(A19,Database!$A:$AS,MATCH($D$1,Database!$A$1:$AS$1,0),FALSE)</f>
        <v/>
      </c>
      <c r="E19" s="86">
        <f>VLOOKUP(A19,Database!$A:$AS,MATCH($E$1,Database!$A$1:$AS$1,0),FALSE)</f>
        <v/>
      </c>
      <c r="F19" s="86">
        <f>VLOOKUP(A19,Database!$A:$AS,MATCH($F$1,Database!$A$1:$AS$1,0),FALSE)</f>
        <v/>
      </c>
      <c r="G19" s="86">
        <f>VLOOKUP(A19,Database!$A:$AS,MATCH($G$1,Database!$A$1:$AS$1,0),FALSE)</f>
        <v/>
      </c>
      <c r="H19" s="86">
        <f>(((Table134567891011121314151617343[[#This Row],[ITA]]-VLOOKUP($U$1,A:B,2,))/VLOOKUP($U$1,A:B,2,))*100)+100</f>
        <v/>
      </c>
      <c r="I19" s="86">
        <f>(((Table134567891011121314151617343[[#This Row],[FRA]]-VLOOKUP($U$1,A:C,3,))/VLOOKUP($U$1,A:C,3,))*100)+100</f>
        <v/>
      </c>
      <c r="J19" s="86">
        <f>(((Table134567891011121314151617343[[#This Row],[DEU]]-VLOOKUP($U$1,A:D,4,))/VLOOKUP($U$1,A:D,4,))*100)+100</f>
        <v/>
      </c>
      <c r="K19" s="86">
        <f>(((Table134567891011121314151617343[[#This Row],[ESP]]-VLOOKUP($U$1,A:E,5,))/VLOOKUP($U$1,A:E,5,))*100)+100</f>
        <v/>
      </c>
      <c r="L19" s="86">
        <f>(((Table134567891011121314151617343[[#This Row],[EA19]]-VLOOKUP($U$1,A:F,6,))/VLOOKUP($U$1,A:F,6,))*100)+100</f>
        <v/>
      </c>
      <c r="M19" s="86">
        <f>(((Table134567891011121314151617343[[#This Row],[GBR]]-VLOOKUP($U$1,A:G,7,))/VLOOKUP($U$1,A:G,7,))*100)+100</f>
        <v/>
      </c>
      <c r="N19" s="86">
        <f>VLOOKUP(A19,Database!$A:$AS,MATCH($N$1,Database!$A$1:$AS$1,0),FALSE)</f>
        <v/>
      </c>
      <c r="O19" s="86">
        <f>(((Table134567891011121314151617343[[#This Row],[USA]]-VLOOKUP($U$1,A:N,14,))/VLOOKUP($U$1,A:N,14,))*100)+100</f>
        <v/>
      </c>
      <c r="P19" s="86">
        <f>VLOOKUP(A19,Database!$A:$AS,MATCH($P$1,Database!$A$1:$AS$1,0),FALSE)</f>
        <v/>
      </c>
      <c r="Q19" s="86">
        <f>(((Table134567891011121314151617343[[#This Row],[JPN]]-VLOOKUP($U$1,A:Q,16,))/VLOOKUP($U$1,A:Q,16,))*100)+100</f>
        <v/>
      </c>
      <c r="W19" s="94" t="inlineStr">
        <is>
          <t>ITA</t>
        </is>
      </c>
    </row>
    <row r="20" customFormat="1" s="94">
      <c r="A20" s="22" t="n">
        <v>33420</v>
      </c>
      <c r="B20" s="86">
        <f>VLOOKUP(A20,Database!$A:$AS,MATCH($B$1,Database!$A$1:$AS$1,0),FALSE)</f>
        <v/>
      </c>
      <c r="C20" s="86">
        <f>VLOOKUP(A20,Database!$A:$AS,MATCH($C$1,Database!$A$1:$AS$1,0),FALSE)</f>
        <v/>
      </c>
      <c r="D20" s="86">
        <f>VLOOKUP(A20,Database!$A:$AS,MATCH($D$1,Database!$A$1:$AS$1,0),FALSE)</f>
        <v/>
      </c>
      <c r="E20" s="86">
        <f>VLOOKUP(A20,Database!$A:$AS,MATCH($E$1,Database!$A$1:$AS$1,0),FALSE)</f>
        <v/>
      </c>
      <c r="F20" s="86">
        <f>VLOOKUP(A20,Database!$A:$AS,MATCH($F$1,Database!$A$1:$AS$1,0),FALSE)</f>
        <v/>
      </c>
      <c r="G20" s="86">
        <f>VLOOKUP(A20,Database!$A:$AS,MATCH($G$1,Database!$A$1:$AS$1,0),FALSE)</f>
        <v/>
      </c>
      <c r="H20" s="86">
        <f>(((Table134567891011121314151617343[[#This Row],[ITA]]-VLOOKUP($U$1,A:B,2,))/VLOOKUP($U$1,A:B,2,))*100)+100</f>
        <v/>
      </c>
      <c r="I20" s="86">
        <f>(((Table134567891011121314151617343[[#This Row],[FRA]]-VLOOKUP($U$1,A:C,3,))/VLOOKUP($U$1,A:C,3,))*100)+100</f>
        <v/>
      </c>
      <c r="J20" s="86">
        <f>(((Table134567891011121314151617343[[#This Row],[DEU]]-VLOOKUP($U$1,A:D,4,))/VLOOKUP($U$1,A:D,4,))*100)+100</f>
        <v/>
      </c>
      <c r="K20" s="86">
        <f>(((Table134567891011121314151617343[[#This Row],[ESP]]-VLOOKUP($U$1,A:E,5,))/VLOOKUP($U$1,A:E,5,))*100)+100</f>
        <v/>
      </c>
      <c r="L20" s="86">
        <f>(((Table134567891011121314151617343[[#This Row],[EA19]]-VLOOKUP($U$1,A:F,6,))/VLOOKUP($U$1,A:F,6,))*100)+100</f>
        <v/>
      </c>
      <c r="M20" s="86">
        <f>(((Table134567891011121314151617343[[#This Row],[GBR]]-VLOOKUP($U$1,A:G,7,))/VLOOKUP($U$1,A:G,7,))*100)+100</f>
        <v/>
      </c>
      <c r="N20" s="86">
        <f>VLOOKUP(A20,Database!$A:$AS,MATCH($N$1,Database!$A$1:$AS$1,0),FALSE)</f>
        <v/>
      </c>
      <c r="O20" s="86">
        <f>(((Table134567891011121314151617343[[#This Row],[USA]]-VLOOKUP($U$1,A:N,14,))/VLOOKUP($U$1,A:N,14,))*100)+100</f>
        <v/>
      </c>
      <c r="P20" s="86">
        <f>VLOOKUP(A20,Database!$A:$AS,MATCH($P$1,Database!$A$1:$AS$1,0),FALSE)</f>
        <v/>
      </c>
      <c r="Q20" s="86">
        <f>(((Table134567891011121314151617343[[#This Row],[JPN]]-VLOOKUP($U$1,A:Q,16,))/VLOOKUP($U$1,A:Q,16,))*100)+100</f>
        <v/>
      </c>
      <c r="W20" s="94" t="inlineStr">
        <is>
          <t>JPN</t>
        </is>
      </c>
    </row>
    <row r="21" customFormat="1" s="94">
      <c r="A21" s="22" t="n">
        <v>33451</v>
      </c>
      <c r="B21" s="86">
        <f>VLOOKUP(A21,Database!$A:$AS,MATCH($B$1,Database!$A$1:$AS$1,0),FALSE)</f>
        <v/>
      </c>
      <c r="C21" s="86">
        <f>VLOOKUP(A21,Database!$A:$AS,MATCH($C$1,Database!$A$1:$AS$1,0),FALSE)</f>
        <v/>
      </c>
      <c r="D21" s="86">
        <f>VLOOKUP(A21,Database!$A:$AS,MATCH($D$1,Database!$A$1:$AS$1,0),FALSE)</f>
        <v/>
      </c>
      <c r="E21" s="86">
        <f>VLOOKUP(A21,Database!$A:$AS,MATCH($E$1,Database!$A$1:$AS$1,0),FALSE)</f>
        <v/>
      </c>
      <c r="F21" s="86">
        <f>VLOOKUP(A21,Database!$A:$AS,MATCH($F$1,Database!$A$1:$AS$1,0),FALSE)</f>
        <v/>
      </c>
      <c r="G21" s="86">
        <f>VLOOKUP(A21,Database!$A:$AS,MATCH($G$1,Database!$A$1:$AS$1,0),FALSE)</f>
        <v/>
      </c>
      <c r="H21" s="86">
        <f>(((Table134567891011121314151617343[[#This Row],[ITA]]-VLOOKUP($U$1,A:B,2,))/VLOOKUP($U$1,A:B,2,))*100)+100</f>
        <v/>
      </c>
      <c r="I21" s="86">
        <f>(((Table134567891011121314151617343[[#This Row],[FRA]]-VLOOKUP($U$1,A:C,3,))/VLOOKUP($U$1,A:C,3,))*100)+100</f>
        <v/>
      </c>
      <c r="J21" s="86">
        <f>(((Table134567891011121314151617343[[#This Row],[DEU]]-VLOOKUP($U$1,A:D,4,))/VLOOKUP($U$1,A:D,4,))*100)+100</f>
        <v/>
      </c>
      <c r="K21" s="86">
        <f>(((Table134567891011121314151617343[[#This Row],[ESP]]-VLOOKUP($U$1,A:E,5,))/VLOOKUP($U$1,A:E,5,))*100)+100</f>
        <v/>
      </c>
      <c r="L21" s="86">
        <f>(((Table134567891011121314151617343[[#This Row],[EA19]]-VLOOKUP($U$1,A:F,6,))/VLOOKUP($U$1,A:F,6,))*100)+100</f>
        <v/>
      </c>
      <c r="M21" s="86">
        <f>(((Table134567891011121314151617343[[#This Row],[GBR]]-VLOOKUP($U$1,A:G,7,))/VLOOKUP($U$1,A:G,7,))*100)+100</f>
        <v/>
      </c>
      <c r="N21" s="86">
        <f>VLOOKUP(A21,Database!$A:$AS,MATCH($N$1,Database!$A$1:$AS$1,0),FALSE)</f>
        <v/>
      </c>
      <c r="O21" s="86">
        <f>(((Table134567891011121314151617343[[#This Row],[USA]]-VLOOKUP($U$1,A:N,14,))/VLOOKUP($U$1,A:N,14,))*100)+100</f>
        <v/>
      </c>
      <c r="P21" s="86">
        <f>VLOOKUP(A21,Database!$A:$AS,MATCH($P$1,Database!$A$1:$AS$1,0),FALSE)</f>
        <v/>
      </c>
      <c r="Q21" s="86">
        <f>(((Table134567891011121314151617343[[#This Row],[JPN]]-VLOOKUP($U$1,A:Q,16,))/VLOOKUP($U$1,A:Q,16,))*100)+100</f>
        <v/>
      </c>
      <c r="W21" s="94" t="inlineStr">
        <is>
          <t>KOR</t>
        </is>
      </c>
    </row>
    <row r="22" customFormat="1" s="94">
      <c r="A22" s="22" t="n">
        <v>33482</v>
      </c>
      <c r="B22" s="86">
        <f>VLOOKUP(A22,Database!$A:$AS,MATCH($B$1,Database!$A$1:$AS$1,0),FALSE)</f>
        <v/>
      </c>
      <c r="C22" s="86">
        <f>VLOOKUP(A22,Database!$A:$AS,MATCH($C$1,Database!$A$1:$AS$1,0),FALSE)</f>
        <v/>
      </c>
      <c r="D22" s="86">
        <f>VLOOKUP(A22,Database!$A:$AS,MATCH($D$1,Database!$A$1:$AS$1,0),FALSE)</f>
        <v/>
      </c>
      <c r="E22" s="86">
        <f>VLOOKUP(A22,Database!$A:$AS,MATCH($E$1,Database!$A$1:$AS$1,0),FALSE)</f>
        <v/>
      </c>
      <c r="F22" s="86">
        <f>VLOOKUP(A22,Database!$A:$AS,MATCH($F$1,Database!$A$1:$AS$1,0),FALSE)</f>
        <v/>
      </c>
      <c r="G22" s="86">
        <f>VLOOKUP(A22,Database!$A:$AS,MATCH($G$1,Database!$A$1:$AS$1,0),FALSE)</f>
        <v/>
      </c>
      <c r="H22" s="86">
        <f>(((Table134567891011121314151617343[[#This Row],[ITA]]-VLOOKUP($U$1,A:B,2,))/VLOOKUP($U$1,A:B,2,))*100)+100</f>
        <v/>
      </c>
      <c r="I22" s="86">
        <f>(((Table134567891011121314151617343[[#This Row],[FRA]]-VLOOKUP($U$1,A:C,3,))/VLOOKUP($U$1,A:C,3,))*100)+100</f>
        <v/>
      </c>
      <c r="J22" s="86">
        <f>(((Table134567891011121314151617343[[#This Row],[DEU]]-VLOOKUP($U$1,A:D,4,))/VLOOKUP($U$1,A:D,4,))*100)+100</f>
        <v/>
      </c>
      <c r="K22" s="86">
        <f>(((Table134567891011121314151617343[[#This Row],[ESP]]-VLOOKUP($U$1,A:E,5,))/VLOOKUP($U$1,A:E,5,))*100)+100</f>
        <v/>
      </c>
      <c r="L22" s="86">
        <f>(((Table134567891011121314151617343[[#This Row],[EA19]]-VLOOKUP($U$1,A:F,6,))/VLOOKUP($U$1,A:F,6,))*100)+100</f>
        <v/>
      </c>
      <c r="M22" s="86">
        <f>(((Table134567891011121314151617343[[#This Row],[GBR]]-VLOOKUP($U$1,A:G,7,))/VLOOKUP($U$1,A:G,7,))*100)+100</f>
        <v/>
      </c>
      <c r="N22" s="86">
        <f>VLOOKUP(A22,Database!$A:$AS,MATCH($N$1,Database!$A$1:$AS$1,0),FALSE)</f>
        <v/>
      </c>
      <c r="O22" s="86">
        <f>(((Table134567891011121314151617343[[#This Row],[USA]]-VLOOKUP($U$1,A:N,14,))/VLOOKUP($U$1,A:N,14,))*100)+100</f>
        <v/>
      </c>
      <c r="P22" s="86">
        <f>VLOOKUP(A22,Database!$A:$AS,MATCH($P$1,Database!$A$1:$AS$1,0),FALSE)</f>
        <v/>
      </c>
      <c r="Q22" s="86">
        <f>(((Table134567891011121314151617343[[#This Row],[JPN]]-VLOOKUP($U$1,A:Q,16,))/VLOOKUP($U$1,A:Q,16,))*100)+100</f>
        <v/>
      </c>
      <c r="W22" s="94" t="inlineStr">
        <is>
          <t>LUX</t>
        </is>
      </c>
    </row>
    <row r="23" customFormat="1" s="94">
      <c r="A23" s="22" t="n">
        <v>33512</v>
      </c>
      <c r="B23" s="86">
        <f>VLOOKUP(A23,Database!$A:$AS,MATCH($B$1,Database!$A$1:$AS$1,0),FALSE)</f>
        <v/>
      </c>
      <c r="C23" s="86">
        <f>VLOOKUP(A23,Database!$A:$AS,MATCH($C$1,Database!$A$1:$AS$1,0),FALSE)</f>
        <v/>
      </c>
      <c r="D23" s="86">
        <f>VLOOKUP(A23,Database!$A:$AS,MATCH($D$1,Database!$A$1:$AS$1,0),FALSE)</f>
        <v/>
      </c>
      <c r="E23" s="86">
        <f>VLOOKUP(A23,Database!$A:$AS,MATCH($E$1,Database!$A$1:$AS$1,0),FALSE)</f>
        <v/>
      </c>
      <c r="F23" s="86">
        <f>VLOOKUP(A23,Database!$A:$AS,MATCH($F$1,Database!$A$1:$AS$1,0),FALSE)</f>
        <v/>
      </c>
      <c r="G23" s="86">
        <f>VLOOKUP(A23,Database!$A:$AS,MATCH($G$1,Database!$A$1:$AS$1,0),FALSE)</f>
        <v/>
      </c>
      <c r="H23" s="86">
        <f>(((Table134567891011121314151617343[[#This Row],[ITA]]-VLOOKUP($U$1,A:B,2,))/VLOOKUP($U$1,A:B,2,))*100)+100</f>
        <v/>
      </c>
      <c r="I23" s="86">
        <f>(((Table134567891011121314151617343[[#This Row],[FRA]]-VLOOKUP($U$1,A:C,3,))/VLOOKUP($U$1,A:C,3,))*100)+100</f>
        <v/>
      </c>
      <c r="J23" s="86">
        <f>(((Table134567891011121314151617343[[#This Row],[DEU]]-VLOOKUP($U$1,A:D,4,))/VLOOKUP($U$1,A:D,4,))*100)+100</f>
        <v/>
      </c>
      <c r="K23" s="86">
        <f>(((Table134567891011121314151617343[[#This Row],[ESP]]-VLOOKUP($U$1,A:E,5,))/VLOOKUP($U$1,A:E,5,))*100)+100</f>
        <v/>
      </c>
      <c r="L23" s="86">
        <f>(((Table134567891011121314151617343[[#This Row],[EA19]]-VLOOKUP($U$1,A:F,6,))/VLOOKUP($U$1,A:F,6,))*100)+100</f>
        <v/>
      </c>
      <c r="M23" s="86">
        <f>(((Table134567891011121314151617343[[#This Row],[GBR]]-VLOOKUP($U$1,A:G,7,))/VLOOKUP($U$1,A:G,7,))*100)+100</f>
        <v/>
      </c>
      <c r="N23" s="86">
        <f>VLOOKUP(A23,Database!$A:$AS,MATCH($N$1,Database!$A$1:$AS$1,0),FALSE)</f>
        <v/>
      </c>
      <c r="O23" s="86">
        <f>(((Table134567891011121314151617343[[#This Row],[USA]]-VLOOKUP($U$1,A:N,14,))/VLOOKUP($U$1,A:N,14,))*100)+100</f>
        <v/>
      </c>
      <c r="P23" s="86">
        <f>VLOOKUP(A23,Database!$A:$AS,MATCH($P$1,Database!$A$1:$AS$1,0),FALSE)</f>
        <v/>
      </c>
      <c r="Q23" s="86">
        <f>(((Table134567891011121314151617343[[#This Row],[JPN]]-VLOOKUP($U$1,A:Q,16,))/VLOOKUP($U$1,A:Q,16,))*100)+100</f>
        <v/>
      </c>
      <c r="W23" s="94" t="inlineStr">
        <is>
          <t>LVA</t>
        </is>
      </c>
    </row>
    <row r="24" customFormat="1" s="94">
      <c r="A24" s="22" t="n">
        <v>33543</v>
      </c>
      <c r="B24" s="86">
        <f>VLOOKUP(A24,Database!$A:$AS,MATCH($B$1,Database!$A$1:$AS$1,0),FALSE)</f>
        <v/>
      </c>
      <c r="C24" s="86">
        <f>VLOOKUP(A24,Database!$A:$AS,MATCH($C$1,Database!$A$1:$AS$1,0),FALSE)</f>
        <v/>
      </c>
      <c r="D24" s="86">
        <f>VLOOKUP(A24,Database!$A:$AS,MATCH($D$1,Database!$A$1:$AS$1,0),FALSE)</f>
        <v/>
      </c>
      <c r="E24" s="86">
        <f>VLOOKUP(A24,Database!$A:$AS,MATCH($E$1,Database!$A$1:$AS$1,0),FALSE)</f>
        <v/>
      </c>
      <c r="F24" s="86">
        <f>VLOOKUP(A24,Database!$A:$AS,MATCH($F$1,Database!$A$1:$AS$1,0),FALSE)</f>
        <v/>
      </c>
      <c r="G24" s="86">
        <f>VLOOKUP(A24,Database!$A:$AS,MATCH($G$1,Database!$A$1:$AS$1,0),FALSE)</f>
        <v/>
      </c>
      <c r="H24" s="86">
        <f>(((Table134567891011121314151617343[[#This Row],[ITA]]-VLOOKUP($U$1,A:B,2,))/VLOOKUP($U$1,A:B,2,))*100)+100</f>
        <v/>
      </c>
      <c r="I24" s="86">
        <f>(((Table134567891011121314151617343[[#This Row],[FRA]]-VLOOKUP($U$1,A:C,3,))/VLOOKUP($U$1,A:C,3,))*100)+100</f>
        <v/>
      </c>
      <c r="J24" s="86">
        <f>(((Table134567891011121314151617343[[#This Row],[DEU]]-VLOOKUP($U$1,A:D,4,))/VLOOKUP($U$1,A:D,4,))*100)+100</f>
        <v/>
      </c>
      <c r="K24" s="86">
        <f>(((Table134567891011121314151617343[[#This Row],[ESP]]-VLOOKUP($U$1,A:E,5,))/VLOOKUP($U$1,A:E,5,))*100)+100</f>
        <v/>
      </c>
      <c r="L24" s="86">
        <f>(((Table134567891011121314151617343[[#This Row],[EA19]]-VLOOKUP($U$1,A:F,6,))/VLOOKUP($U$1,A:F,6,))*100)+100</f>
        <v/>
      </c>
      <c r="M24" s="86">
        <f>(((Table134567891011121314151617343[[#This Row],[GBR]]-VLOOKUP($U$1,A:G,7,))/VLOOKUP($U$1,A:G,7,))*100)+100</f>
        <v/>
      </c>
      <c r="N24" s="86">
        <f>VLOOKUP(A24,Database!$A:$AS,MATCH($N$1,Database!$A$1:$AS$1,0),FALSE)</f>
        <v/>
      </c>
      <c r="O24" s="86">
        <f>(((Table134567891011121314151617343[[#This Row],[USA]]-VLOOKUP($U$1,A:N,14,))/VLOOKUP($U$1,A:N,14,))*100)+100</f>
        <v/>
      </c>
      <c r="P24" s="86">
        <f>VLOOKUP(A24,Database!$A:$AS,MATCH($P$1,Database!$A$1:$AS$1,0),FALSE)</f>
        <v/>
      </c>
      <c r="Q24" s="86">
        <f>(((Table134567891011121314151617343[[#This Row],[JPN]]-VLOOKUP($U$1,A:Q,16,))/VLOOKUP($U$1,A:Q,16,))*100)+100</f>
        <v/>
      </c>
      <c r="W24" s="94" t="inlineStr">
        <is>
          <t>MEX</t>
        </is>
      </c>
    </row>
    <row r="25" customFormat="1" s="94">
      <c r="A25" s="22" t="n">
        <v>33573</v>
      </c>
      <c r="B25" s="86">
        <f>VLOOKUP(A25,Database!$A:$AS,MATCH($B$1,Database!$A$1:$AS$1,0),FALSE)</f>
        <v/>
      </c>
      <c r="C25" s="86">
        <f>VLOOKUP(A25,Database!$A:$AS,MATCH($C$1,Database!$A$1:$AS$1,0),FALSE)</f>
        <v/>
      </c>
      <c r="D25" s="86">
        <f>VLOOKUP(A25,Database!$A:$AS,MATCH($D$1,Database!$A$1:$AS$1,0),FALSE)</f>
        <v/>
      </c>
      <c r="E25" s="86">
        <f>VLOOKUP(A25,Database!$A:$AS,MATCH($E$1,Database!$A$1:$AS$1,0),FALSE)</f>
        <v/>
      </c>
      <c r="F25" s="86">
        <f>VLOOKUP(A25,Database!$A:$AS,MATCH($F$1,Database!$A$1:$AS$1,0),FALSE)</f>
        <v/>
      </c>
      <c r="G25" s="86">
        <f>VLOOKUP(A25,Database!$A:$AS,MATCH($G$1,Database!$A$1:$AS$1,0),FALSE)</f>
        <v/>
      </c>
      <c r="H25" s="86">
        <f>(((Table134567891011121314151617343[[#This Row],[ITA]]-VLOOKUP($U$1,A:B,2,))/VLOOKUP($U$1,A:B,2,))*100)+100</f>
        <v/>
      </c>
      <c r="I25" s="86">
        <f>(((Table134567891011121314151617343[[#This Row],[FRA]]-VLOOKUP($U$1,A:C,3,))/VLOOKUP($U$1,A:C,3,))*100)+100</f>
        <v/>
      </c>
      <c r="J25" s="86">
        <f>(((Table134567891011121314151617343[[#This Row],[DEU]]-VLOOKUP($U$1,A:D,4,))/VLOOKUP($U$1,A:D,4,))*100)+100</f>
        <v/>
      </c>
      <c r="K25" s="86">
        <f>(((Table134567891011121314151617343[[#This Row],[ESP]]-VLOOKUP($U$1,A:E,5,))/VLOOKUP($U$1,A:E,5,))*100)+100</f>
        <v/>
      </c>
      <c r="L25" s="86">
        <f>(((Table134567891011121314151617343[[#This Row],[EA19]]-VLOOKUP($U$1,A:F,6,))/VLOOKUP($U$1,A:F,6,))*100)+100</f>
        <v/>
      </c>
      <c r="M25" s="86">
        <f>(((Table134567891011121314151617343[[#This Row],[GBR]]-VLOOKUP($U$1,A:G,7,))/VLOOKUP($U$1,A:G,7,))*100)+100</f>
        <v/>
      </c>
      <c r="N25" s="86">
        <f>VLOOKUP(A25,Database!$A:$AS,MATCH($N$1,Database!$A$1:$AS$1,0),FALSE)</f>
        <v/>
      </c>
      <c r="O25" s="86">
        <f>(((Table134567891011121314151617343[[#This Row],[USA]]-VLOOKUP($U$1,A:N,14,))/VLOOKUP($U$1,A:N,14,))*100)+100</f>
        <v/>
      </c>
      <c r="P25" s="86">
        <f>VLOOKUP(A25,Database!$A:$AS,MATCH($P$1,Database!$A$1:$AS$1,0),FALSE)</f>
        <v/>
      </c>
      <c r="Q25" s="86">
        <f>(((Table134567891011121314151617343[[#This Row],[JPN]]-VLOOKUP($U$1,A:Q,16,))/VLOOKUP($U$1,A:Q,16,))*100)+100</f>
        <v/>
      </c>
      <c r="W25" s="94" t="inlineStr">
        <is>
          <t>NLD</t>
        </is>
      </c>
    </row>
    <row r="26" customFormat="1" s="94">
      <c r="A26" s="22" t="n">
        <v>33604</v>
      </c>
      <c r="B26" s="86">
        <f>VLOOKUP(A26,Database!$A:$AS,MATCH($B$1,Database!$A$1:$AS$1,0),FALSE)</f>
        <v/>
      </c>
      <c r="C26" s="86">
        <f>VLOOKUP(A26,Database!$A:$AS,MATCH($C$1,Database!$A$1:$AS$1,0),FALSE)</f>
        <v/>
      </c>
      <c r="D26" s="86">
        <f>VLOOKUP(A26,Database!$A:$AS,MATCH($D$1,Database!$A$1:$AS$1,0),FALSE)</f>
        <v/>
      </c>
      <c r="E26" s="86">
        <f>VLOOKUP(A26,Database!$A:$AS,MATCH($E$1,Database!$A$1:$AS$1,0),FALSE)</f>
        <v/>
      </c>
      <c r="F26" s="86">
        <f>VLOOKUP(A26,Database!$A:$AS,MATCH($F$1,Database!$A$1:$AS$1,0),FALSE)</f>
        <v/>
      </c>
      <c r="G26" s="86">
        <f>VLOOKUP(A26,Database!$A:$AS,MATCH($G$1,Database!$A$1:$AS$1,0),FALSE)</f>
        <v/>
      </c>
      <c r="H26" s="86">
        <f>(((Table134567891011121314151617343[[#This Row],[ITA]]-VLOOKUP($U$1,A:B,2,))/VLOOKUP($U$1,A:B,2,))*100)+100</f>
        <v/>
      </c>
      <c r="I26" s="86">
        <f>(((Table134567891011121314151617343[[#This Row],[FRA]]-VLOOKUP($U$1,A:C,3,))/VLOOKUP($U$1,A:C,3,))*100)+100</f>
        <v/>
      </c>
      <c r="J26" s="86">
        <f>(((Table134567891011121314151617343[[#This Row],[DEU]]-VLOOKUP($U$1,A:D,4,))/VLOOKUP($U$1,A:D,4,))*100)+100</f>
        <v/>
      </c>
      <c r="K26" s="86">
        <f>(((Table134567891011121314151617343[[#This Row],[ESP]]-VLOOKUP($U$1,A:E,5,))/VLOOKUP($U$1,A:E,5,))*100)+100</f>
        <v/>
      </c>
      <c r="L26" s="86">
        <f>(((Table134567891011121314151617343[[#This Row],[EA19]]-VLOOKUP($U$1,A:F,6,))/VLOOKUP($U$1,A:F,6,))*100)+100</f>
        <v/>
      </c>
      <c r="M26" s="86">
        <f>(((Table134567891011121314151617343[[#This Row],[GBR]]-VLOOKUP($U$1,A:G,7,))/VLOOKUP($U$1,A:G,7,))*100)+100</f>
        <v/>
      </c>
      <c r="N26" s="86">
        <f>VLOOKUP(A26,Database!$A:$AS,MATCH($N$1,Database!$A$1:$AS$1,0),FALSE)</f>
        <v/>
      </c>
      <c r="O26" s="86">
        <f>(((Table134567891011121314151617343[[#This Row],[USA]]-VLOOKUP($U$1,A:N,14,))/VLOOKUP($U$1,A:N,14,))*100)+100</f>
        <v/>
      </c>
      <c r="P26" s="86">
        <f>VLOOKUP(A26,Database!$A:$AS,MATCH($P$1,Database!$A$1:$AS$1,0),FALSE)</f>
        <v/>
      </c>
      <c r="Q26" s="86">
        <f>(((Table134567891011121314151617343[[#This Row],[JPN]]-VLOOKUP($U$1,A:Q,16,))/VLOOKUP($U$1,A:Q,16,))*100)+100</f>
        <v/>
      </c>
      <c r="W26" s="94" t="inlineStr">
        <is>
          <t>NOR</t>
        </is>
      </c>
    </row>
    <row r="27" customFormat="1" s="94">
      <c r="A27" s="22" t="n">
        <v>33635</v>
      </c>
      <c r="B27" s="86">
        <f>VLOOKUP(A27,Database!$A:$AS,MATCH($B$1,Database!$A$1:$AS$1,0),FALSE)</f>
        <v/>
      </c>
      <c r="C27" s="86">
        <f>VLOOKUP(A27,Database!$A:$AS,MATCH($C$1,Database!$A$1:$AS$1,0),FALSE)</f>
        <v/>
      </c>
      <c r="D27" s="86">
        <f>VLOOKUP(A27,Database!$A:$AS,MATCH($D$1,Database!$A$1:$AS$1,0),FALSE)</f>
        <v/>
      </c>
      <c r="E27" s="86">
        <f>VLOOKUP(A27,Database!$A:$AS,MATCH($E$1,Database!$A$1:$AS$1,0),FALSE)</f>
        <v/>
      </c>
      <c r="F27" s="86">
        <f>VLOOKUP(A27,Database!$A:$AS,MATCH($F$1,Database!$A$1:$AS$1,0),FALSE)</f>
        <v/>
      </c>
      <c r="G27" s="86">
        <f>VLOOKUP(A27,Database!$A:$AS,MATCH($G$1,Database!$A$1:$AS$1,0),FALSE)</f>
        <v/>
      </c>
      <c r="H27" s="86">
        <f>(((Table134567891011121314151617343[[#This Row],[ITA]]-VLOOKUP($U$1,A:B,2,))/VLOOKUP($U$1,A:B,2,))*100)+100</f>
        <v/>
      </c>
      <c r="I27" s="86">
        <f>(((Table134567891011121314151617343[[#This Row],[FRA]]-VLOOKUP($U$1,A:C,3,))/VLOOKUP($U$1,A:C,3,))*100)+100</f>
        <v/>
      </c>
      <c r="J27" s="86">
        <f>(((Table134567891011121314151617343[[#This Row],[DEU]]-VLOOKUP($U$1,A:D,4,))/VLOOKUP($U$1,A:D,4,))*100)+100</f>
        <v/>
      </c>
      <c r="K27" s="86">
        <f>(((Table134567891011121314151617343[[#This Row],[ESP]]-VLOOKUP($U$1,A:E,5,))/VLOOKUP($U$1,A:E,5,))*100)+100</f>
        <v/>
      </c>
      <c r="L27" s="86">
        <f>(((Table134567891011121314151617343[[#This Row],[EA19]]-VLOOKUP($U$1,A:F,6,))/VLOOKUP($U$1,A:F,6,))*100)+100</f>
        <v/>
      </c>
      <c r="M27" s="86">
        <f>(((Table134567891011121314151617343[[#This Row],[GBR]]-VLOOKUP($U$1,A:G,7,))/VLOOKUP($U$1,A:G,7,))*100)+100</f>
        <v/>
      </c>
      <c r="N27" s="86">
        <f>VLOOKUP(A27,Database!$A:$AS,MATCH($N$1,Database!$A$1:$AS$1,0),FALSE)</f>
        <v/>
      </c>
      <c r="O27" s="86">
        <f>(((Table134567891011121314151617343[[#This Row],[USA]]-VLOOKUP($U$1,A:N,14,))/VLOOKUP($U$1,A:N,14,))*100)+100</f>
        <v/>
      </c>
      <c r="P27" s="86">
        <f>VLOOKUP(A27,Database!$A:$AS,MATCH($P$1,Database!$A$1:$AS$1,0),FALSE)</f>
        <v/>
      </c>
      <c r="Q27" s="86">
        <f>(((Table134567891011121314151617343[[#This Row],[JPN]]-VLOOKUP($U$1,A:Q,16,))/VLOOKUP($U$1,A:Q,16,))*100)+100</f>
        <v/>
      </c>
      <c r="W27" s="94" t="inlineStr">
        <is>
          <t>OECD</t>
        </is>
      </c>
    </row>
    <row r="28" customFormat="1" s="94">
      <c r="A28" s="22" t="n">
        <v>33664</v>
      </c>
      <c r="B28" s="86">
        <f>VLOOKUP(A28,Database!$A:$AS,MATCH($B$1,Database!$A$1:$AS$1,0),FALSE)</f>
        <v/>
      </c>
      <c r="C28" s="86">
        <f>VLOOKUP(A28,Database!$A:$AS,MATCH($C$1,Database!$A$1:$AS$1,0),FALSE)</f>
        <v/>
      </c>
      <c r="D28" s="86">
        <f>VLOOKUP(A28,Database!$A:$AS,MATCH($D$1,Database!$A$1:$AS$1,0),FALSE)</f>
        <v/>
      </c>
      <c r="E28" s="86">
        <f>VLOOKUP(A28,Database!$A:$AS,MATCH($E$1,Database!$A$1:$AS$1,0),FALSE)</f>
        <v/>
      </c>
      <c r="F28" s="86">
        <f>VLOOKUP(A28,Database!$A:$AS,MATCH($F$1,Database!$A$1:$AS$1,0),FALSE)</f>
        <v/>
      </c>
      <c r="G28" s="86">
        <f>VLOOKUP(A28,Database!$A:$AS,MATCH($G$1,Database!$A$1:$AS$1,0),FALSE)</f>
        <v/>
      </c>
      <c r="H28" s="86">
        <f>(((Table134567891011121314151617343[[#This Row],[ITA]]-VLOOKUP($U$1,A:B,2,))/VLOOKUP($U$1,A:B,2,))*100)+100</f>
        <v/>
      </c>
      <c r="I28" s="86">
        <f>(((Table134567891011121314151617343[[#This Row],[FRA]]-VLOOKUP($U$1,A:C,3,))/VLOOKUP($U$1,A:C,3,))*100)+100</f>
        <v/>
      </c>
      <c r="J28" s="86">
        <f>(((Table134567891011121314151617343[[#This Row],[DEU]]-VLOOKUP($U$1,A:D,4,))/VLOOKUP($U$1,A:D,4,))*100)+100</f>
        <v/>
      </c>
      <c r="K28" s="86">
        <f>(((Table134567891011121314151617343[[#This Row],[ESP]]-VLOOKUP($U$1,A:E,5,))/VLOOKUP($U$1,A:E,5,))*100)+100</f>
        <v/>
      </c>
      <c r="L28" s="86">
        <f>(((Table134567891011121314151617343[[#This Row],[EA19]]-VLOOKUP($U$1,A:F,6,))/VLOOKUP($U$1,A:F,6,))*100)+100</f>
        <v/>
      </c>
      <c r="M28" s="86">
        <f>(((Table134567891011121314151617343[[#This Row],[GBR]]-VLOOKUP($U$1,A:G,7,))/VLOOKUP($U$1,A:G,7,))*100)+100</f>
        <v/>
      </c>
      <c r="N28" s="86">
        <f>VLOOKUP(A28,Database!$A:$AS,MATCH($N$1,Database!$A$1:$AS$1,0),FALSE)</f>
        <v/>
      </c>
      <c r="O28" s="86">
        <f>(((Table134567891011121314151617343[[#This Row],[USA]]-VLOOKUP($U$1,A:N,14,))/VLOOKUP($U$1,A:N,14,))*100)+100</f>
        <v/>
      </c>
      <c r="P28" s="86">
        <f>VLOOKUP(A28,Database!$A:$AS,MATCH($P$1,Database!$A$1:$AS$1,0),FALSE)</f>
        <v/>
      </c>
      <c r="Q28" s="86">
        <f>(((Table134567891011121314151617343[[#This Row],[JPN]]-VLOOKUP($U$1,A:Q,16,))/VLOOKUP($U$1,A:Q,16,))*100)+100</f>
        <v/>
      </c>
      <c r="W28" s="94" t="inlineStr">
        <is>
          <t>POL</t>
        </is>
      </c>
    </row>
    <row r="29" customFormat="1" s="94">
      <c r="A29" s="22" t="n">
        <v>33695</v>
      </c>
      <c r="B29" s="86">
        <f>VLOOKUP(A29,Database!$A:$AS,MATCH($B$1,Database!$A$1:$AS$1,0),FALSE)</f>
        <v/>
      </c>
      <c r="C29" s="86">
        <f>VLOOKUP(A29,Database!$A:$AS,MATCH($C$1,Database!$A$1:$AS$1,0),FALSE)</f>
        <v/>
      </c>
      <c r="D29" s="86">
        <f>VLOOKUP(A29,Database!$A:$AS,MATCH($D$1,Database!$A$1:$AS$1,0),FALSE)</f>
        <v/>
      </c>
      <c r="E29" s="86">
        <f>VLOOKUP(A29,Database!$A:$AS,MATCH($E$1,Database!$A$1:$AS$1,0),FALSE)</f>
        <v/>
      </c>
      <c r="F29" s="86">
        <f>VLOOKUP(A29,Database!$A:$AS,MATCH($F$1,Database!$A$1:$AS$1,0),FALSE)</f>
        <v/>
      </c>
      <c r="G29" s="86">
        <f>VLOOKUP(A29,Database!$A:$AS,MATCH($G$1,Database!$A$1:$AS$1,0),FALSE)</f>
        <v/>
      </c>
      <c r="H29" s="86">
        <f>(((Table134567891011121314151617343[[#This Row],[ITA]]-VLOOKUP($U$1,A:B,2,))/VLOOKUP($U$1,A:B,2,))*100)+100</f>
        <v/>
      </c>
      <c r="I29" s="86">
        <f>(((Table134567891011121314151617343[[#This Row],[FRA]]-VLOOKUP($U$1,A:C,3,))/VLOOKUP($U$1,A:C,3,))*100)+100</f>
        <v/>
      </c>
      <c r="J29" s="86">
        <f>(((Table134567891011121314151617343[[#This Row],[DEU]]-VLOOKUP($U$1,A:D,4,))/VLOOKUP($U$1,A:D,4,))*100)+100</f>
        <v/>
      </c>
      <c r="K29" s="86">
        <f>(((Table134567891011121314151617343[[#This Row],[ESP]]-VLOOKUP($U$1,A:E,5,))/VLOOKUP($U$1,A:E,5,))*100)+100</f>
        <v/>
      </c>
      <c r="L29" s="86">
        <f>(((Table134567891011121314151617343[[#This Row],[EA19]]-VLOOKUP($U$1,A:F,6,))/VLOOKUP($U$1,A:F,6,))*100)+100</f>
        <v/>
      </c>
      <c r="M29" s="86">
        <f>(((Table134567891011121314151617343[[#This Row],[GBR]]-VLOOKUP($U$1,A:G,7,))/VLOOKUP($U$1,A:G,7,))*100)+100</f>
        <v/>
      </c>
      <c r="N29" s="86">
        <f>VLOOKUP(A29,Database!$A:$AS,MATCH($N$1,Database!$A$1:$AS$1,0),FALSE)</f>
        <v/>
      </c>
      <c r="O29" s="86">
        <f>(((Table134567891011121314151617343[[#This Row],[USA]]-VLOOKUP($U$1,A:N,14,))/VLOOKUP($U$1,A:N,14,))*100)+100</f>
        <v/>
      </c>
      <c r="P29" s="86">
        <f>VLOOKUP(A29,Database!$A:$AS,MATCH($P$1,Database!$A$1:$AS$1,0),FALSE)</f>
        <v/>
      </c>
      <c r="Q29" s="86">
        <f>(((Table134567891011121314151617343[[#This Row],[JPN]]-VLOOKUP($U$1,A:Q,16,))/VLOOKUP($U$1,A:Q,16,))*100)+100</f>
        <v/>
      </c>
      <c r="W29" s="94" t="inlineStr">
        <is>
          <t>PRT</t>
        </is>
      </c>
    </row>
    <row r="30" customFormat="1" s="94">
      <c r="A30" s="22" t="n">
        <v>33725</v>
      </c>
      <c r="B30" s="86">
        <f>VLOOKUP(A30,Database!$A:$AS,MATCH($B$1,Database!$A$1:$AS$1,0),FALSE)</f>
        <v/>
      </c>
      <c r="C30" s="86">
        <f>VLOOKUP(A30,Database!$A:$AS,MATCH($C$1,Database!$A$1:$AS$1,0),FALSE)</f>
        <v/>
      </c>
      <c r="D30" s="86">
        <f>VLOOKUP(A30,Database!$A:$AS,MATCH($D$1,Database!$A$1:$AS$1,0),FALSE)</f>
        <v/>
      </c>
      <c r="E30" s="86">
        <f>VLOOKUP(A30,Database!$A:$AS,MATCH($E$1,Database!$A$1:$AS$1,0),FALSE)</f>
        <v/>
      </c>
      <c r="F30" s="86">
        <f>VLOOKUP(A30,Database!$A:$AS,MATCH($F$1,Database!$A$1:$AS$1,0),FALSE)</f>
        <v/>
      </c>
      <c r="G30" s="86">
        <f>VLOOKUP(A30,Database!$A:$AS,MATCH($G$1,Database!$A$1:$AS$1,0),FALSE)</f>
        <v/>
      </c>
      <c r="H30" s="86">
        <f>(((Table134567891011121314151617343[[#This Row],[ITA]]-VLOOKUP($U$1,A:B,2,))/VLOOKUP($U$1,A:B,2,))*100)+100</f>
        <v/>
      </c>
      <c r="I30" s="86">
        <f>(((Table134567891011121314151617343[[#This Row],[FRA]]-VLOOKUP($U$1,A:C,3,))/VLOOKUP($U$1,A:C,3,))*100)+100</f>
        <v/>
      </c>
      <c r="J30" s="86">
        <f>(((Table134567891011121314151617343[[#This Row],[DEU]]-VLOOKUP($U$1,A:D,4,))/VLOOKUP($U$1,A:D,4,))*100)+100</f>
        <v/>
      </c>
      <c r="K30" s="86">
        <f>(((Table134567891011121314151617343[[#This Row],[ESP]]-VLOOKUP($U$1,A:E,5,))/VLOOKUP($U$1,A:E,5,))*100)+100</f>
        <v/>
      </c>
      <c r="L30" s="86">
        <f>(((Table134567891011121314151617343[[#This Row],[EA19]]-VLOOKUP($U$1,A:F,6,))/VLOOKUP($U$1,A:F,6,))*100)+100</f>
        <v/>
      </c>
      <c r="M30" s="86">
        <f>(((Table134567891011121314151617343[[#This Row],[GBR]]-VLOOKUP($U$1,A:G,7,))/VLOOKUP($U$1,A:G,7,))*100)+100</f>
        <v/>
      </c>
      <c r="N30" s="86">
        <f>VLOOKUP(A30,Database!$A:$AS,MATCH($N$1,Database!$A$1:$AS$1,0),FALSE)</f>
        <v/>
      </c>
      <c r="O30" s="86">
        <f>(((Table134567891011121314151617343[[#This Row],[USA]]-VLOOKUP($U$1,A:N,14,))/VLOOKUP($U$1,A:N,14,))*100)+100</f>
        <v/>
      </c>
      <c r="P30" s="86">
        <f>VLOOKUP(A30,Database!$A:$AS,MATCH($P$1,Database!$A$1:$AS$1,0),FALSE)</f>
        <v/>
      </c>
      <c r="Q30" s="86">
        <f>(((Table134567891011121314151617343[[#This Row],[JPN]]-VLOOKUP($U$1,A:Q,16,))/VLOOKUP($U$1,A:Q,16,))*100)+100</f>
        <v/>
      </c>
      <c r="W30" s="94" t="inlineStr">
        <is>
          <t>SVK</t>
        </is>
      </c>
    </row>
    <row r="31" customFormat="1" s="94">
      <c r="A31" s="22" t="n">
        <v>33756</v>
      </c>
      <c r="B31" s="86">
        <f>VLOOKUP(A31,Database!$A:$AS,MATCH($B$1,Database!$A$1:$AS$1,0),FALSE)</f>
        <v/>
      </c>
      <c r="C31" s="86">
        <f>VLOOKUP(A31,Database!$A:$AS,MATCH($C$1,Database!$A$1:$AS$1,0),FALSE)</f>
        <v/>
      </c>
      <c r="D31" s="86">
        <f>VLOOKUP(A31,Database!$A:$AS,MATCH($D$1,Database!$A$1:$AS$1,0),FALSE)</f>
        <v/>
      </c>
      <c r="E31" s="86">
        <f>VLOOKUP(A31,Database!$A:$AS,MATCH($E$1,Database!$A$1:$AS$1,0),FALSE)</f>
        <v/>
      </c>
      <c r="F31" s="86">
        <f>VLOOKUP(A31,Database!$A:$AS,MATCH($F$1,Database!$A$1:$AS$1,0),FALSE)</f>
        <v/>
      </c>
      <c r="G31" s="86">
        <f>VLOOKUP(A31,Database!$A:$AS,MATCH($G$1,Database!$A$1:$AS$1,0),FALSE)</f>
        <v/>
      </c>
      <c r="H31" s="86">
        <f>(((Table134567891011121314151617343[[#This Row],[ITA]]-VLOOKUP($U$1,A:B,2,))/VLOOKUP($U$1,A:B,2,))*100)+100</f>
        <v/>
      </c>
      <c r="I31" s="86">
        <f>(((Table134567891011121314151617343[[#This Row],[FRA]]-VLOOKUP($U$1,A:C,3,))/VLOOKUP($U$1,A:C,3,))*100)+100</f>
        <v/>
      </c>
      <c r="J31" s="86">
        <f>(((Table134567891011121314151617343[[#This Row],[DEU]]-VLOOKUP($U$1,A:D,4,))/VLOOKUP($U$1,A:D,4,))*100)+100</f>
        <v/>
      </c>
      <c r="K31" s="86">
        <f>(((Table134567891011121314151617343[[#This Row],[ESP]]-VLOOKUP($U$1,A:E,5,))/VLOOKUP($U$1,A:E,5,))*100)+100</f>
        <v/>
      </c>
      <c r="L31" s="86">
        <f>(((Table134567891011121314151617343[[#This Row],[EA19]]-VLOOKUP($U$1,A:F,6,))/VLOOKUP($U$1,A:F,6,))*100)+100</f>
        <v/>
      </c>
      <c r="M31" s="86">
        <f>(((Table134567891011121314151617343[[#This Row],[GBR]]-VLOOKUP($U$1,A:G,7,))/VLOOKUP($U$1,A:G,7,))*100)+100</f>
        <v/>
      </c>
      <c r="N31" s="86">
        <f>VLOOKUP(A31,Database!$A:$AS,MATCH($N$1,Database!$A$1:$AS$1,0),FALSE)</f>
        <v/>
      </c>
      <c r="O31" s="86">
        <f>(((Table134567891011121314151617343[[#This Row],[USA]]-VLOOKUP($U$1,A:N,14,))/VLOOKUP($U$1,A:N,14,))*100)+100</f>
        <v/>
      </c>
      <c r="P31" s="86">
        <f>VLOOKUP(A31,Database!$A:$AS,MATCH($P$1,Database!$A$1:$AS$1,0),FALSE)</f>
        <v/>
      </c>
      <c r="Q31" s="86">
        <f>(((Table134567891011121314151617343[[#This Row],[JPN]]-VLOOKUP($U$1,A:Q,16,))/VLOOKUP($U$1,A:Q,16,))*100)+100</f>
        <v/>
      </c>
      <c r="W31" s="94" t="inlineStr">
        <is>
          <t>SVN</t>
        </is>
      </c>
    </row>
    <row r="32" customFormat="1" s="94">
      <c r="A32" s="22" t="n">
        <v>33786</v>
      </c>
      <c r="B32" s="86">
        <f>VLOOKUP(A32,Database!$A:$AS,MATCH($B$1,Database!$A$1:$AS$1,0),FALSE)</f>
        <v/>
      </c>
      <c r="C32" s="86">
        <f>VLOOKUP(A32,Database!$A:$AS,MATCH($C$1,Database!$A$1:$AS$1,0),FALSE)</f>
        <v/>
      </c>
      <c r="D32" s="86">
        <f>VLOOKUP(A32,Database!$A:$AS,MATCH($D$1,Database!$A$1:$AS$1,0),FALSE)</f>
        <v/>
      </c>
      <c r="E32" s="86">
        <f>VLOOKUP(A32,Database!$A:$AS,MATCH($E$1,Database!$A$1:$AS$1,0),FALSE)</f>
        <v/>
      </c>
      <c r="F32" s="86">
        <f>VLOOKUP(A32,Database!$A:$AS,MATCH($F$1,Database!$A$1:$AS$1,0),FALSE)</f>
        <v/>
      </c>
      <c r="G32" s="86">
        <f>VLOOKUP(A32,Database!$A:$AS,MATCH($G$1,Database!$A$1:$AS$1,0),FALSE)</f>
        <v/>
      </c>
      <c r="H32" s="86">
        <f>(((Table134567891011121314151617343[[#This Row],[ITA]]-VLOOKUP($U$1,A:B,2,))/VLOOKUP($U$1,A:B,2,))*100)+100</f>
        <v/>
      </c>
      <c r="I32" s="86">
        <f>(((Table134567891011121314151617343[[#This Row],[FRA]]-VLOOKUP($U$1,A:C,3,))/VLOOKUP($U$1,A:C,3,))*100)+100</f>
        <v/>
      </c>
      <c r="J32" s="86">
        <f>(((Table134567891011121314151617343[[#This Row],[DEU]]-VLOOKUP($U$1,A:D,4,))/VLOOKUP($U$1,A:D,4,))*100)+100</f>
        <v/>
      </c>
      <c r="K32" s="86">
        <f>(((Table134567891011121314151617343[[#This Row],[ESP]]-VLOOKUP($U$1,A:E,5,))/VLOOKUP($U$1,A:E,5,))*100)+100</f>
        <v/>
      </c>
      <c r="L32" s="86">
        <f>(((Table134567891011121314151617343[[#This Row],[EA19]]-VLOOKUP($U$1,A:F,6,))/VLOOKUP($U$1,A:F,6,))*100)+100</f>
        <v/>
      </c>
      <c r="M32" s="86">
        <f>(((Table134567891011121314151617343[[#This Row],[GBR]]-VLOOKUP($U$1,A:G,7,))/VLOOKUP($U$1,A:G,7,))*100)+100</f>
        <v/>
      </c>
      <c r="N32" s="86">
        <f>VLOOKUP(A32,Database!$A:$AS,MATCH($N$1,Database!$A$1:$AS$1,0),FALSE)</f>
        <v/>
      </c>
      <c r="O32" s="86">
        <f>(((Table134567891011121314151617343[[#This Row],[USA]]-VLOOKUP($U$1,A:N,14,))/VLOOKUP($U$1,A:N,14,))*100)+100</f>
        <v/>
      </c>
      <c r="P32" s="86">
        <f>VLOOKUP(A32,Database!$A:$AS,MATCH($P$1,Database!$A$1:$AS$1,0),FALSE)</f>
        <v/>
      </c>
      <c r="Q32" s="86">
        <f>(((Table134567891011121314151617343[[#This Row],[JPN]]-VLOOKUP($U$1,A:Q,16,))/VLOOKUP($U$1,A:Q,16,))*100)+100</f>
        <v/>
      </c>
      <c r="W32" s="94" t="inlineStr">
        <is>
          <t>SWE</t>
        </is>
      </c>
    </row>
    <row r="33" customFormat="1" s="94">
      <c r="A33" s="22" t="n">
        <v>33817</v>
      </c>
      <c r="B33" s="86">
        <f>VLOOKUP(A33,Database!$A:$AS,MATCH($B$1,Database!$A$1:$AS$1,0),FALSE)</f>
        <v/>
      </c>
      <c r="C33" s="86">
        <f>VLOOKUP(A33,Database!$A:$AS,MATCH($C$1,Database!$A$1:$AS$1,0),FALSE)</f>
        <v/>
      </c>
      <c r="D33" s="86">
        <f>VLOOKUP(A33,Database!$A:$AS,MATCH($D$1,Database!$A$1:$AS$1,0),FALSE)</f>
        <v/>
      </c>
      <c r="E33" s="86">
        <f>VLOOKUP(A33,Database!$A:$AS,MATCH($E$1,Database!$A$1:$AS$1,0),FALSE)</f>
        <v/>
      </c>
      <c r="F33" s="86">
        <f>VLOOKUP(A33,Database!$A:$AS,MATCH($F$1,Database!$A$1:$AS$1,0),FALSE)</f>
        <v/>
      </c>
      <c r="G33" s="86">
        <f>VLOOKUP(A33,Database!$A:$AS,MATCH($G$1,Database!$A$1:$AS$1,0),FALSE)</f>
        <v/>
      </c>
      <c r="H33" s="86">
        <f>(((Table134567891011121314151617343[[#This Row],[ITA]]-VLOOKUP($U$1,A:B,2,))/VLOOKUP($U$1,A:B,2,))*100)+100</f>
        <v/>
      </c>
      <c r="I33" s="86">
        <f>(((Table134567891011121314151617343[[#This Row],[FRA]]-VLOOKUP($U$1,A:C,3,))/VLOOKUP($U$1,A:C,3,))*100)+100</f>
        <v/>
      </c>
      <c r="J33" s="86">
        <f>(((Table134567891011121314151617343[[#This Row],[DEU]]-VLOOKUP($U$1,A:D,4,))/VLOOKUP($U$1,A:D,4,))*100)+100</f>
        <v/>
      </c>
      <c r="K33" s="86">
        <f>(((Table134567891011121314151617343[[#This Row],[ESP]]-VLOOKUP($U$1,A:E,5,))/VLOOKUP($U$1,A:E,5,))*100)+100</f>
        <v/>
      </c>
      <c r="L33" s="86">
        <f>(((Table134567891011121314151617343[[#This Row],[EA19]]-VLOOKUP($U$1,A:F,6,))/VLOOKUP($U$1,A:F,6,))*100)+100</f>
        <v/>
      </c>
      <c r="M33" s="86">
        <f>(((Table134567891011121314151617343[[#This Row],[GBR]]-VLOOKUP($U$1,A:G,7,))/VLOOKUP($U$1,A:G,7,))*100)+100</f>
        <v/>
      </c>
      <c r="N33" s="86">
        <f>VLOOKUP(A33,Database!$A:$AS,MATCH($N$1,Database!$A$1:$AS$1,0),FALSE)</f>
        <v/>
      </c>
      <c r="O33" s="86">
        <f>(((Table134567891011121314151617343[[#This Row],[USA]]-VLOOKUP($U$1,A:N,14,))/VLOOKUP($U$1,A:N,14,))*100)+100</f>
        <v/>
      </c>
      <c r="P33" s="86">
        <f>VLOOKUP(A33,Database!$A:$AS,MATCH($P$1,Database!$A$1:$AS$1,0),FALSE)</f>
        <v/>
      </c>
      <c r="Q33" s="86">
        <f>(((Table134567891011121314151617343[[#This Row],[JPN]]-VLOOKUP($U$1,A:Q,16,))/VLOOKUP($U$1,A:Q,16,))*100)+100</f>
        <v/>
      </c>
      <c r="W33" s="94" t="inlineStr">
        <is>
          <t>TUR</t>
        </is>
      </c>
    </row>
    <row r="34" customFormat="1" s="94">
      <c r="A34" s="22" t="n">
        <v>33848</v>
      </c>
      <c r="B34" s="86">
        <f>VLOOKUP(A34,Database!$A:$AS,MATCH($B$1,Database!$A$1:$AS$1,0),FALSE)</f>
        <v/>
      </c>
      <c r="C34" s="86">
        <f>VLOOKUP(A34,Database!$A:$AS,MATCH($C$1,Database!$A$1:$AS$1,0),FALSE)</f>
        <v/>
      </c>
      <c r="D34" s="86">
        <f>VLOOKUP(A34,Database!$A:$AS,MATCH($D$1,Database!$A$1:$AS$1,0),FALSE)</f>
        <v/>
      </c>
      <c r="E34" s="86">
        <f>VLOOKUP(A34,Database!$A:$AS,MATCH($E$1,Database!$A$1:$AS$1,0),FALSE)</f>
        <v/>
      </c>
      <c r="F34" s="86">
        <f>VLOOKUP(A34,Database!$A:$AS,MATCH($F$1,Database!$A$1:$AS$1,0),FALSE)</f>
        <v/>
      </c>
      <c r="G34" s="86">
        <f>VLOOKUP(A34,Database!$A:$AS,MATCH($G$1,Database!$A$1:$AS$1,0),FALSE)</f>
        <v/>
      </c>
      <c r="H34" s="86">
        <f>(((Table134567891011121314151617343[[#This Row],[ITA]]-VLOOKUP($U$1,A:B,2,))/VLOOKUP($U$1,A:B,2,))*100)+100</f>
        <v/>
      </c>
      <c r="I34" s="86">
        <f>(((Table134567891011121314151617343[[#This Row],[FRA]]-VLOOKUP($U$1,A:C,3,))/VLOOKUP($U$1,A:C,3,))*100)+100</f>
        <v/>
      </c>
      <c r="J34" s="86">
        <f>(((Table134567891011121314151617343[[#This Row],[DEU]]-VLOOKUP($U$1,A:D,4,))/VLOOKUP($U$1,A:D,4,))*100)+100</f>
        <v/>
      </c>
      <c r="K34" s="86">
        <f>(((Table134567891011121314151617343[[#This Row],[ESP]]-VLOOKUP($U$1,A:E,5,))/VLOOKUP($U$1,A:E,5,))*100)+100</f>
        <v/>
      </c>
      <c r="L34" s="86">
        <f>(((Table134567891011121314151617343[[#This Row],[EA19]]-VLOOKUP($U$1,A:F,6,))/VLOOKUP($U$1,A:F,6,))*100)+100</f>
        <v/>
      </c>
      <c r="M34" s="86">
        <f>(((Table134567891011121314151617343[[#This Row],[GBR]]-VLOOKUP($U$1,A:G,7,))/VLOOKUP($U$1,A:G,7,))*100)+100</f>
        <v/>
      </c>
      <c r="N34" s="86">
        <f>VLOOKUP(A34,Database!$A:$AS,MATCH($N$1,Database!$A$1:$AS$1,0),FALSE)</f>
        <v/>
      </c>
      <c r="O34" s="86">
        <f>(((Table134567891011121314151617343[[#This Row],[USA]]-VLOOKUP($U$1,A:N,14,))/VLOOKUP($U$1,A:N,14,))*100)+100</f>
        <v/>
      </c>
      <c r="P34" s="86">
        <f>VLOOKUP(A34,Database!$A:$AS,MATCH($P$1,Database!$A$1:$AS$1,0),FALSE)</f>
        <v/>
      </c>
      <c r="Q34" s="86">
        <f>(((Table134567891011121314151617343[[#This Row],[JPN]]-VLOOKUP($U$1,A:Q,16,))/VLOOKUP($U$1,A:Q,16,))*100)+100</f>
        <v/>
      </c>
      <c r="W34" s="94" t="inlineStr">
        <is>
          <t>USA</t>
        </is>
      </c>
    </row>
    <row r="35" customFormat="1" s="94">
      <c r="A35" s="22" t="n">
        <v>33878</v>
      </c>
      <c r="B35" s="86">
        <f>VLOOKUP(A35,Database!$A:$AS,MATCH($B$1,Database!$A$1:$AS$1,0),FALSE)</f>
        <v/>
      </c>
      <c r="C35" s="86">
        <f>VLOOKUP(A35,Database!$A:$AS,MATCH($C$1,Database!$A$1:$AS$1,0),FALSE)</f>
        <v/>
      </c>
      <c r="D35" s="86">
        <f>VLOOKUP(A35,Database!$A:$AS,MATCH($D$1,Database!$A$1:$AS$1,0),FALSE)</f>
        <v/>
      </c>
      <c r="E35" s="86">
        <f>VLOOKUP(A35,Database!$A:$AS,MATCH($E$1,Database!$A$1:$AS$1,0),FALSE)</f>
        <v/>
      </c>
      <c r="F35" s="86">
        <f>VLOOKUP(A35,Database!$A:$AS,MATCH($F$1,Database!$A$1:$AS$1,0),FALSE)</f>
        <v/>
      </c>
      <c r="G35" s="86">
        <f>VLOOKUP(A35,Database!$A:$AS,MATCH($G$1,Database!$A$1:$AS$1,0),FALSE)</f>
        <v/>
      </c>
      <c r="H35" s="86">
        <f>(((Table134567891011121314151617343[[#This Row],[ITA]]-VLOOKUP($U$1,A:B,2,))/VLOOKUP($U$1,A:B,2,))*100)+100</f>
        <v/>
      </c>
      <c r="I35" s="86">
        <f>(((Table134567891011121314151617343[[#This Row],[FRA]]-VLOOKUP($U$1,A:C,3,))/VLOOKUP($U$1,A:C,3,))*100)+100</f>
        <v/>
      </c>
      <c r="J35" s="86">
        <f>(((Table134567891011121314151617343[[#This Row],[DEU]]-VLOOKUP($U$1,A:D,4,))/VLOOKUP($U$1,A:D,4,))*100)+100</f>
        <v/>
      </c>
      <c r="K35" s="86">
        <f>(((Table134567891011121314151617343[[#This Row],[ESP]]-VLOOKUP($U$1,A:E,5,))/VLOOKUP($U$1,A:E,5,))*100)+100</f>
        <v/>
      </c>
      <c r="L35" s="86">
        <f>(((Table134567891011121314151617343[[#This Row],[EA19]]-VLOOKUP($U$1,A:F,6,))/VLOOKUP($U$1,A:F,6,))*100)+100</f>
        <v/>
      </c>
      <c r="M35" s="86">
        <f>(((Table134567891011121314151617343[[#This Row],[GBR]]-VLOOKUP($U$1,A:G,7,))/VLOOKUP($U$1,A:G,7,))*100)+100</f>
        <v/>
      </c>
      <c r="N35" s="86">
        <f>VLOOKUP(A35,Database!$A:$AS,MATCH($N$1,Database!$A$1:$AS$1,0),FALSE)</f>
        <v/>
      </c>
      <c r="O35" s="86">
        <f>(((Table134567891011121314151617343[[#This Row],[USA]]-VLOOKUP($U$1,A:N,14,))/VLOOKUP($U$1,A:N,14,))*100)+100</f>
        <v/>
      </c>
      <c r="P35" s="86">
        <f>VLOOKUP(A35,Database!$A:$AS,MATCH($P$1,Database!$A$1:$AS$1,0),FALSE)</f>
        <v/>
      </c>
      <c r="Q35" s="86">
        <f>(((Table134567891011121314151617343[[#This Row],[JPN]]-VLOOKUP($U$1,A:Q,16,))/VLOOKUP($U$1,A:Q,16,))*100)+100</f>
        <v/>
      </c>
      <c r="W35" s="94" t="inlineStr">
        <is>
          <t>EA19</t>
        </is>
      </c>
    </row>
    <row r="36" customFormat="1" s="94">
      <c r="A36" s="22" t="n">
        <v>33909</v>
      </c>
      <c r="B36" s="86">
        <f>VLOOKUP(A36,Database!$A:$AS,MATCH($B$1,Database!$A$1:$AS$1,0),FALSE)</f>
        <v/>
      </c>
      <c r="C36" s="86">
        <f>VLOOKUP(A36,Database!$A:$AS,MATCH($C$1,Database!$A$1:$AS$1,0),FALSE)</f>
        <v/>
      </c>
      <c r="D36" s="86">
        <f>VLOOKUP(A36,Database!$A:$AS,MATCH($D$1,Database!$A$1:$AS$1,0),FALSE)</f>
        <v/>
      </c>
      <c r="E36" s="86">
        <f>VLOOKUP(A36,Database!$A:$AS,MATCH($E$1,Database!$A$1:$AS$1,0),FALSE)</f>
        <v/>
      </c>
      <c r="F36" s="86">
        <f>VLOOKUP(A36,Database!$A:$AS,MATCH($F$1,Database!$A$1:$AS$1,0),FALSE)</f>
        <v/>
      </c>
      <c r="G36" s="86">
        <f>VLOOKUP(A36,Database!$A:$AS,MATCH($G$1,Database!$A$1:$AS$1,0),FALSE)</f>
        <v/>
      </c>
      <c r="H36" s="86">
        <f>(((Table134567891011121314151617343[[#This Row],[ITA]]-VLOOKUP($U$1,A:B,2,))/VLOOKUP($U$1,A:B,2,))*100)+100</f>
        <v/>
      </c>
      <c r="I36" s="86">
        <f>(((Table134567891011121314151617343[[#This Row],[FRA]]-VLOOKUP($U$1,A:C,3,))/VLOOKUP($U$1,A:C,3,))*100)+100</f>
        <v/>
      </c>
      <c r="J36" s="86">
        <f>(((Table134567891011121314151617343[[#This Row],[DEU]]-VLOOKUP($U$1,A:D,4,))/VLOOKUP($U$1,A:D,4,))*100)+100</f>
        <v/>
      </c>
      <c r="K36" s="86">
        <f>(((Table134567891011121314151617343[[#This Row],[ESP]]-VLOOKUP($U$1,A:E,5,))/VLOOKUP($U$1,A:E,5,))*100)+100</f>
        <v/>
      </c>
      <c r="L36" s="86">
        <f>(((Table134567891011121314151617343[[#This Row],[EA19]]-VLOOKUP($U$1,A:F,6,))/VLOOKUP($U$1,A:F,6,))*100)+100</f>
        <v/>
      </c>
      <c r="M36" s="86">
        <f>(((Table134567891011121314151617343[[#This Row],[GBR]]-VLOOKUP($U$1,A:G,7,))/VLOOKUP($U$1,A:G,7,))*100)+100</f>
        <v/>
      </c>
      <c r="N36" s="86">
        <f>VLOOKUP(A36,Database!$A:$AS,MATCH($N$1,Database!$A$1:$AS$1,0),FALSE)</f>
        <v/>
      </c>
      <c r="O36" s="86">
        <f>(((Table134567891011121314151617343[[#This Row],[USA]]-VLOOKUP($U$1,A:N,14,))/VLOOKUP($U$1,A:N,14,))*100)+100</f>
        <v/>
      </c>
      <c r="P36" s="86">
        <f>VLOOKUP(A36,Database!$A:$AS,MATCH($P$1,Database!$A$1:$AS$1,0),FALSE)</f>
        <v/>
      </c>
      <c r="Q36" s="86">
        <f>(((Table134567891011121314151617343[[#This Row],[JPN]]-VLOOKUP($U$1,A:Q,16,))/VLOOKUP($U$1,A:Q,16,))*100)+100</f>
        <v/>
      </c>
      <c r="W36" s="94" t="inlineStr">
        <is>
          <t>EU28</t>
        </is>
      </c>
    </row>
    <row r="37" customFormat="1" s="94">
      <c r="A37" s="22" t="n">
        <v>33939</v>
      </c>
      <c r="B37" s="86">
        <f>VLOOKUP(A37,Database!$A:$AS,MATCH($B$1,Database!$A$1:$AS$1,0),FALSE)</f>
        <v/>
      </c>
      <c r="C37" s="86">
        <f>VLOOKUP(A37,Database!$A:$AS,MATCH($C$1,Database!$A$1:$AS$1,0),FALSE)</f>
        <v/>
      </c>
      <c r="D37" s="86">
        <f>VLOOKUP(A37,Database!$A:$AS,MATCH($D$1,Database!$A$1:$AS$1,0),FALSE)</f>
        <v/>
      </c>
      <c r="E37" s="86">
        <f>VLOOKUP(A37,Database!$A:$AS,MATCH($E$1,Database!$A$1:$AS$1,0),FALSE)</f>
        <v/>
      </c>
      <c r="F37" s="86">
        <f>VLOOKUP(A37,Database!$A:$AS,MATCH($F$1,Database!$A$1:$AS$1,0),FALSE)</f>
        <v/>
      </c>
      <c r="G37" s="86">
        <f>VLOOKUP(A37,Database!$A:$AS,MATCH($G$1,Database!$A$1:$AS$1,0),FALSE)</f>
        <v/>
      </c>
      <c r="H37" s="86">
        <f>(((Table134567891011121314151617343[[#This Row],[ITA]]-VLOOKUP($U$1,A:B,2,))/VLOOKUP($U$1,A:B,2,))*100)+100</f>
        <v/>
      </c>
      <c r="I37" s="86">
        <f>(((Table134567891011121314151617343[[#This Row],[FRA]]-VLOOKUP($U$1,A:C,3,))/VLOOKUP($U$1,A:C,3,))*100)+100</f>
        <v/>
      </c>
      <c r="J37" s="86">
        <f>(((Table134567891011121314151617343[[#This Row],[DEU]]-VLOOKUP($U$1,A:D,4,))/VLOOKUP($U$1,A:D,4,))*100)+100</f>
        <v/>
      </c>
      <c r="K37" s="86">
        <f>(((Table134567891011121314151617343[[#This Row],[ESP]]-VLOOKUP($U$1,A:E,5,))/VLOOKUP($U$1,A:E,5,))*100)+100</f>
        <v/>
      </c>
      <c r="L37" s="86">
        <f>(((Table134567891011121314151617343[[#This Row],[EA19]]-VLOOKUP($U$1,A:F,6,))/VLOOKUP($U$1,A:F,6,))*100)+100</f>
        <v/>
      </c>
      <c r="M37" s="86">
        <f>(((Table134567891011121314151617343[[#This Row],[GBR]]-VLOOKUP($U$1,A:G,7,))/VLOOKUP($U$1,A:G,7,))*100)+100</f>
        <v/>
      </c>
      <c r="N37" s="86">
        <f>VLOOKUP(A37,Database!$A:$AS,MATCH($N$1,Database!$A$1:$AS$1,0),FALSE)</f>
        <v/>
      </c>
      <c r="O37" s="86">
        <f>(((Table134567891011121314151617343[[#This Row],[USA]]-VLOOKUP($U$1,A:N,14,))/VLOOKUP($U$1,A:N,14,))*100)+100</f>
        <v/>
      </c>
      <c r="P37" s="86">
        <f>VLOOKUP(A37,Database!$A:$AS,MATCH($P$1,Database!$A$1:$AS$1,0),FALSE)</f>
        <v/>
      </c>
      <c r="Q37" s="86">
        <f>(((Table134567891011121314151617343[[#This Row],[JPN]]-VLOOKUP($U$1,A:Q,16,))/VLOOKUP($U$1,A:Q,16,))*100)+100</f>
        <v/>
      </c>
      <c r="W37" s="94" t="inlineStr">
        <is>
          <t>G7</t>
        </is>
      </c>
    </row>
    <row r="38" customFormat="1" s="94">
      <c r="A38" s="22" t="n">
        <v>33970</v>
      </c>
      <c r="B38" s="86">
        <f>VLOOKUP(A38,Database!$A:$AS,MATCH($B$1,Database!$A$1:$AS$1,0),FALSE)</f>
        <v/>
      </c>
      <c r="C38" s="86">
        <f>VLOOKUP(A38,Database!$A:$AS,MATCH($C$1,Database!$A$1:$AS$1,0),FALSE)</f>
        <v/>
      </c>
      <c r="D38" s="86">
        <f>VLOOKUP(A38,Database!$A:$AS,MATCH($D$1,Database!$A$1:$AS$1,0),FALSE)</f>
        <v/>
      </c>
      <c r="E38" s="86">
        <f>VLOOKUP(A38,Database!$A:$AS,MATCH($E$1,Database!$A$1:$AS$1,0),FALSE)</f>
        <v/>
      </c>
      <c r="F38" s="86">
        <f>VLOOKUP(A38,Database!$A:$AS,MATCH($F$1,Database!$A$1:$AS$1,0),FALSE)</f>
        <v/>
      </c>
      <c r="G38" s="86">
        <f>VLOOKUP(A38,Database!$A:$AS,MATCH($G$1,Database!$A$1:$AS$1,0),FALSE)</f>
        <v/>
      </c>
      <c r="H38" s="86">
        <f>(((Table134567891011121314151617343[[#This Row],[ITA]]-VLOOKUP($U$1,A:B,2,))/VLOOKUP($U$1,A:B,2,))*100)+100</f>
        <v/>
      </c>
      <c r="I38" s="86">
        <f>(((Table134567891011121314151617343[[#This Row],[FRA]]-VLOOKUP($U$1,A:C,3,))/VLOOKUP($U$1,A:C,3,))*100)+100</f>
        <v/>
      </c>
      <c r="J38" s="86">
        <f>(((Table134567891011121314151617343[[#This Row],[DEU]]-VLOOKUP($U$1,A:D,4,))/VLOOKUP($U$1,A:D,4,))*100)+100</f>
        <v/>
      </c>
      <c r="K38" s="86">
        <f>(((Table134567891011121314151617343[[#This Row],[ESP]]-VLOOKUP($U$1,A:E,5,))/VLOOKUP($U$1,A:E,5,))*100)+100</f>
        <v/>
      </c>
      <c r="L38" s="86">
        <f>(((Table134567891011121314151617343[[#This Row],[EA19]]-VLOOKUP($U$1,A:F,6,))/VLOOKUP($U$1,A:F,6,))*100)+100</f>
        <v/>
      </c>
      <c r="M38" s="86">
        <f>(((Table134567891011121314151617343[[#This Row],[GBR]]-VLOOKUP($U$1,A:G,7,))/VLOOKUP($U$1,A:G,7,))*100)+100</f>
        <v/>
      </c>
      <c r="N38" s="86">
        <f>VLOOKUP(A38,Database!$A:$AS,MATCH($N$1,Database!$A$1:$AS$1,0),FALSE)</f>
        <v/>
      </c>
      <c r="O38" s="86">
        <f>(((Table134567891011121314151617343[[#This Row],[USA]]-VLOOKUP($U$1,A:N,14,))/VLOOKUP($U$1,A:N,14,))*100)+100</f>
        <v/>
      </c>
      <c r="P38" s="86">
        <f>VLOOKUP(A38,Database!$A:$AS,MATCH($P$1,Database!$A$1:$AS$1,0),FALSE)</f>
        <v/>
      </c>
      <c r="Q38" s="86">
        <f>(((Table134567891011121314151617343[[#This Row],[JPN]]-VLOOKUP($U$1,A:Q,16,))/VLOOKUP($U$1,A:Q,16,))*100)+100</f>
        <v/>
      </c>
      <c r="W38" s="94" t="inlineStr">
        <is>
          <t>CHE</t>
        </is>
      </c>
    </row>
    <row r="39" customFormat="1" s="94">
      <c r="A39" s="22" t="n">
        <v>34001</v>
      </c>
      <c r="B39" s="86">
        <f>VLOOKUP(A39,Database!$A:$AS,MATCH($B$1,Database!$A$1:$AS$1,0),FALSE)</f>
        <v/>
      </c>
      <c r="C39" s="86">
        <f>VLOOKUP(A39,Database!$A:$AS,MATCH($C$1,Database!$A$1:$AS$1,0),FALSE)</f>
        <v/>
      </c>
      <c r="D39" s="86">
        <f>VLOOKUP(A39,Database!$A:$AS,MATCH($D$1,Database!$A$1:$AS$1,0),FALSE)</f>
        <v/>
      </c>
      <c r="E39" s="86">
        <f>VLOOKUP(A39,Database!$A:$AS,MATCH($E$1,Database!$A$1:$AS$1,0),FALSE)</f>
        <v/>
      </c>
      <c r="F39" s="86">
        <f>VLOOKUP(A39,Database!$A:$AS,MATCH($F$1,Database!$A$1:$AS$1,0),FALSE)</f>
        <v/>
      </c>
      <c r="G39" s="86">
        <f>VLOOKUP(A39,Database!$A:$AS,MATCH($G$1,Database!$A$1:$AS$1,0),FALSE)</f>
        <v/>
      </c>
      <c r="H39" s="86">
        <f>(((Table134567891011121314151617343[[#This Row],[ITA]]-VLOOKUP($U$1,A:B,2,))/VLOOKUP($U$1,A:B,2,))*100)+100</f>
        <v/>
      </c>
      <c r="I39" s="86">
        <f>(((Table134567891011121314151617343[[#This Row],[FRA]]-VLOOKUP($U$1,A:C,3,))/VLOOKUP($U$1,A:C,3,))*100)+100</f>
        <v/>
      </c>
      <c r="J39" s="86">
        <f>(((Table134567891011121314151617343[[#This Row],[DEU]]-VLOOKUP($U$1,A:D,4,))/VLOOKUP($U$1,A:D,4,))*100)+100</f>
        <v/>
      </c>
      <c r="K39" s="86">
        <f>(((Table134567891011121314151617343[[#This Row],[ESP]]-VLOOKUP($U$1,A:E,5,))/VLOOKUP($U$1,A:E,5,))*100)+100</f>
        <v/>
      </c>
      <c r="L39" s="86">
        <f>(((Table134567891011121314151617343[[#This Row],[EA19]]-VLOOKUP($U$1,A:F,6,))/VLOOKUP($U$1,A:F,6,))*100)+100</f>
        <v/>
      </c>
      <c r="M39" s="86">
        <f>(((Table134567891011121314151617343[[#This Row],[GBR]]-VLOOKUP($U$1,A:G,7,))/VLOOKUP($U$1,A:G,7,))*100)+100</f>
        <v/>
      </c>
      <c r="N39" s="86">
        <f>VLOOKUP(A39,Database!$A:$AS,MATCH($N$1,Database!$A$1:$AS$1,0),FALSE)</f>
        <v/>
      </c>
      <c r="O39" s="86">
        <f>(((Table134567891011121314151617343[[#This Row],[USA]]-VLOOKUP($U$1,A:N,14,))/VLOOKUP($U$1,A:N,14,))*100)+100</f>
        <v/>
      </c>
      <c r="P39" s="86">
        <f>VLOOKUP(A39,Database!$A:$AS,MATCH($P$1,Database!$A$1:$AS$1,0),FALSE)</f>
        <v/>
      </c>
      <c r="Q39" s="86">
        <f>(((Table134567891011121314151617343[[#This Row],[JPN]]-VLOOKUP($U$1,A:Q,16,))/VLOOKUP($U$1,A:Q,16,))*100)+100</f>
        <v/>
      </c>
      <c r="W39" s="94" t="inlineStr">
        <is>
          <t>IND</t>
        </is>
      </c>
    </row>
    <row r="40" customFormat="1" s="94">
      <c r="A40" s="22" t="n">
        <v>34029</v>
      </c>
      <c r="B40" s="86">
        <f>VLOOKUP(A40,Database!$A:$AS,MATCH($B$1,Database!$A$1:$AS$1,0),FALSE)</f>
        <v/>
      </c>
      <c r="C40" s="86">
        <f>VLOOKUP(A40,Database!$A:$AS,MATCH($C$1,Database!$A$1:$AS$1,0),FALSE)</f>
        <v/>
      </c>
      <c r="D40" s="86">
        <f>VLOOKUP(A40,Database!$A:$AS,MATCH($D$1,Database!$A$1:$AS$1,0),FALSE)</f>
        <v/>
      </c>
      <c r="E40" s="86">
        <f>VLOOKUP(A40,Database!$A:$AS,MATCH($E$1,Database!$A$1:$AS$1,0),FALSE)</f>
        <v/>
      </c>
      <c r="F40" s="86">
        <f>VLOOKUP(A40,Database!$A:$AS,MATCH($F$1,Database!$A$1:$AS$1,0),FALSE)</f>
        <v/>
      </c>
      <c r="G40" s="86">
        <f>VLOOKUP(A40,Database!$A:$AS,MATCH($G$1,Database!$A$1:$AS$1,0),FALSE)</f>
        <v/>
      </c>
      <c r="H40" s="86">
        <f>(((Table134567891011121314151617343[[#This Row],[ITA]]-VLOOKUP($U$1,A:B,2,))/VLOOKUP($U$1,A:B,2,))*100)+100</f>
        <v/>
      </c>
      <c r="I40" s="86">
        <f>(((Table134567891011121314151617343[[#This Row],[FRA]]-VLOOKUP($U$1,A:C,3,))/VLOOKUP($U$1,A:C,3,))*100)+100</f>
        <v/>
      </c>
      <c r="J40" s="86">
        <f>(((Table134567891011121314151617343[[#This Row],[DEU]]-VLOOKUP($U$1,A:D,4,))/VLOOKUP($U$1,A:D,4,))*100)+100</f>
        <v/>
      </c>
      <c r="K40" s="86">
        <f>(((Table134567891011121314151617343[[#This Row],[ESP]]-VLOOKUP($U$1,A:E,5,))/VLOOKUP($U$1,A:E,5,))*100)+100</f>
        <v/>
      </c>
      <c r="L40" s="86">
        <f>(((Table134567891011121314151617343[[#This Row],[EA19]]-VLOOKUP($U$1,A:F,6,))/VLOOKUP($U$1,A:F,6,))*100)+100</f>
        <v/>
      </c>
      <c r="M40" s="86">
        <f>(((Table134567891011121314151617343[[#This Row],[GBR]]-VLOOKUP($U$1,A:G,7,))/VLOOKUP($U$1,A:G,7,))*100)+100</f>
        <v/>
      </c>
      <c r="N40" s="86">
        <f>VLOOKUP(A40,Database!$A:$AS,MATCH($N$1,Database!$A$1:$AS$1,0),FALSE)</f>
        <v/>
      </c>
      <c r="O40" s="86">
        <f>(((Table134567891011121314151617343[[#This Row],[USA]]-VLOOKUP($U$1,A:N,14,))/VLOOKUP($U$1,A:N,14,))*100)+100</f>
        <v/>
      </c>
      <c r="P40" s="86">
        <f>VLOOKUP(A40,Database!$A:$AS,MATCH($P$1,Database!$A$1:$AS$1,0),FALSE)</f>
        <v/>
      </c>
      <c r="Q40" s="86">
        <f>(((Table134567891011121314151617343[[#This Row],[JPN]]-VLOOKUP($U$1,A:Q,16,))/VLOOKUP($U$1,A:Q,16,))*100)+100</f>
        <v/>
      </c>
      <c r="W40" s="94" t="inlineStr">
        <is>
          <t>ZAF</t>
        </is>
      </c>
    </row>
    <row r="41" customFormat="1" s="94">
      <c r="A41" s="22" t="n">
        <v>34060</v>
      </c>
      <c r="B41" s="86">
        <f>VLOOKUP(A41,Database!$A:$AS,MATCH($B$1,Database!$A$1:$AS$1,0),FALSE)</f>
        <v/>
      </c>
      <c r="C41" s="86">
        <f>VLOOKUP(A41,Database!$A:$AS,MATCH($C$1,Database!$A$1:$AS$1,0),FALSE)</f>
        <v/>
      </c>
      <c r="D41" s="86">
        <f>VLOOKUP(A41,Database!$A:$AS,MATCH($D$1,Database!$A$1:$AS$1,0),FALSE)</f>
        <v/>
      </c>
      <c r="E41" s="86">
        <f>VLOOKUP(A41,Database!$A:$AS,MATCH($E$1,Database!$A$1:$AS$1,0),FALSE)</f>
        <v/>
      </c>
      <c r="F41" s="86">
        <f>VLOOKUP(A41,Database!$A:$AS,MATCH($F$1,Database!$A$1:$AS$1,0),FALSE)</f>
        <v/>
      </c>
      <c r="G41" s="86">
        <f>VLOOKUP(A41,Database!$A:$AS,MATCH($G$1,Database!$A$1:$AS$1,0),FALSE)</f>
        <v/>
      </c>
      <c r="H41" s="86">
        <f>(((Table134567891011121314151617343[[#This Row],[ITA]]-VLOOKUP($U$1,A:B,2,))/VLOOKUP($U$1,A:B,2,))*100)+100</f>
        <v/>
      </c>
      <c r="I41" s="86">
        <f>(((Table134567891011121314151617343[[#This Row],[FRA]]-VLOOKUP($U$1,A:C,3,))/VLOOKUP($U$1,A:C,3,))*100)+100</f>
        <v/>
      </c>
      <c r="J41" s="86">
        <f>(((Table134567891011121314151617343[[#This Row],[DEU]]-VLOOKUP($U$1,A:D,4,))/VLOOKUP($U$1,A:D,4,))*100)+100</f>
        <v/>
      </c>
      <c r="K41" s="86">
        <f>(((Table134567891011121314151617343[[#This Row],[ESP]]-VLOOKUP($U$1,A:E,5,))/VLOOKUP($U$1,A:E,5,))*100)+100</f>
        <v/>
      </c>
      <c r="L41" s="86">
        <f>(((Table134567891011121314151617343[[#This Row],[EA19]]-VLOOKUP($U$1,A:F,6,))/VLOOKUP($U$1,A:F,6,))*100)+100</f>
        <v/>
      </c>
      <c r="M41" s="86">
        <f>(((Table134567891011121314151617343[[#This Row],[GBR]]-VLOOKUP($U$1,A:G,7,))/VLOOKUP($U$1,A:G,7,))*100)+100</f>
        <v/>
      </c>
      <c r="N41" s="86">
        <f>VLOOKUP(A41,Database!$A:$AS,MATCH($N$1,Database!$A$1:$AS$1,0),FALSE)</f>
        <v/>
      </c>
      <c r="O41" s="86">
        <f>(((Table134567891011121314151617343[[#This Row],[USA]]-VLOOKUP($U$1,A:N,14,))/VLOOKUP($U$1,A:N,14,))*100)+100</f>
        <v/>
      </c>
      <c r="P41" s="86">
        <f>VLOOKUP(A41,Database!$A:$AS,MATCH($P$1,Database!$A$1:$AS$1,0),FALSE)</f>
        <v/>
      </c>
      <c r="Q41" s="86">
        <f>(((Table134567891011121314151617343[[#This Row],[JPN]]-VLOOKUP($U$1,A:Q,16,))/VLOOKUP($U$1,A:Q,16,))*100)+100</f>
        <v/>
      </c>
      <c r="W41" s="94" t="inlineStr">
        <is>
          <t>RUS</t>
        </is>
      </c>
    </row>
    <row r="42" customFormat="1" s="94">
      <c r="A42" s="22" t="n">
        <v>34090</v>
      </c>
      <c r="B42" s="86">
        <f>VLOOKUP(A42,Database!$A:$AS,MATCH($B$1,Database!$A$1:$AS$1,0),FALSE)</f>
        <v/>
      </c>
      <c r="C42" s="86">
        <f>VLOOKUP(A42,Database!$A:$AS,MATCH($C$1,Database!$A$1:$AS$1,0),FALSE)</f>
        <v/>
      </c>
      <c r="D42" s="86">
        <f>VLOOKUP(A42,Database!$A:$AS,MATCH($D$1,Database!$A$1:$AS$1,0),FALSE)</f>
        <v/>
      </c>
      <c r="E42" s="86">
        <f>VLOOKUP(A42,Database!$A:$AS,MATCH($E$1,Database!$A$1:$AS$1,0),FALSE)</f>
        <v/>
      </c>
      <c r="F42" s="86">
        <f>VLOOKUP(A42,Database!$A:$AS,MATCH($F$1,Database!$A$1:$AS$1,0),FALSE)</f>
        <v/>
      </c>
      <c r="G42" s="86">
        <f>VLOOKUP(A42,Database!$A:$AS,MATCH($G$1,Database!$A$1:$AS$1,0),FALSE)</f>
        <v/>
      </c>
      <c r="H42" s="86">
        <f>(((Table134567891011121314151617343[[#This Row],[ITA]]-VLOOKUP($U$1,A:B,2,))/VLOOKUP($U$1,A:B,2,))*100)+100</f>
        <v/>
      </c>
      <c r="I42" s="86">
        <f>(((Table134567891011121314151617343[[#This Row],[FRA]]-VLOOKUP($U$1,A:C,3,))/VLOOKUP($U$1,A:C,3,))*100)+100</f>
        <v/>
      </c>
      <c r="J42" s="86">
        <f>(((Table134567891011121314151617343[[#This Row],[DEU]]-VLOOKUP($U$1,A:D,4,))/VLOOKUP($U$1,A:D,4,))*100)+100</f>
        <v/>
      </c>
      <c r="K42" s="86">
        <f>(((Table134567891011121314151617343[[#This Row],[ESP]]-VLOOKUP($U$1,A:E,5,))/VLOOKUP($U$1,A:E,5,))*100)+100</f>
        <v/>
      </c>
      <c r="L42" s="86">
        <f>(((Table134567891011121314151617343[[#This Row],[EA19]]-VLOOKUP($U$1,A:F,6,))/VLOOKUP($U$1,A:F,6,))*100)+100</f>
        <v/>
      </c>
      <c r="M42" s="86">
        <f>(((Table134567891011121314151617343[[#This Row],[GBR]]-VLOOKUP($U$1,A:G,7,))/VLOOKUP($U$1,A:G,7,))*100)+100</f>
        <v/>
      </c>
      <c r="N42" s="86">
        <f>VLOOKUP(A42,Database!$A:$AS,MATCH($N$1,Database!$A$1:$AS$1,0),FALSE)</f>
        <v/>
      </c>
      <c r="O42" s="86">
        <f>(((Table134567891011121314151617343[[#This Row],[USA]]-VLOOKUP($U$1,A:N,14,))/VLOOKUP($U$1,A:N,14,))*100)+100</f>
        <v/>
      </c>
      <c r="P42" s="86">
        <f>VLOOKUP(A42,Database!$A:$AS,MATCH($P$1,Database!$A$1:$AS$1,0),FALSE)</f>
        <v/>
      </c>
      <c r="Q42" s="86">
        <f>(((Table134567891011121314151617343[[#This Row],[JPN]]-VLOOKUP($U$1,A:Q,16,))/VLOOKUP($U$1,A:Q,16,))*100)+100</f>
        <v/>
      </c>
    </row>
    <row r="43" customFormat="1" s="94">
      <c r="A43" s="22" t="n">
        <v>34121</v>
      </c>
      <c r="B43" s="86">
        <f>VLOOKUP(A43,Database!$A:$AS,MATCH($B$1,Database!$A$1:$AS$1,0),FALSE)</f>
        <v/>
      </c>
      <c r="C43" s="86">
        <f>VLOOKUP(A43,Database!$A:$AS,MATCH($C$1,Database!$A$1:$AS$1,0),FALSE)</f>
        <v/>
      </c>
      <c r="D43" s="86">
        <f>VLOOKUP(A43,Database!$A:$AS,MATCH($D$1,Database!$A$1:$AS$1,0),FALSE)</f>
        <v/>
      </c>
      <c r="E43" s="86">
        <f>VLOOKUP(A43,Database!$A:$AS,MATCH($E$1,Database!$A$1:$AS$1,0),FALSE)</f>
        <v/>
      </c>
      <c r="F43" s="86">
        <f>VLOOKUP(A43,Database!$A:$AS,MATCH($F$1,Database!$A$1:$AS$1,0),FALSE)</f>
        <v/>
      </c>
      <c r="G43" s="86">
        <f>VLOOKUP(A43,Database!$A:$AS,MATCH($G$1,Database!$A$1:$AS$1,0),FALSE)</f>
        <v/>
      </c>
      <c r="H43" s="86">
        <f>(((Table134567891011121314151617343[[#This Row],[ITA]]-VLOOKUP($U$1,A:B,2,))/VLOOKUP($U$1,A:B,2,))*100)+100</f>
        <v/>
      </c>
      <c r="I43" s="86">
        <f>(((Table134567891011121314151617343[[#This Row],[FRA]]-VLOOKUP($U$1,A:C,3,))/VLOOKUP($U$1,A:C,3,))*100)+100</f>
        <v/>
      </c>
      <c r="J43" s="86">
        <f>(((Table134567891011121314151617343[[#This Row],[DEU]]-VLOOKUP($U$1,A:D,4,))/VLOOKUP($U$1,A:D,4,))*100)+100</f>
        <v/>
      </c>
      <c r="K43" s="86">
        <f>(((Table134567891011121314151617343[[#This Row],[ESP]]-VLOOKUP($U$1,A:E,5,))/VLOOKUP($U$1,A:E,5,))*100)+100</f>
        <v/>
      </c>
      <c r="L43" s="86">
        <f>(((Table134567891011121314151617343[[#This Row],[EA19]]-VLOOKUP($U$1,A:F,6,))/VLOOKUP($U$1,A:F,6,))*100)+100</f>
        <v/>
      </c>
      <c r="M43" s="86">
        <f>(((Table134567891011121314151617343[[#This Row],[GBR]]-VLOOKUP($U$1,A:G,7,))/VLOOKUP($U$1,A:G,7,))*100)+100</f>
        <v/>
      </c>
      <c r="N43" s="86">
        <f>VLOOKUP(A43,Database!$A:$AS,MATCH($N$1,Database!$A$1:$AS$1,0),FALSE)</f>
        <v/>
      </c>
      <c r="O43" s="86">
        <f>(((Table134567891011121314151617343[[#This Row],[USA]]-VLOOKUP($U$1,A:N,14,))/VLOOKUP($U$1,A:N,14,))*100)+100</f>
        <v/>
      </c>
      <c r="P43" s="86">
        <f>VLOOKUP(A43,Database!$A:$AS,MATCH($P$1,Database!$A$1:$AS$1,0),FALSE)</f>
        <v/>
      </c>
      <c r="Q43" s="86">
        <f>(((Table134567891011121314151617343[[#This Row],[JPN]]-VLOOKUP($U$1,A:Q,16,))/VLOOKUP($U$1,A:Q,16,))*100)+100</f>
        <v/>
      </c>
    </row>
    <row r="44" customFormat="1" s="94">
      <c r="A44" s="22" t="n">
        <v>34151</v>
      </c>
      <c r="B44" s="86">
        <f>VLOOKUP(A44,Database!$A:$AS,MATCH($B$1,Database!$A$1:$AS$1,0),FALSE)</f>
        <v/>
      </c>
      <c r="C44" s="86">
        <f>VLOOKUP(A44,Database!$A:$AS,MATCH($C$1,Database!$A$1:$AS$1,0),FALSE)</f>
        <v/>
      </c>
      <c r="D44" s="86">
        <f>VLOOKUP(A44,Database!$A:$AS,MATCH($D$1,Database!$A$1:$AS$1,0),FALSE)</f>
        <v/>
      </c>
      <c r="E44" s="86">
        <f>VLOOKUP(A44,Database!$A:$AS,MATCH($E$1,Database!$A$1:$AS$1,0),FALSE)</f>
        <v/>
      </c>
      <c r="F44" s="86">
        <f>VLOOKUP(A44,Database!$A:$AS,MATCH($F$1,Database!$A$1:$AS$1,0),FALSE)</f>
        <v/>
      </c>
      <c r="G44" s="86">
        <f>VLOOKUP(A44,Database!$A:$AS,MATCH($G$1,Database!$A$1:$AS$1,0),FALSE)</f>
        <v/>
      </c>
      <c r="H44" s="86">
        <f>(((Table134567891011121314151617343[[#This Row],[ITA]]-VLOOKUP($U$1,A:B,2,))/VLOOKUP($U$1,A:B,2,))*100)+100</f>
        <v/>
      </c>
      <c r="I44" s="86">
        <f>(((Table134567891011121314151617343[[#This Row],[FRA]]-VLOOKUP($U$1,A:C,3,))/VLOOKUP($U$1,A:C,3,))*100)+100</f>
        <v/>
      </c>
      <c r="J44" s="86">
        <f>(((Table134567891011121314151617343[[#This Row],[DEU]]-VLOOKUP($U$1,A:D,4,))/VLOOKUP($U$1,A:D,4,))*100)+100</f>
        <v/>
      </c>
      <c r="K44" s="86">
        <f>(((Table134567891011121314151617343[[#This Row],[ESP]]-VLOOKUP($U$1,A:E,5,))/VLOOKUP($U$1,A:E,5,))*100)+100</f>
        <v/>
      </c>
      <c r="L44" s="86">
        <f>(((Table134567891011121314151617343[[#This Row],[EA19]]-VLOOKUP($U$1,A:F,6,))/VLOOKUP($U$1,A:F,6,))*100)+100</f>
        <v/>
      </c>
      <c r="M44" s="86">
        <f>(((Table134567891011121314151617343[[#This Row],[GBR]]-VLOOKUP($U$1,A:G,7,))/VLOOKUP($U$1,A:G,7,))*100)+100</f>
        <v/>
      </c>
      <c r="N44" s="86">
        <f>VLOOKUP(A44,Database!$A:$AS,MATCH($N$1,Database!$A$1:$AS$1,0),FALSE)</f>
        <v/>
      </c>
      <c r="O44" s="86">
        <f>(((Table134567891011121314151617343[[#This Row],[USA]]-VLOOKUP($U$1,A:N,14,))/VLOOKUP($U$1,A:N,14,))*100)+100</f>
        <v/>
      </c>
      <c r="P44" s="86">
        <f>VLOOKUP(A44,Database!$A:$AS,MATCH($P$1,Database!$A$1:$AS$1,0),FALSE)</f>
        <v/>
      </c>
      <c r="Q44" s="86">
        <f>(((Table134567891011121314151617343[[#This Row],[JPN]]-VLOOKUP($U$1,A:Q,16,))/VLOOKUP($U$1,A:Q,16,))*100)+100</f>
        <v/>
      </c>
    </row>
    <row r="45" customFormat="1" s="94">
      <c r="A45" s="22" t="n">
        <v>34182</v>
      </c>
      <c r="B45" s="86">
        <f>VLOOKUP(A45,Database!$A:$AS,MATCH($B$1,Database!$A$1:$AS$1,0),FALSE)</f>
        <v/>
      </c>
      <c r="C45" s="86">
        <f>VLOOKUP(A45,Database!$A:$AS,MATCH($C$1,Database!$A$1:$AS$1,0),FALSE)</f>
        <v/>
      </c>
      <c r="D45" s="86">
        <f>VLOOKUP(A45,Database!$A:$AS,MATCH($D$1,Database!$A$1:$AS$1,0),FALSE)</f>
        <v/>
      </c>
      <c r="E45" s="86">
        <f>VLOOKUP(A45,Database!$A:$AS,MATCH($E$1,Database!$A$1:$AS$1,0),FALSE)</f>
        <v/>
      </c>
      <c r="F45" s="86">
        <f>VLOOKUP(A45,Database!$A:$AS,MATCH($F$1,Database!$A$1:$AS$1,0),FALSE)</f>
        <v/>
      </c>
      <c r="G45" s="86">
        <f>VLOOKUP(A45,Database!$A:$AS,MATCH($G$1,Database!$A$1:$AS$1,0),FALSE)</f>
        <v/>
      </c>
      <c r="H45" s="86">
        <f>(((Table134567891011121314151617343[[#This Row],[ITA]]-VLOOKUP($U$1,A:B,2,))/VLOOKUP($U$1,A:B,2,))*100)+100</f>
        <v/>
      </c>
      <c r="I45" s="86">
        <f>(((Table134567891011121314151617343[[#This Row],[FRA]]-VLOOKUP($U$1,A:C,3,))/VLOOKUP($U$1,A:C,3,))*100)+100</f>
        <v/>
      </c>
      <c r="J45" s="86">
        <f>(((Table134567891011121314151617343[[#This Row],[DEU]]-VLOOKUP($U$1,A:D,4,))/VLOOKUP($U$1,A:D,4,))*100)+100</f>
        <v/>
      </c>
      <c r="K45" s="86">
        <f>(((Table134567891011121314151617343[[#This Row],[ESP]]-VLOOKUP($U$1,A:E,5,))/VLOOKUP($U$1,A:E,5,))*100)+100</f>
        <v/>
      </c>
      <c r="L45" s="86">
        <f>(((Table134567891011121314151617343[[#This Row],[EA19]]-VLOOKUP($U$1,A:F,6,))/VLOOKUP($U$1,A:F,6,))*100)+100</f>
        <v/>
      </c>
      <c r="M45" s="86">
        <f>(((Table134567891011121314151617343[[#This Row],[GBR]]-VLOOKUP($U$1,A:G,7,))/VLOOKUP($U$1,A:G,7,))*100)+100</f>
        <v/>
      </c>
      <c r="N45" s="86">
        <f>VLOOKUP(A45,Database!$A:$AS,MATCH($N$1,Database!$A$1:$AS$1,0),FALSE)</f>
        <v/>
      </c>
      <c r="O45" s="86">
        <f>(((Table134567891011121314151617343[[#This Row],[USA]]-VLOOKUP($U$1,A:N,14,))/VLOOKUP($U$1,A:N,14,))*100)+100</f>
        <v/>
      </c>
      <c r="P45" s="86">
        <f>VLOOKUP(A45,Database!$A:$AS,MATCH($P$1,Database!$A$1:$AS$1,0),FALSE)</f>
        <v/>
      </c>
      <c r="Q45" s="86">
        <f>(((Table134567891011121314151617343[[#This Row],[JPN]]-VLOOKUP($U$1,A:Q,16,))/VLOOKUP($U$1,A:Q,16,))*100)+100</f>
        <v/>
      </c>
    </row>
    <row r="46" customFormat="1" s="94">
      <c r="A46" s="22" t="n">
        <v>34213</v>
      </c>
      <c r="B46" s="86">
        <f>VLOOKUP(A46,Database!$A:$AS,MATCH($B$1,Database!$A$1:$AS$1,0),FALSE)</f>
        <v/>
      </c>
      <c r="C46" s="86">
        <f>VLOOKUP(A46,Database!$A:$AS,MATCH($C$1,Database!$A$1:$AS$1,0),FALSE)</f>
        <v/>
      </c>
      <c r="D46" s="86">
        <f>VLOOKUP(A46,Database!$A:$AS,MATCH($D$1,Database!$A$1:$AS$1,0),FALSE)</f>
        <v/>
      </c>
      <c r="E46" s="86">
        <f>VLOOKUP(A46,Database!$A:$AS,MATCH($E$1,Database!$A$1:$AS$1,0),FALSE)</f>
        <v/>
      </c>
      <c r="F46" s="86">
        <f>VLOOKUP(A46,Database!$A:$AS,MATCH($F$1,Database!$A$1:$AS$1,0),FALSE)</f>
        <v/>
      </c>
      <c r="G46" s="86">
        <f>VLOOKUP(A46,Database!$A:$AS,MATCH($G$1,Database!$A$1:$AS$1,0),FALSE)</f>
        <v/>
      </c>
      <c r="H46" s="86">
        <f>(((Table134567891011121314151617343[[#This Row],[ITA]]-VLOOKUP($U$1,A:B,2,))/VLOOKUP($U$1,A:B,2,))*100)+100</f>
        <v/>
      </c>
      <c r="I46" s="86">
        <f>(((Table134567891011121314151617343[[#This Row],[FRA]]-VLOOKUP($U$1,A:C,3,))/VLOOKUP($U$1,A:C,3,))*100)+100</f>
        <v/>
      </c>
      <c r="J46" s="86">
        <f>(((Table134567891011121314151617343[[#This Row],[DEU]]-VLOOKUP($U$1,A:D,4,))/VLOOKUP($U$1,A:D,4,))*100)+100</f>
        <v/>
      </c>
      <c r="K46" s="86">
        <f>(((Table134567891011121314151617343[[#This Row],[ESP]]-VLOOKUP($U$1,A:E,5,))/VLOOKUP($U$1,A:E,5,))*100)+100</f>
        <v/>
      </c>
      <c r="L46" s="86">
        <f>(((Table134567891011121314151617343[[#This Row],[EA19]]-VLOOKUP($U$1,A:F,6,))/VLOOKUP($U$1,A:F,6,))*100)+100</f>
        <v/>
      </c>
      <c r="M46" s="86">
        <f>(((Table134567891011121314151617343[[#This Row],[GBR]]-VLOOKUP($U$1,A:G,7,))/VLOOKUP($U$1,A:G,7,))*100)+100</f>
        <v/>
      </c>
      <c r="N46" s="86">
        <f>VLOOKUP(A46,Database!$A:$AS,MATCH($N$1,Database!$A$1:$AS$1,0),FALSE)</f>
        <v/>
      </c>
      <c r="O46" s="86">
        <f>(((Table134567891011121314151617343[[#This Row],[USA]]-VLOOKUP($U$1,A:N,14,))/VLOOKUP($U$1,A:N,14,))*100)+100</f>
        <v/>
      </c>
      <c r="P46" s="86">
        <f>VLOOKUP(A46,Database!$A:$AS,MATCH($P$1,Database!$A$1:$AS$1,0),FALSE)</f>
        <v/>
      </c>
      <c r="Q46" s="86">
        <f>(((Table134567891011121314151617343[[#This Row],[JPN]]-VLOOKUP($U$1,A:Q,16,))/VLOOKUP($U$1,A:Q,16,))*100)+100</f>
        <v/>
      </c>
    </row>
    <row r="47" customFormat="1" s="94">
      <c r="A47" s="22" t="n">
        <v>34243</v>
      </c>
      <c r="B47" s="86">
        <f>VLOOKUP(A47,Database!$A:$AS,MATCH($B$1,Database!$A$1:$AS$1,0),FALSE)</f>
        <v/>
      </c>
      <c r="C47" s="86">
        <f>VLOOKUP(A47,Database!$A:$AS,MATCH($C$1,Database!$A$1:$AS$1,0),FALSE)</f>
        <v/>
      </c>
      <c r="D47" s="86">
        <f>VLOOKUP(A47,Database!$A:$AS,MATCH($D$1,Database!$A$1:$AS$1,0),FALSE)</f>
        <v/>
      </c>
      <c r="E47" s="86">
        <f>VLOOKUP(A47,Database!$A:$AS,MATCH($E$1,Database!$A$1:$AS$1,0),FALSE)</f>
        <v/>
      </c>
      <c r="F47" s="86">
        <f>VLOOKUP(A47,Database!$A:$AS,MATCH($F$1,Database!$A$1:$AS$1,0),FALSE)</f>
        <v/>
      </c>
      <c r="G47" s="86">
        <f>VLOOKUP(A47,Database!$A:$AS,MATCH($G$1,Database!$A$1:$AS$1,0),FALSE)</f>
        <v/>
      </c>
      <c r="H47" s="86">
        <f>(((Table134567891011121314151617343[[#This Row],[ITA]]-VLOOKUP($U$1,A:B,2,))/VLOOKUP($U$1,A:B,2,))*100)+100</f>
        <v/>
      </c>
      <c r="I47" s="86">
        <f>(((Table134567891011121314151617343[[#This Row],[FRA]]-VLOOKUP($U$1,A:C,3,))/VLOOKUP($U$1,A:C,3,))*100)+100</f>
        <v/>
      </c>
      <c r="J47" s="86">
        <f>(((Table134567891011121314151617343[[#This Row],[DEU]]-VLOOKUP($U$1,A:D,4,))/VLOOKUP($U$1,A:D,4,))*100)+100</f>
        <v/>
      </c>
      <c r="K47" s="86">
        <f>(((Table134567891011121314151617343[[#This Row],[ESP]]-VLOOKUP($U$1,A:E,5,))/VLOOKUP($U$1,A:E,5,))*100)+100</f>
        <v/>
      </c>
      <c r="L47" s="86">
        <f>(((Table134567891011121314151617343[[#This Row],[EA19]]-VLOOKUP($U$1,A:F,6,))/VLOOKUP($U$1,A:F,6,))*100)+100</f>
        <v/>
      </c>
      <c r="M47" s="86">
        <f>(((Table134567891011121314151617343[[#This Row],[GBR]]-VLOOKUP($U$1,A:G,7,))/VLOOKUP($U$1,A:G,7,))*100)+100</f>
        <v/>
      </c>
      <c r="N47" s="86">
        <f>VLOOKUP(A47,Database!$A:$AS,MATCH($N$1,Database!$A$1:$AS$1,0),FALSE)</f>
        <v/>
      </c>
      <c r="O47" s="86">
        <f>(((Table134567891011121314151617343[[#This Row],[USA]]-VLOOKUP($U$1,A:N,14,))/VLOOKUP($U$1,A:N,14,))*100)+100</f>
        <v/>
      </c>
      <c r="P47" s="86">
        <f>VLOOKUP(A47,Database!$A:$AS,MATCH($P$1,Database!$A$1:$AS$1,0),FALSE)</f>
        <v/>
      </c>
      <c r="Q47" s="86">
        <f>(((Table134567891011121314151617343[[#This Row],[JPN]]-VLOOKUP($U$1,A:Q,16,))/VLOOKUP($U$1,A:Q,16,))*100)+100</f>
        <v/>
      </c>
    </row>
    <row r="48" customFormat="1" s="94">
      <c r="A48" s="22" t="n">
        <v>34274</v>
      </c>
      <c r="B48" s="86">
        <f>VLOOKUP(A48,Database!$A:$AS,MATCH($B$1,Database!$A$1:$AS$1,0),FALSE)</f>
        <v/>
      </c>
      <c r="C48" s="86">
        <f>VLOOKUP(A48,Database!$A:$AS,MATCH($C$1,Database!$A$1:$AS$1,0),FALSE)</f>
        <v/>
      </c>
      <c r="D48" s="86">
        <f>VLOOKUP(A48,Database!$A:$AS,MATCH($D$1,Database!$A$1:$AS$1,0),FALSE)</f>
        <v/>
      </c>
      <c r="E48" s="86">
        <f>VLOOKUP(A48,Database!$A:$AS,MATCH($E$1,Database!$A$1:$AS$1,0),FALSE)</f>
        <v/>
      </c>
      <c r="F48" s="86">
        <f>VLOOKUP(A48,Database!$A:$AS,MATCH($F$1,Database!$A$1:$AS$1,0),FALSE)</f>
        <v/>
      </c>
      <c r="G48" s="86">
        <f>VLOOKUP(A48,Database!$A:$AS,MATCH($G$1,Database!$A$1:$AS$1,0),FALSE)</f>
        <v/>
      </c>
      <c r="H48" s="86">
        <f>(((Table134567891011121314151617343[[#This Row],[ITA]]-VLOOKUP($U$1,A:B,2,))/VLOOKUP($U$1,A:B,2,))*100)+100</f>
        <v/>
      </c>
      <c r="I48" s="86">
        <f>(((Table134567891011121314151617343[[#This Row],[FRA]]-VLOOKUP($U$1,A:C,3,))/VLOOKUP($U$1,A:C,3,))*100)+100</f>
        <v/>
      </c>
      <c r="J48" s="86">
        <f>(((Table134567891011121314151617343[[#This Row],[DEU]]-VLOOKUP($U$1,A:D,4,))/VLOOKUP($U$1,A:D,4,))*100)+100</f>
        <v/>
      </c>
      <c r="K48" s="86">
        <f>(((Table134567891011121314151617343[[#This Row],[ESP]]-VLOOKUP($U$1,A:E,5,))/VLOOKUP($U$1,A:E,5,))*100)+100</f>
        <v/>
      </c>
      <c r="L48" s="86">
        <f>(((Table134567891011121314151617343[[#This Row],[EA19]]-VLOOKUP($U$1,A:F,6,))/VLOOKUP($U$1,A:F,6,))*100)+100</f>
        <v/>
      </c>
      <c r="M48" s="86">
        <f>(((Table134567891011121314151617343[[#This Row],[GBR]]-VLOOKUP($U$1,A:G,7,))/VLOOKUP($U$1,A:G,7,))*100)+100</f>
        <v/>
      </c>
      <c r="N48" s="86">
        <f>VLOOKUP(A48,Database!$A:$AS,MATCH($N$1,Database!$A$1:$AS$1,0),FALSE)</f>
        <v/>
      </c>
      <c r="O48" s="86">
        <f>(((Table134567891011121314151617343[[#This Row],[USA]]-VLOOKUP($U$1,A:N,14,))/VLOOKUP($U$1,A:N,14,))*100)+100</f>
        <v/>
      </c>
      <c r="P48" s="86">
        <f>VLOOKUP(A48,Database!$A:$AS,MATCH($P$1,Database!$A$1:$AS$1,0),FALSE)</f>
        <v/>
      </c>
      <c r="Q48" s="86">
        <f>(((Table134567891011121314151617343[[#This Row],[JPN]]-VLOOKUP($U$1,A:Q,16,))/VLOOKUP($U$1,A:Q,16,))*100)+100</f>
        <v/>
      </c>
    </row>
    <row r="49" customFormat="1" s="94">
      <c r="A49" s="22" t="n">
        <v>34304</v>
      </c>
      <c r="B49" s="86">
        <f>VLOOKUP(A49,Database!$A:$AS,MATCH($B$1,Database!$A$1:$AS$1,0),FALSE)</f>
        <v/>
      </c>
      <c r="C49" s="86">
        <f>VLOOKUP(A49,Database!$A:$AS,MATCH($C$1,Database!$A$1:$AS$1,0),FALSE)</f>
        <v/>
      </c>
      <c r="D49" s="86">
        <f>VLOOKUP(A49,Database!$A:$AS,MATCH($D$1,Database!$A$1:$AS$1,0),FALSE)</f>
        <v/>
      </c>
      <c r="E49" s="86">
        <f>VLOOKUP(A49,Database!$A:$AS,MATCH($E$1,Database!$A$1:$AS$1,0),FALSE)</f>
        <v/>
      </c>
      <c r="F49" s="86">
        <f>VLOOKUP(A49,Database!$A:$AS,MATCH($F$1,Database!$A$1:$AS$1,0),FALSE)</f>
        <v/>
      </c>
      <c r="G49" s="86">
        <f>VLOOKUP(A49,Database!$A:$AS,MATCH($G$1,Database!$A$1:$AS$1,0),FALSE)</f>
        <v/>
      </c>
      <c r="H49" s="86">
        <f>(((Table134567891011121314151617343[[#This Row],[ITA]]-VLOOKUP($U$1,A:B,2,))/VLOOKUP($U$1,A:B,2,))*100)+100</f>
        <v/>
      </c>
      <c r="I49" s="86">
        <f>(((Table134567891011121314151617343[[#This Row],[FRA]]-VLOOKUP($U$1,A:C,3,))/VLOOKUP($U$1,A:C,3,))*100)+100</f>
        <v/>
      </c>
      <c r="J49" s="86">
        <f>(((Table134567891011121314151617343[[#This Row],[DEU]]-VLOOKUP($U$1,A:D,4,))/VLOOKUP($U$1,A:D,4,))*100)+100</f>
        <v/>
      </c>
      <c r="K49" s="86">
        <f>(((Table134567891011121314151617343[[#This Row],[ESP]]-VLOOKUP($U$1,A:E,5,))/VLOOKUP($U$1,A:E,5,))*100)+100</f>
        <v/>
      </c>
      <c r="L49" s="86">
        <f>(((Table134567891011121314151617343[[#This Row],[EA19]]-VLOOKUP($U$1,A:F,6,))/VLOOKUP($U$1,A:F,6,))*100)+100</f>
        <v/>
      </c>
      <c r="M49" s="86">
        <f>(((Table134567891011121314151617343[[#This Row],[GBR]]-VLOOKUP($U$1,A:G,7,))/VLOOKUP($U$1,A:G,7,))*100)+100</f>
        <v/>
      </c>
      <c r="N49" s="86">
        <f>VLOOKUP(A49,Database!$A:$AS,MATCH($N$1,Database!$A$1:$AS$1,0),FALSE)</f>
        <v/>
      </c>
      <c r="O49" s="86">
        <f>(((Table134567891011121314151617343[[#This Row],[USA]]-VLOOKUP($U$1,A:N,14,))/VLOOKUP($U$1,A:N,14,))*100)+100</f>
        <v/>
      </c>
      <c r="P49" s="86">
        <f>VLOOKUP(A49,Database!$A:$AS,MATCH($P$1,Database!$A$1:$AS$1,0),FALSE)</f>
        <v/>
      </c>
      <c r="Q49" s="86">
        <f>(((Table134567891011121314151617343[[#This Row],[JPN]]-VLOOKUP($U$1,A:Q,16,))/VLOOKUP($U$1,A:Q,16,))*100)+100</f>
        <v/>
      </c>
    </row>
    <row r="50" customFormat="1" s="94">
      <c r="A50" s="22" t="n">
        <v>34335</v>
      </c>
      <c r="B50" s="86">
        <f>VLOOKUP(A50,Database!$A:$AS,MATCH($B$1,Database!$A$1:$AS$1,0),FALSE)</f>
        <v/>
      </c>
      <c r="C50" s="86">
        <f>VLOOKUP(A50,Database!$A:$AS,MATCH($C$1,Database!$A$1:$AS$1,0),FALSE)</f>
        <v/>
      </c>
      <c r="D50" s="86">
        <f>VLOOKUP(A50,Database!$A:$AS,MATCH($D$1,Database!$A$1:$AS$1,0),FALSE)</f>
        <v/>
      </c>
      <c r="E50" s="86">
        <f>VLOOKUP(A50,Database!$A:$AS,MATCH($E$1,Database!$A$1:$AS$1,0),FALSE)</f>
        <v/>
      </c>
      <c r="F50" s="86">
        <f>VLOOKUP(A50,Database!$A:$AS,MATCH($F$1,Database!$A$1:$AS$1,0),FALSE)</f>
        <v/>
      </c>
      <c r="G50" s="86">
        <f>VLOOKUP(A50,Database!$A:$AS,MATCH($G$1,Database!$A$1:$AS$1,0),FALSE)</f>
        <v/>
      </c>
      <c r="H50" s="86">
        <f>(((Table134567891011121314151617343[[#This Row],[ITA]]-VLOOKUP($U$1,A:B,2,))/VLOOKUP($U$1,A:B,2,))*100)+100</f>
        <v/>
      </c>
      <c r="I50" s="86">
        <f>(((Table134567891011121314151617343[[#This Row],[FRA]]-VLOOKUP($U$1,A:C,3,))/VLOOKUP($U$1,A:C,3,))*100)+100</f>
        <v/>
      </c>
      <c r="J50" s="86">
        <f>(((Table134567891011121314151617343[[#This Row],[DEU]]-VLOOKUP($U$1,A:D,4,))/VLOOKUP($U$1,A:D,4,))*100)+100</f>
        <v/>
      </c>
      <c r="K50" s="86">
        <f>(((Table134567891011121314151617343[[#This Row],[ESP]]-VLOOKUP($U$1,A:E,5,))/VLOOKUP($U$1,A:E,5,))*100)+100</f>
        <v/>
      </c>
      <c r="L50" s="86">
        <f>(((Table134567891011121314151617343[[#This Row],[EA19]]-VLOOKUP($U$1,A:F,6,))/VLOOKUP($U$1,A:F,6,))*100)+100</f>
        <v/>
      </c>
      <c r="M50" s="86">
        <f>(((Table134567891011121314151617343[[#This Row],[GBR]]-VLOOKUP($U$1,A:G,7,))/VLOOKUP($U$1,A:G,7,))*100)+100</f>
        <v/>
      </c>
      <c r="N50" s="86">
        <f>VLOOKUP(A50,Database!$A:$AS,MATCH($N$1,Database!$A$1:$AS$1,0),FALSE)</f>
        <v/>
      </c>
      <c r="O50" s="86">
        <f>(((Table134567891011121314151617343[[#This Row],[USA]]-VLOOKUP($U$1,A:N,14,))/VLOOKUP($U$1,A:N,14,))*100)+100</f>
        <v/>
      </c>
      <c r="P50" s="86">
        <f>VLOOKUP(A50,Database!$A:$AS,MATCH($P$1,Database!$A$1:$AS$1,0),FALSE)</f>
        <v/>
      </c>
      <c r="Q50" s="86">
        <f>(((Table134567891011121314151617343[[#This Row],[JPN]]-VLOOKUP($U$1,A:Q,16,))/VLOOKUP($U$1,A:Q,16,))*100)+100</f>
        <v/>
      </c>
    </row>
    <row r="51" customFormat="1" s="94">
      <c r="A51" s="22" t="n">
        <v>34366</v>
      </c>
      <c r="B51" s="86">
        <f>VLOOKUP(A51,Database!$A:$AS,MATCH($B$1,Database!$A$1:$AS$1,0),FALSE)</f>
        <v/>
      </c>
      <c r="C51" s="86">
        <f>VLOOKUP(A51,Database!$A:$AS,MATCH($C$1,Database!$A$1:$AS$1,0),FALSE)</f>
        <v/>
      </c>
      <c r="D51" s="86">
        <f>VLOOKUP(A51,Database!$A:$AS,MATCH($D$1,Database!$A$1:$AS$1,0),FALSE)</f>
        <v/>
      </c>
      <c r="E51" s="86">
        <f>VLOOKUP(A51,Database!$A:$AS,MATCH($E$1,Database!$A$1:$AS$1,0),FALSE)</f>
        <v/>
      </c>
      <c r="F51" s="86">
        <f>VLOOKUP(A51,Database!$A:$AS,MATCH($F$1,Database!$A$1:$AS$1,0),FALSE)</f>
        <v/>
      </c>
      <c r="G51" s="86">
        <f>VLOOKUP(A51,Database!$A:$AS,MATCH($G$1,Database!$A$1:$AS$1,0),FALSE)</f>
        <v/>
      </c>
      <c r="H51" s="86">
        <f>(((Table134567891011121314151617343[[#This Row],[ITA]]-VLOOKUP($U$1,A:B,2,))/VLOOKUP($U$1,A:B,2,))*100)+100</f>
        <v/>
      </c>
      <c r="I51" s="86">
        <f>(((Table134567891011121314151617343[[#This Row],[FRA]]-VLOOKUP($U$1,A:C,3,))/VLOOKUP($U$1,A:C,3,))*100)+100</f>
        <v/>
      </c>
      <c r="J51" s="86">
        <f>(((Table134567891011121314151617343[[#This Row],[DEU]]-VLOOKUP($U$1,A:D,4,))/VLOOKUP($U$1,A:D,4,))*100)+100</f>
        <v/>
      </c>
      <c r="K51" s="86">
        <f>(((Table134567891011121314151617343[[#This Row],[ESP]]-VLOOKUP($U$1,A:E,5,))/VLOOKUP($U$1,A:E,5,))*100)+100</f>
        <v/>
      </c>
      <c r="L51" s="86">
        <f>(((Table134567891011121314151617343[[#This Row],[EA19]]-VLOOKUP($U$1,A:F,6,))/VLOOKUP($U$1,A:F,6,))*100)+100</f>
        <v/>
      </c>
      <c r="M51" s="86">
        <f>(((Table134567891011121314151617343[[#This Row],[GBR]]-VLOOKUP($U$1,A:G,7,))/VLOOKUP($U$1,A:G,7,))*100)+100</f>
        <v/>
      </c>
      <c r="N51" s="86">
        <f>VLOOKUP(A51,Database!$A:$AS,MATCH($N$1,Database!$A$1:$AS$1,0),FALSE)</f>
        <v/>
      </c>
      <c r="O51" s="86">
        <f>(((Table134567891011121314151617343[[#This Row],[USA]]-VLOOKUP($U$1,A:N,14,))/VLOOKUP($U$1,A:N,14,))*100)+100</f>
        <v/>
      </c>
      <c r="P51" s="86">
        <f>VLOOKUP(A51,Database!$A:$AS,MATCH($P$1,Database!$A$1:$AS$1,0),FALSE)</f>
        <v/>
      </c>
      <c r="Q51" s="86">
        <f>(((Table134567891011121314151617343[[#This Row],[JPN]]-VLOOKUP($U$1,A:Q,16,))/VLOOKUP($U$1,A:Q,16,))*100)+100</f>
        <v/>
      </c>
    </row>
    <row r="52" customFormat="1" s="94">
      <c r="A52" s="22" t="n">
        <v>34394</v>
      </c>
      <c r="B52" s="86">
        <f>VLOOKUP(A52,Database!$A:$AS,MATCH($B$1,Database!$A$1:$AS$1,0),FALSE)</f>
        <v/>
      </c>
      <c r="C52" s="86">
        <f>VLOOKUP(A52,Database!$A:$AS,MATCH($C$1,Database!$A$1:$AS$1,0),FALSE)</f>
        <v/>
      </c>
      <c r="D52" s="86">
        <f>VLOOKUP(A52,Database!$A:$AS,MATCH($D$1,Database!$A$1:$AS$1,0),FALSE)</f>
        <v/>
      </c>
      <c r="E52" s="86">
        <f>VLOOKUP(A52,Database!$A:$AS,MATCH($E$1,Database!$A$1:$AS$1,0),FALSE)</f>
        <v/>
      </c>
      <c r="F52" s="86">
        <f>VLOOKUP(A52,Database!$A:$AS,MATCH($F$1,Database!$A$1:$AS$1,0),FALSE)</f>
        <v/>
      </c>
      <c r="G52" s="86">
        <f>VLOOKUP(A52,Database!$A:$AS,MATCH($G$1,Database!$A$1:$AS$1,0),FALSE)</f>
        <v/>
      </c>
      <c r="H52" s="86">
        <f>(((Table134567891011121314151617343[[#This Row],[ITA]]-VLOOKUP($U$1,A:B,2,))/VLOOKUP($U$1,A:B,2,))*100)+100</f>
        <v/>
      </c>
      <c r="I52" s="86">
        <f>(((Table134567891011121314151617343[[#This Row],[FRA]]-VLOOKUP($U$1,A:C,3,))/VLOOKUP($U$1,A:C,3,))*100)+100</f>
        <v/>
      </c>
      <c r="J52" s="86">
        <f>(((Table134567891011121314151617343[[#This Row],[DEU]]-VLOOKUP($U$1,A:D,4,))/VLOOKUP($U$1,A:D,4,))*100)+100</f>
        <v/>
      </c>
      <c r="K52" s="86">
        <f>(((Table134567891011121314151617343[[#This Row],[ESP]]-VLOOKUP($U$1,A:E,5,))/VLOOKUP($U$1,A:E,5,))*100)+100</f>
        <v/>
      </c>
      <c r="L52" s="86">
        <f>(((Table134567891011121314151617343[[#This Row],[EA19]]-VLOOKUP($U$1,A:F,6,))/VLOOKUP($U$1,A:F,6,))*100)+100</f>
        <v/>
      </c>
      <c r="M52" s="86">
        <f>(((Table134567891011121314151617343[[#This Row],[GBR]]-VLOOKUP($U$1,A:G,7,))/VLOOKUP($U$1,A:G,7,))*100)+100</f>
        <v/>
      </c>
      <c r="N52" s="86">
        <f>VLOOKUP(A52,Database!$A:$AS,MATCH($N$1,Database!$A$1:$AS$1,0),FALSE)</f>
        <v/>
      </c>
      <c r="O52" s="86">
        <f>(((Table134567891011121314151617343[[#This Row],[USA]]-VLOOKUP($U$1,A:N,14,))/VLOOKUP($U$1,A:N,14,))*100)+100</f>
        <v/>
      </c>
      <c r="P52" s="86">
        <f>VLOOKUP(A52,Database!$A:$AS,MATCH($P$1,Database!$A$1:$AS$1,0),FALSE)</f>
        <v/>
      </c>
      <c r="Q52" s="86">
        <f>(((Table134567891011121314151617343[[#This Row],[JPN]]-VLOOKUP($U$1,A:Q,16,))/VLOOKUP($U$1,A:Q,16,))*100)+100</f>
        <v/>
      </c>
    </row>
    <row r="53" customFormat="1" s="94">
      <c r="A53" s="22" t="n">
        <v>34425</v>
      </c>
      <c r="B53" s="86">
        <f>VLOOKUP(A53,Database!$A:$AS,MATCH($B$1,Database!$A$1:$AS$1,0),FALSE)</f>
        <v/>
      </c>
      <c r="C53" s="86">
        <f>VLOOKUP(A53,Database!$A:$AS,MATCH($C$1,Database!$A$1:$AS$1,0),FALSE)</f>
        <v/>
      </c>
      <c r="D53" s="86">
        <f>VLOOKUP(A53,Database!$A:$AS,MATCH($D$1,Database!$A$1:$AS$1,0),FALSE)</f>
        <v/>
      </c>
      <c r="E53" s="86">
        <f>VLOOKUP(A53,Database!$A:$AS,MATCH($E$1,Database!$A$1:$AS$1,0),FALSE)</f>
        <v/>
      </c>
      <c r="F53" s="86">
        <f>VLOOKUP(A53,Database!$A:$AS,MATCH($F$1,Database!$A$1:$AS$1,0),FALSE)</f>
        <v/>
      </c>
      <c r="G53" s="86">
        <f>VLOOKUP(A53,Database!$A:$AS,MATCH($G$1,Database!$A$1:$AS$1,0),FALSE)</f>
        <v/>
      </c>
      <c r="H53" s="86">
        <f>(((Table134567891011121314151617343[[#This Row],[ITA]]-VLOOKUP($U$1,A:B,2,))/VLOOKUP($U$1,A:B,2,))*100)+100</f>
        <v/>
      </c>
      <c r="I53" s="86">
        <f>(((Table134567891011121314151617343[[#This Row],[FRA]]-VLOOKUP($U$1,A:C,3,))/VLOOKUP($U$1,A:C,3,))*100)+100</f>
        <v/>
      </c>
      <c r="J53" s="86">
        <f>(((Table134567891011121314151617343[[#This Row],[DEU]]-VLOOKUP($U$1,A:D,4,))/VLOOKUP($U$1,A:D,4,))*100)+100</f>
        <v/>
      </c>
      <c r="K53" s="86">
        <f>(((Table134567891011121314151617343[[#This Row],[ESP]]-VLOOKUP($U$1,A:E,5,))/VLOOKUP($U$1,A:E,5,))*100)+100</f>
        <v/>
      </c>
      <c r="L53" s="86">
        <f>(((Table134567891011121314151617343[[#This Row],[EA19]]-VLOOKUP($U$1,A:F,6,))/VLOOKUP($U$1,A:F,6,))*100)+100</f>
        <v/>
      </c>
      <c r="M53" s="86">
        <f>(((Table134567891011121314151617343[[#This Row],[GBR]]-VLOOKUP($U$1,A:G,7,))/VLOOKUP($U$1,A:G,7,))*100)+100</f>
        <v/>
      </c>
      <c r="N53" s="86">
        <f>VLOOKUP(A53,Database!$A:$AS,MATCH($N$1,Database!$A$1:$AS$1,0),FALSE)</f>
        <v/>
      </c>
      <c r="O53" s="86">
        <f>(((Table134567891011121314151617343[[#This Row],[USA]]-VLOOKUP($U$1,A:N,14,))/VLOOKUP($U$1,A:N,14,))*100)+100</f>
        <v/>
      </c>
      <c r="P53" s="86">
        <f>VLOOKUP(A53,Database!$A:$AS,MATCH($P$1,Database!$A$1:$AS$1,0),FALSE)</f>
        <v/>
      </c>
      <c r="Q53" s="86">
        <f>(((Table134567891011121314151617343[[#This Row],[JPN]]-VLOOKUP($U$1,A:Q,16,))/VLOOKUP($U$1,A:Q,16,))*100)+100</f>
        <v/>
      </c>
    </row>
    <row r="54" customFormat="1" s="94">
      <c r="A54" s="22" t="n">
        <v>34455</v>
      </c>
      <c r="B54" s="86">
        <f>VLOOKUP(A54,Database!$A:$AS,MATCH($B$1,Database!$A$1:$AS$1,0),FALSE)</f>
        <v/>
      </c>
      <c r="C54" s="86">
        <f>VLOOKUP(A54,Database!$A:$AS,MATCH($C$1,Database!$A$1:$AS$1,0),FALSE)</f>
        <v/>
      </c>
      <c r="D54" s="86">
        <f>VLOOKUP(A54,Database!$A:$AS,MATCH($D$1,Database!$A$1:$AS$1,0),FALSE)</f>
        <v/>
      </c>
      <c r="E54" s="86">
        <f>VLOOKUP(A54,Database!$A:$AS,MATCH($E$1,Database!$A$1:$AS$1,0),FALSE)</f>
        <v/>
      </c>
      <c r="F54" s="86">
        <f>VLOOKUP(A54,Database!$A:$AS,MATCH($F$1,Database!$A$1:$AS$1,0),FALSE)</f>
        <v/>
      </c>
      <c r="G54" s="86">
        <f>VLOOKUP(A54,Database!$A:$AS,MATCH($G$1,Database!$A$1:$AS$1,0),FALSE)</f>
        <v/>
      </c>
      <c r="H54" s="86">
        <f>(((Table134567891011121314151617343[[#This Row],[ITA]]-VLOOKUP($U$1,A:B,2,))/VLOOKUP($U$1,A:B,2,))*100)+100</f>
        <v/>
      </c>
      <c r="I54" s="86">
        <f>(((Table134567891011121314151617343[[#This Row],[FRA]]-VLOOKUP($U$1,A:C,3,))/VLOOKUP($U$1,A:C,3,))*100)+100</f>
        <v/>
      </c>
      <c r="J54" s="86">
        <f>(((Table134567891011121314151617343[[#This Row],[DEU]]-VLOOKUP($U$1,A:D,4,))/VLOOKUP($U$1,A:D,4,))*100)+100</f>
        <v/>
      </c>
      <c r="K54" s="86">
        <f>(((Table134567891011121314151617343[[#This Row],[ESP]]-VLOOKUP($U$1,A:E,5,))/VLOOKUP($U$1,A:E,5,))*100)+100</f>
        <v/>
      </c>
      <c r="L54" s="86">
        <f>(((Table134567891011121314151617343[[#This Row],[EA19]]-VLOOKUP($U$1,A:F,6,))/VLOOKUP($U$1,A:F,6,))*100)+100</f>
        <v/>
      </c>
      <c r="M54" s="86">
        <f>(((Table134567891011121314151617343[[#This Row],[GBR]]-VLOOKUP($U$1,A:G,7,))/VLOOKUP($U$1,A:G,7,))*100)+100</f>
        <v/>
      </c>
      <c r="N54" s="86">
        <f>VLOOKUP(A54,Database!$A:$AS,MATCH($N$1,Database!$A$1:$AS$1,0),FALSE)</f>
        <v/>
      </c>
      <c r="O54" s="86">
        <f>(((Table134567891011121314151617343[[#This Row],[USA]]-VLOOKUP($U$1,A:N,14,))/VLOOKUP($U$1,A:N,14,))*100)+100</f>
        <v/>
      </c>
      <c r="P54" s="86">
        <f>VLOOKUP(A54,Database!$A:$AS,MATCH($P$1,Database!$A$1:$AS$1,0),FALSE)</f>
        <v/>
      </c>
      <c r="Q54" s="86">
        <f>(((Table134567891011121314151617343[[#This Row],[JPN]]-VLOOKUP($U$1,A:Q,16,))/VLOOKUP($U$1,A:Q,16,))*100)+100</f>
        <v/>
      </c>
    </row>
    <row r="55" customFormat="1" s="94">
      <c r="A55" s="22" t="n">
        <v>34486</v>
      </c>
      <c r="B55" s="86">
        <f>VLOOKUP(A55,Database!$A:$AS,MATCH($B$1,Database!$A$1:$AS$1,0),FALSE)</f>
        <v/>
      </c>
      <c r="C55" s="86">
        <f>VLOOKUP(A55,Database!$A:$AS,MATCH($C$1,Database!$A$1:$AS$1,0),FALSE)</f>
        <v/>
      </c>
      <c r="D55" s="86">
        <f>VLOOKUP(A55,Database!$A:$AS,MATCH($D$1,Database!$A$1:$AS$1,0),FALSE)</f>
        <v/>
      </c>
      <c r="E55" s="86">
        <f>VLOOKUP(A55,Database!$A:$AS,MATCH($E$1,Database!$A$1:$AS$1,0),FALSE)</f>
        <v/>
      </c>
      <c r="F55" s="86">
        <f>VLOOKUP(A55,Database!$A:$AS,MATCH($F$1,Database!$A$1:$AS$1,0),FALSE)</f>
        <v/>
      </c>
      <c r="G55" s="86">
        <f>VLOOKUP(A55,Database!$A:$AS,MATCH($G$1,Database!$A$1:$AS$1,0),FALSE)</f>
        <v/>
      </c>
      <c r="H55" s="86">
        <f>(((Table134567891011121314151617343[[#This Row],[ITA]]-VLOOKUP($U$1,A:B,2,))/VLOOKUP($U$1,A:B,2,))*100)+100</f>
        <v/>
      </c>
      <c r="I55" s="86">
        <f>(((Table134567891011121314151617343[[#This Row],[FRA]]-VLOOKUP($U$1,A:C,3,))/VLOOKUP($U$1,A:C,3,))*100)+100</f>
        <v/>
      </c>
      <c r="J55" s="86">
        <f>(((Table134567891011121314151617343[[#This Row],[DEU]]-VLOOKUP($U$1,A:D,4,))/VLOOKUP($U$1,A:D,4,))*100)+100</f>
        <v/>
      </c>
      <c r="K55" s="86">
        <f>(((Table134567891011121314151617343[[#This Row],[ESP]]-VLOOKUP($U$1,A:E,5,))/VLOOKUP($U$1,A:E,5,))*100)+100</f>
        <v/>
      </c>
      <c r="L55" s="86">
        <f>(((Table134567891011121314151617343[[#This Row],[EA19]]-VLOOKUP($U$1,A:F,6,))/VLOOKUP($U$1,A:F,6,))*100)+100</f>
        <v/>
      </c>
      <c r="M55" s="86">
        <f>(((Table134567891011121314151617343[[#This Row],[GBR]]-VLOOKUP($U$1,A:G,7,))/VLOOKUP($U$1,A:G,7,))*100)+100</f>
        <v/>
      </c>
      <c r="N55" s="86">
        <f>VLOOKUP(A55,Database!$A:$AS,MATCH($N$1,Database!$A$1:$AS$1,0),FALSE)</f>
        <v/>
      </c>
      <c r="O55" s="86">
        <f>(((Table134567891011121314151617343[[#This Row],[USA]]-VLOOKUP($U$1,A:N,14,))/VLOOKUP($U$1,A:N,14,))*100)+100</f>
        <v/>
      </c>
      <c r="P55" s="86">
        <f>VLOOKUP(A55,Database!$A:$AS,MATCH($P$1,Database!$A$1:$AS$1,0),FALSE)</f>
        <v/>
      </c>
      <c r="Q55" s="86">
        <f>(((Table134567891011121314151617343[[#This Row],[JPN]]-VLOOKUP($U$1,A:Q,16,))/VLOOKUP($U$1,A:Q,16,))*100)+100</f>
        <v/>
      </c>
    </row>
    <row r="56" customFormat="1" s="94">
      <c r="A56" s="22" t="n">
        <v>34516</v>
      </c>
      <c r="B56" s="86">
        <f>VLOOKUP(A56,Database!$A:$AS,MATCH($B$1,Database!$A$1:$AS$1,0),FALSE)</f>
        <v/>
      </c>
      <c r="C56" s="86">
        <f>VLOOKUP(A56,Database!$A:$AS,MATCH($C$1,Database!$A$1:$AS$1,0),FALSE)</f>
        <v/>
      </c>
      <c r="D56" s="86">
        <f>VLOOKUP(A56,Database!$A:$AS,MATCH($D$1,Database!$A$1:$AS$1,0),FALSE)</f>
        <v/>
      </c>
      <c r="E56" s="86">
        <f>VLOOKUP(A56,Database!$A:$AS,MATCH($E$1,Database!$A$1:$AS$1,0),FALSE)</f>
        <v/>
      </c>
      <c r="F56" s="86">
        <f>VLOOKUP(A56,Database!$A:$AS,MATCH($F$1,Database!$A$1:$AS$1,0),FALSE)</f>
        <v/>
      </c>
      <c r="G56" s="86">
        <f>VLOOKUP(A56,Database!$A:$AS,MATCH($G$1,Database!$A$1:$AS$1,0),FALSE)</f>
        <v/>
      </c>
      <c r="H56" s="86">
        <f>(((Table134567891011121314151617343[[#This Row],[ITA]]-VLOOKUP($U$1,A:B,2,))/VLOOKUP($U$1,A:B,2,))*100)+100</f>
        <v/>
      </c>
      <c r="I56" s="86">
        <f>(((Table134567891011121314151617343[[#This Row],[FRA]]-VLOOKUP($U$1,A:C,3,))/VLOOKUP($U$1,A:C,3,))*100)+100</f>
        <v/>
      </c>
      <c r="J56" s="86">
        <f>(((Table134567891011121314151617343[[#This Row],[DEU]]-VLOOKUP($U$1,A:D,4,))/VLOOKUP($U$1,A:D,4,))*100)+100</f>
        <v/>
      </c>
      <c r="K56" s="86">
        <f>(((Table134567891011121314151617343[[#This Row],[ESP]]-VLOOKUP($U$1,A:E,5,))/VLOOKUP($U$1,A:E,5,))*100)+100</f>
        <v/>
      </c>
      <c r="L56" s="86">
        <f>(((Table134567891011121314151617343[[#This Row],[EA19]]-VLOOKUP($U$1,A:F,6,))/VLOOKUP($U$1,A:F,6,))*100)+100</f>
        <v/>
      </c>
      <c r="M56" s="86">
        <f>(((Table134567891011121314151617343[[#This Row],[GBR]]-VLOOKUP($U$1,A:G,7,))/VLOOKUP($U$1,A:G,7,))*100)+100</f>
        <v/>
      </c>
      <c r="N56" s="86">
        <f>VLOOKUP(A56,Database!$A:$AS,MATCH($N$1,Database!$A$1:$AS$1,0),FALSE)</f>
        <v/>
      </c>
      <c r="O56" s="86">
        <f>(((Table134567891011121314151617343[[#This Row],[USA]]-VLOOKUP($U$1,A:N,14,))/VLOOKUP($U$1,A:N,14,))*100)+100</f>
        <v/>
      </c>
      <c r="P56" s="86">
        <f>VLOOKUP(A56,Database!$A:$AS,MATCH($P$1,Database!$A$1:$AS$1,0),FALSE)</f>
        <v/>
      </c>
      <c r="Q56" s="86">
        <f>(((Table134567891011121314151617343[[#This Row],[JPN]]-VLOOKUP($U$1,A:Q,16,))/VLOOKUP($U$1,A:Q,16,))*100)+100</f>
        <v/>
      </c>
    </row>
    <row r="57" customFormat="1" s="94">
      <c r="A57" s="22" t="n">
        <v>34547</v>
      </c>
      <c r="B57" s="86">
        <f>VLOOKUP(A57,Database!$A:$AS,MATCH($B$1,Database!$A$1:$AS$1,0),FALSE)</f>
        <v/>
      </c>
      <c r="C57" s="86">
        <f>VLOOKUP(A57,Database!$A:$AS,MATCH($C$1,Database!$A$1:$AS$1,0),FALSE)</f>
        <v/>
      </c>
      <c r="D57" s="86">
        <f>VLOOKUP(A57,Database!$A:$AS,MATCH($D$1,Database!$A$1:$AS$1,0),FALSE)</f>
        <v/>
      </c>
      <c r="E57" s="86">
        <f>VLOOKUP(A57,Database!$A:$AS,MATCH($E$1,Database!$A$1:$AS$1,0),FALSE)</f>
        <v/>
      </c>
      <c r="F57" s="86">
        <f>VLOOKUP(A57,Database!$A:$AS,MATCH($F$1,Database!$A$1:$AS$1,0),FALSE)</f>
        <v/>
      </c>
      <c r="G57" s="86">
        <f>VLOOKUP(A57,Database!$A:$AS,MATCH($G$1,Database!$A$1:$AS$1,0),FALSE)</f>
        <v/>
      </c>
      <c r="H57" s="86">
        <f>(((Table134567891011121314151617343[[#This Row],[ITA]]-VLOOKUP($U$1,A:B,2,))/VLOOKUP($U$1,A:B,2,))*100)+100</f>
        <v/>
      </c>
      <c r="I57" s="86">
        <f>(((Table134567891011121314151617343[[#This Row],[FRA]]-VLOOKUP($U$1,A:C,3,))/VLOOKUP($U$1,A:C,3,))*100)+100</f>
        <v/>
      </c>
      <c r="J57" s="86">
        <f>(((Table134567891011121314151617343[[#This Row],[DEU]]-VLOOKUP($U$1,A:D,4,))/VLOOKUP($U$1,A:D,4,))*100)+100</f>
        <v/>
      </c>
      <c r="K57" s="86">
        <f>(((Table134567891011121314151617343[[#This Row],[ESP]]-VLOOKUP($U$1,A:E,5,))/VLOOKUP($U$1,A:E,5,))*100)+100</f>
        <v/>
      </c>
      <c r="L57" s="86">
        <f>(((Table134567891011121314151617343[[#This Row],[EA19]]-VLOOKUP($U$1,A:F,6,))/VLOOKUP($U$1,A:F,6,))*100)+100</f>
        <v/>
      </c>
      <c r="M57" s="86">
        <f>(((Table134567891011121314151617343[[#This Row],[GBR]]-VLOOKUP($U$1,A:G,7,))/VLOOKUP($U$1,A:G,7,))*100)+100</f>
        <v/>
      </c>
      <c r="N57" s="86">
        <f>VLOOKUP(A57,Database!$A:$AS,MATCH($N$1,Database!$A$1:$AS$1,0),FALSE)</f>
        <v/>
      </c>
      <c r="O57" s="86">
        <f>(((Table134567891011121314151617343[[#This Row],[USA]]-VLOOKUP($U$1,A:N,14,))/VLOOKUP($U$1,A:N,14,))*100)+100</f>
        <v/>
      </c>
      <c r="P57" s="86">
        <f>VLOOKUP(A57,Database!$A:$AS,MATCH($P$1,Database!$A$1:$AS$1,0),FALSE)</f>
        <v/>
      </c>
      <c r="Q57" s="86">
        <f>(((Table134567891011121314151617343[[#This Row],[JPN]]-VLOOKUP($U$1,A:Q,16,))/VLOOKUP($U$1,A:Q,16,))*100)+100</f>
        <v/>
      </c>
    </row>
    <row r="58" customFormat="1" s="94">
      <c r="A58" s="22" t="n">
        <v>34578</v>
      </c>
      <c r="B58" s="86">
        <f>VLOOKUP(A58,Database!$A:$AS,MATCH($B$1,Database!$A$1:$AS$1,0),FALSE)</f>
        <v/>
      </c>
      <c r="C58" s="86">
        <f>VLOOKUP(A58,Database!$A:$AS,MATCH($C$1,Database!$A$1:$AS$1,0),FALSE)</f>
        <v/>
      </c>
      <c r="D58" s="86">
        <f>VLOOKUP(A58,Database!$A:$AS,MATCH($D$1,Database!$A$1:$AS$1,0),FALSE)</f>
        <v/>
      </c>
      <c r="E58" s="86">
        <f>VLOOKUP(A58,Database!$A:$AS,MATCH($E$1,Database!$A$1:$AS$1,0),FALSE)</f>
        <v/>
      </c>
      <c r="F58" s="86">
        <f>VLOOKUP(A58,Database!$A:$AS,MATCH($F$1,Database!$A$1:$AS$1,0),FALSE)</f>
        <v/>
      </c>
      <c r="G58" s="86">
        <f>VLOOKUP(A58,Database!$A:$AS,MATCH($G$1,Database!$A$1:$AS$1,0),FALSE)</f>
        <v/>
      </c>
      <c r="H58" s="86">
        <f>(((Table134567891011121314151617343[[#This Row],[ITA]]-VLOOKUP($U$1,A:B,2,))/VLOOKUP($U$1,A:B,2,))*100)+100</f>
        <v/>
      </c>
      <c r="I58" s="86">
        <f>(((Table134567891011121314151617343[[#This Row],[FRA]]-VLOOKUP($U$1,A:C,3,))/VLOOKUP($U$1,A:C,3,))*100)+100</f>
        <v/>
      </c>
      <c r="J58" s="86">
        <f>(((Table134567891011121314151617343[[#This Row],[DEU]]-VLOOKUP($U$1,A:D,4,))/VLOOKUP($U$1,A:D,4,))*100)+100</f>
        <v/>
      </c>
      <c r="K58" s="86">
        <f>(((Table134567891011121314151617343[[#This Row],[ESP]]-VLOOKUP($U$1,A:E,5,))/VLOOKUP($U$1,A:E,5,))*100)+100</f>
        <v/>
      </c>
      <c r="L58" s="86">
        <f>(((Table134567891011121314151617343[[#This Row],[EA19]]-VLOOKUP($U$1,A:F,6,))/VLOOKUP($U$1,A:F,6,))*100)+100</f>
        <v/>
      </c>
      <c r="M58" s="86">
        <f>(((Table134567891011121314151617343[[#This Row],[GBR]]-VLOOKUP($U$1,A:G,7,))/VLOOKUP($U$1,A:G,7,))*100)+100</f>
        <v/>
      </c>
      <c r="N58" s="86">
        <f>VLOOKUP(A58,Database!$A:$AS,MATCH($N$1,Database!$A$1:$AS$1,0),FALSE)</f>
        <v/>
      </c>
      <c r="O58" s="86">
        <f>(((Table134567891011121314151617343[[#This Row],[USA]]-VLOOKUP($U$1,A:N,14,))/VLOOKUP($U$1,A:N,14,))*100)+100</f>
        <v/>
      </c>
      <c r="P58" s="86">
        <f>VLOOKUP(A58,Database!$A:$AS,MATCH($P$1,Database!$A$1:$AS$1,0),FALSE)</f>
        <v/>
      </c>
      <c r="Q58" s="86">
        <f>(((Table134567891011121314151617343[[#This Row],[JPN]]-VLOOKUP($U$1,A:Q,16,))/VLOOKUP($U$1,A:Q,16,))*100)+100</f>
        <v/>
      </c>
    </row>
    <row r="59" customFormat="1" s="94">
      <c r="A59" s="22" t="n">
        <v>34608</v>
      </c>
      <c r="B59" s="86">
        <f>VLOOKUP(A59,Database!$A:$AS,MATCH($B$1,Database!$A$1:$AS$1,0),FALSE)</f>
        <v/>
      </c>
      <c r="C59" s="86">
        <f>VLOOKUP(A59,Database!$A:$AS,MATCH($C$1,Database!$A$1:$AS$1,0),FALSE)</f>
        <v/>
      </c>
      <c r="D59" s="86">
        <f>VLOOKUP(A59,Database!$A:$AS,MATCH($D$1,Database!$A$1:$AS$1,0),FALSE)</f>
        <v/>
      </c>
      <c r="E59" s="86">
        <f>VLOOKUP(A59,Database!$A:$AS,MATCH($E$1,Database!$A$1:$AS$1,0),FALSE)</f>
        <v/>
      </c>
      <c r="F59" s="86">
        <f>VLOOKUP(A59,Database!$A:$AS,MATCH($F$1,Database!$A$1:$AS$1,0),FALSE)</f>
        <v/>
      </c>
      <c r="G59" s="86">
        <f>VLOOKUP(A59,Database!$A:$AS,MATCH($G$1,Database!$A$1:$AS$1,0),FALSE)</f>
        <v/>
      </c>
      <c r="H59" s="86">
        <f>(((Table134567891011121314151617343[[#This Row],[ITA]]-VLOOKUP($U$1,A:B,2,))/VLOOKUP($U$1,A:B,2,))*100)+100</f>
        <v/>
      </c>
      <c r="I59" s="86">
        <f>(((Table134567891011121314151617343[[#This Row],[FRA]]-VLOOKUP($U$1,A:C,3,))/VLOOKUP($U$1,A:C,3,))*100)+100</f>
        <v/>
      </c>
      <c r="J59" s="86">
        <f>(((Table134567891011121314151617343[[#This Row],[DEU]]-VLOOKUP($U$1,A:D,4,))/VLOOKUP($U$1,A:D,4,))*100)+100</f>
        <v/>
      </c>
      <c r="K59" s="86">
        <f>(((Table134567891011121314151617343[[#This Row],[ESP]]-VLOOKUP($U$1,A:E,5,))/VLOOKUP($U$1,A:E,5,))*100)+100</f>
        <v/>
      </c>
      <c r="L59" s="86">
        <f>(((Table134567891011121314151617343[[#This Row],[EA19]]-VLOOKUP($U$1,A:F,6,))/VLOOKUP($U$1,A:F,6,))*100)+100</f>
        <v/>
      </c>
      <c r="M59" s="86">
        <f>(((Table134567891011121314151617343[[#This Row],[GBR]]-VLOOKUP($U$1,A:G,7,))/VLOOKUP($U$1,A:G,7,))*100)+100</f>
        <v/>
      </c>
      <c r="N59" s="86">
        <f>VLOOKUP(A59,Database!$A:$AS,MATCH($N$1,Database!$A$1:$AS$1,0),FALSE)</f>
        <v/>
      </c>
      <c r="O59" s="86">
        <f>(((Table134567891011121314151617343[[#This Row],[USA]]-VLOOKUP($U$1,A:N,14,))/VLOOKUP($U$1,A:N,14,))*100)+100</f>
        <v/>
      </c>
      <c r="P59" s="86">
        <f>VLOOKUP(A59,Database!$A:$AS,MATCH($P$1,Database!$A$1:$AS$1,0),FALSE)</f>
        <v/>
      </c>
      <c r="Q59" s="86">
        <f>(((Table134567891011121314151617343[[#This Row],[JPN]]-VLOOKUP($U$1,A:Q,16,))/VLOOKUP($U$1,A:Q,16,))*100)+100</f>
        <v/>
      </c>
    </row>
    <row r="60" customFormat="1" s="94">
      <c r="A60" s="22" t="n">
        <v>34639</v>
      </c>
      <c r="B60" s="86">
        <f>VLOOKUP(A60,Database!$A:$AS,MATCH($B$1,Database!$A$1:$AS$1,0),FALSE)</f>
        <v/>
      </c>
      <c r="C60" s="86">
        <f>VLOOKUP(A60,Database!$A:$AS,MATCH($C$1,Database!$A$1:$AS$1,0),FALSE)</f>
        <v/>
      </c>
      <c r="D60" s="86">
        <f>VLOOKUP(A60,Database!$A:$AS,MATCH($D$1,Database!$A$1:$AS$1,0),FALSE)</f>
        <v/>
      </c>
      <c r="E60" s="86">
        <f>VLOOKUP(A60,Database!$A:$AS,MATCH($E$1,Database!$A$1:$AS$1,0),FALSE)</f>
        <v/>
      </c>
      <c r="F60" s="86">
        <f>VLOOKUP(A60,Database!$A:$AS,MATCH($F$1,Database!$A$1:$AS$1,0),FALSE)</f>
        <v/>
      </c>
      <c r="G60" s="86">
        <f>VLOOKUP(A60,Database!$A:$AS,MATCH($G$1,Database!$A$1:$AS$1,0),FALSE)</f>
        <v/>
      </c>
      <c r="H60" s="86">
        <f>(((Table134567891011121314151617343[[#This Row],[ITA]]-VLOOKUP($U$1,A:B,2,))/VLOOKUP($U$1,A:B,2,))*100)+100</f>
        <v/>
      </c>
      <c r="I60" s="86">
        <f>(((Table134567891011121314151617343[[#This Row],[FRA]]-VLOOKUP($U$1,A:C,3,))/VLOOKUP($U$1,A:C,3,))*100)+100</f>
        <v/>
      </c>
      <c r="J60" s="86">
        <f>(((Table134567891011121314151617343[[#This Row],[DEU]]-VLOOKUP($U$1,A:D,4,))/VLOOKUP($U$1,A:D,4,))*100)+100</f>
        <v/>
      </c>
      <c r="K60" s="86">
        <f>(((Table134567891011121314151617343[[#This Row],[ESP]]-VLOOKUP($U$1,A:E,5,))/VLOOKUP($U$1,A:E,5,))*100)+100</f>
        <v/>
      </c>
      <c r="L60" s="86">
        <f>(((Table134567891011121314151617343[[#This Row],[EA19]]-VLOOKUP($U$1,A:F,6,))/VLOOKUP($U$1,A:F,6,))*100)+100</f>
        <v/>
      </c>
      <c r="M60" s="86">
        <f>(((Table134567891011121314151617343[[#This Row],[GBR]]-VLOOKUP($U$1,A:G,7,))/VLOOKUP($U$1,A:G,7,))*100)+100</f>
        <v/>
      </c>
      <c r="N60" s="86">
        <f>VLOOKUP(A60,Database!$A:$AS,MATCH($N$1,Database!$A$1:$AS$1,0),FALSE)</f>
        <v/>
      </c>
      <c r="O60" s="86">
        <f>(((Table134567891011121314151617343[[#This Row],[USA]]-VLOOKUP($U$1,A:N,14,))/VLOOKUP($U$1,A:N,14,))*100)+100</f>
        <v/>
      </c>
      <c r="P60" s="86">
        <f>VLOOKUP(A60,Database!$A:$AS,MATCH($P$1,Database!$A$1:$AS$1,0),FALSE)</f>
        <v/>
      </c>
      <c r="Q60" s="86">
        <f>(((Table134567891011121314151617343[[#This Row],[JPN]]-VLOOKUP($U$1,A:Q,16,))/VLOOKUP($U$1,A:Q,16,))*100)+100</f>
        <v/>
      </c>
    </row>
    <row r="61" customFormat="1" s="94">
      <c r="A61" s="22" t="n">
        <v>34669</v>
      </c>
      <c r="B61" s="86">
        <f>VLOOKUP(A61,Database!$A:$AS,MATCH($B$1,Database!$A$1:$AS$1,0),FALSE)</f>
        <v/>
      </c>
      <c r="C61" s="86">
        <f>VLOOKUP(A61,Database!$A:$AS,MATCH($C$1,Database!$A$1:$AS$1,0),FALSE)</f>
        <v/>
      </c>
      <c r="D61" s="86">
        <f>VLOOKUP(A61,Database!$A:$AS,MATCH($D$1,Database!$A$1:$AS$1,0),FALSE)</f>
        <v/>
      </c>
      <c r="E61" s="86">
        <f>VLOOKUP(A61,Database!$A:$AS,MATCH($E$1,Database!$A$1:$AS$1,0),FALSE)</f>
        <v/>
      </c>
      <c r="F61" s="86">
        <f>VLOOKUP(A61,Database!$A:$AS,MATCH($F$1,Database!$A$1:$AS$1,0),FALSE)</f>
        <v/>
      </c>
      <c r="G61" s="86">
        <f>VLOOKUP(A61,Database!$A:$AS,MATCH($G$1,Database!$A$1:$AS$1,0),FALSE)</f>
        <v/>
      </c>
      <c r="H61" s="86">
        <f>(((Table134567891011121314151617343[[#This Row],[ITA]]-VLOOKUP($U$1,A:B,2,))/VLOOKUP($U$1,A:B,2,))*100)+100</f>
        <v/>
      </c>
      <c r="I61" s="86">
        <f>(((Table134567891011121314151617343[[#This Row],[FRA]]-VLOOKUP($U$1,A:C,3,))/VLOOKUP($U$1,A:C,3,))*100)+100</f>
        <v/>
      </c>
      <c r="J61" s="86">
        <f>(((Table134567891011121314151617343[[#This Row],[DEU]]-VLOOKUP($U$1,A:D,4,))/VLOOKUP($U$1,A:D,4,))*100)+100</f>
        <v/>
      </c>
      <c r="K61" s="86">
        <f>(((Table134567891011121314151617343[[#This Row],[ESP]]-VLOOKUP($U$1,A:E,5,))/VLOOKUP($U$1,A:E,5,))*100)+100</f>
        <v/>
      </c>
      <c r="L61" s="86">
        <f>(((Table134567891011121314151617343[[#This Row],[EA19]]-VLOOKUP($U$1,A:F,6,))/VLOOKUP($U$1,A:F,6,))*100)+100</f>
        <v/>
      </c>
      <c r="M61" s="86">
        <f>(((Table134567891011121314151617343[[#This Row],[GBR]]-VLOOKUP($U$1,A:G,7,))/VLOOKUP($U$1,A:G,7,))*100)+100</f>
        <v/>
      </c>
      <c r="N61" s="86">
        <f>VLOOKUP(A61,Database!$A:$AS,MATCH($N$1,Database!$A$1:$AS$1,0),FALSE)</f>
        <v/>
      </c>
      <c r="O61" s="86">
        <f>(((Table134567891011121314151617343[[#This Row],[USA]]-VLOOKUP($U$1,A:N,14,))/VLOOKUP($U$1,A:N,14,))*100)+100</f>
        <v/>
      </c>
      <c r="P61" s="86">
        <f>VLOOKUP(A61,Database!$A:$AS,MATCH($P$1,Database!$A$1:$AS$1,0),FALSE)</f>
        <v/>
      </c>
      <c r="Q61" s="86">
        <f>(((Table134567891011121314151617343[[#This Row],[JPN]]-VLOOKUP($U$1,A:Q,16,))/VLOOKUP($U$1,A:Q,16,))*100)+100</f>
        <v/>
      </c>
    </row>
    <row r="62" customFormat="1" s="94">
      <c r="A62" s="22" t="n">
        <v>34700</v>
      </c>
      <c r="B62" s="86">
        <f>VLOOKUP(A62,Database!$A:$AS,MATCH($B$1,Database!$A$1:$AS$1,0),FALSE)</f>
        <v/>
      </c>
      <c r="C62" s="86">
        <f>VLOOKUP(A62,Database!$A:$AS,MATCH($C$1,Database!$A$1:$AS$1,0),FALSE)</f>
        <v/>
      </c>
      <c r="D62" s="86">
        <f>VLOOKUP(A62,Database!$A:$AS,MATCH($D$1,Database!$A$1:$AS$1,0),FALSE)</f>
        <v/>
      </c>
      <c r="E62" s="86">
        <f>VLOOKUP(A62,Database!$A:$AS,MATCH($E$1,Database!$A$1:$AS$1,0),FALSE)</f>
        <v/>
      </c>
      <c r="F62" s="86">
        <f>VLOOKUP(A62,Database!$A:$AS,MATCH($F$1,Database!$A$1:$AS$1,0),FALSE)</f>
        <v/>
      </c>
      <c r="G62" s="86">
        <f>VLOOKUP(A62,Database!$A:$AS,MATCH($G$1,Database!$A$1:$AS$1,0),FALSE)</f>
        <v/>
      </c>
      <c r="H62" s="86">
        <f>(((Table134567891011121314151617343[[#This Row],[ITA]]-VLOOKUP($U$1,A:B,2,))/VLOOKUP($U$1,A:B,2,))*100)+100</f>
        <v/>
      </c>
      <c r="I62" s="86">
        <f>(((Table134567891011121314151617343[[#This Row],[FRA]]-VLOOKUP($U$1,A:C,3,))/VLOOKUP($U$1,A:C,3,))*100)+100</f>
        <v/>
      </c>
      <c r="J62" s="86">
        <f>(((Table134567891011121314151617343[[#This Row],[DEU]]-VLOOKUP($U$1,A:D,4,))/VLOOKUP($U$1,A:D,4,))*100)+100</f>
        <v/>
      </c>
      <c r="K62" s="86">
        <f>(((Table134567891011121314151617343[[#This Row],[ESP]]-VLOOKUP($U$1,A:E,5,))/VLOOKUP($U$1,A:E,5,))*100)+100</f>
        <v/>
      </c>
      <c r="L62" s="86">
        <f>(((Table134567891011121314151617343[[#This Row],[EA19]]-VLOOKUP($U$1,A:F,6,))/VLOOKUP($U$1,A:F,6,))*100)+100</f>
        <v/>
      </c>
      <c r="M62" s="86">
        <f>(((Table134567891011121314151617343[[#This Row],[GBR]]-VLOOKUP($U$1,A:G,7,))/VLOOKUP($U$1,A:G,7,))*100)+100</f>
        <v/>
      </c>
      <c r="N62" s="86">
        <f>VLOOKUP(A62,Database!$A:$AS,MATCH($N$1,Database!$A$1:$AS$1,0),FALSE)</f>
        <v/>
      </c>
      <c r="O62" s="86">
        <f>(((Table134567891011121314151617343[[#This Row],[USA]]-VLOOKUP($U$1,A:N,14,))/VLOOKUP($U$1,A:N,14,))*100)+100</f>
        <v/>
      </c>
      <c r="P62" s="86">
        <f>VLOOKUP(A62,Database!$A:$AS,MATCH($P$1,Database!$A$1:$AS$1,0),FALSE)</f>
        <v/>
      </c>
      <c r="Q62" s="86">
        <f>(((Table134567891011121314151617343[[#This Row],[JPN]]-VLOOKUP($U$1,A:Q,16,))/VLOOKUP($U$1,A:Q,16,))*100)+100</f>
        <v/>
      </c>
    </row>
    <row r="63" customFormat="1" s="94">
      <c r="A63" s="22" t="n">
        <v>34731</v>
      </c>
      <c r="B63" s="86">
        <f>VLOOKUP(A63,Database!$A:$AS,MATCH($B$1,Database!$A$1:$AS$1,0),FALSE)</f>
        <v/>
      </c>
      <c r="C63" s="86">
        <f>VLOOKUP(A63,Database!$A:$AS,MATCH($C$1,Database!$A$1:$AS$1,0),FALSE)</f>
        <v/>
      </c>
      <c r="D63" s="86">
        <f>VLOOKUP(A63,Database!$A:$AS,MATCH($D$1,Database!$A$1:$AS$1,0),FALSE)</f>
        <v/>
      </c>
      <c r="E63" s="86">
        <f>VLOOKUP(A63,Database!$A:$AS,MATCH($E$1,Database!$A$1:$AS$1,0),FALSE)</f>
        <v/>
      </c>
      <c r="F63" s="86">
        <f>VLOOKUP(A63,Database!$A:$AS,MATCH($F$1,Database!$A$1:$AS$1,0),FALSE)</f>
        <v/>
      </c>
      <c r="G63" s="86">
        <f>VLOOKUP(A63,Database!$A:$AS,MATCH($G$1,Database!$A$1:$AS$1,0),FALSE)</f>
        <v/>
      </c>
      <c r="H63" s="86">
        <f>(((Table134567891011121314151617343[[#This Row],[ITA]]-VLOOKUP($U$1,A:B,2,))/VLOOKUP($U$1,A:B,2,))*100)+100</f>
        <v/>
      </c>
      <c r="I63" s="86">
        <f>(((Table134567891011121314151617343[[#This Row],[FRA]]-VLOOKUP($U$1,A:C,3,))/VLOOKUP($U$1,A:C,3,))*100)+100</f>
        <v/>
      </c>
      <c r="J63" s="86">
        <f>(((Table134567891011121314151617343[[#This Row],[DEU]]-VLOOKUP($U$1,A:D,4,))/VLOOKUP($U$1,A:D,4,))*100)+100</f>
        <v/>
      </c>
      <c r="K63" s="86">
        <f>(((Table134567891011121314151617343[[#This Row],[ESP]]-VLOOKUP($U$1,A:E,5,))/VLOOKUP($U$1,A:E,5,))*100)+100</f>
        <v/>
      </c>
      <c r="L63" s="86">
        <f>(((Table134567891011121314151617343[[#This Row],[EA19]]-VLOOKUP($U$1,A:F,6,))/VLOOKUP($U$1,A:F,6,))*100)+100</f>
        <v/>
      </c>
      <c r="M63" s="86">
        <f>(((Table134567891011121314151617343[[#This Row],[GBR]]-VLOOKUP($U$1,A:G,7,))/VLOOKUP($U$1,A:G,7,))*100)+100</f>
        <v/>
      </c>
      <c r="N63" s="86">
        <f>VLOOKUP(A63,Database!$A:$AS,MATCH($N$1,Database!$A$1:$AS$1,0),FALSE)</f>
        <v/>
      </c>
      <c r="O63" s="86">
        <f>(((Table134567891011121314151617343[[#This Row],[USA]]-VLOOKUP($U$1,A:N,14,))/VLOOKUP($U$1,A:N,14,))*100)+100</f>
        <v/>
      </c>
      <c r="P63" s="86">
        <f>VLOOKUP(A63,Database!$A:$AS,MATCH($P$1,Database!$A$1:$AS$1,0),FALSE)</f>
        <v/>
      </c>
      <c r="Q63" s="86">
        <f>(((Table134567891011121314151617343[[#This Row],[JPN]]-VLOOKUP($U$1,A:Q,16,))/VLOOKUP($U$1,A:Q,16,))*100)+100</f>
        <v/>
      </c>
    </row>
    <row r="64" customFormat="1" s="94">
      <c r="A64" s="22" t="n">
        <v>34759</v>
      </c>
      <c r="B64" s="86">
        <f>VLOOKUP(A64,Database!$A:$AS,MATCH($B$1,Database!$A$1:$AS$1,0),FALSE)</f>
        <v/>
      </c>
      <c r="C64" s="86">
        <f>VLOOKUP(A64,Database!$A:$AS,MATCH($C$1,Database!$A$1:$AS$1,0),FALSE)</f>
        <v/>
      </c>
      <c r="D64" s="86">
        <f>VLOOKUP(A64,Database!$A:$AS,MATCH($D$1,Database!$A$1:$AS$1,0),FALSE)</f>
        <v/>
      </c>
      <c r="E64" s="86">
        <f>VLOOKUP(A64,Database!$A:$AS,MATCH($E$1,Database!$A$1:$AS$1,0),FALSE)</f>
        <v/>
      </c>
      <c r="F64" s="86">
        <f>VLOOKUP(A64,Database!$A:$AS,MATCH($F$1,Database!$A$1:$AS$1,0),FALSE)</f>
        <v/>
      </c>
      <c r="G64" s="86">
        <f>VLOOKUP(A64,Database!$A:$AS,MATCH($G$1,Database!$A$1:$AS$1,0),FALSE)</f>
        <v/>
      </c>
      <c r="H64" s="86">
        <f>(((Table134567891011121314151617343[[#This Row],[ITA]]-VLOOKUP($U$1,A:B,2,))/VLOOKUP($U$1,A:B,2,))*100)+100</f>
        <v/>
      </c>
      <c r="I64" s="86">
        <f>(((Table134567891011121314151617343[[#This Row],[FRA]]-VLOOKUP($U$1,A:C,3,))/VLOOKUP($U$1,A:C,3,))*100)+100</f>
        <v/>
      </c>
      <c r="J64" s="86">
        <f>(((Table134567891011121314151617343[[#This Row],[DEU]]-VLOOKUP($U$1,A:D,4,))/VLOOKUP($U$1,A:D,4,))*100)+100</f>
        <v/>
      </c>
      <c r="K64" s="86">
        <f>(((Table134567891011121314151617343[[#This Row],[ESP]]-VLOOKUP($U$1,A:E,5,))/VLOOKUP($U$1,A:E,5,))*100)+100</f>
        <v/>
      </c>
      <c r="L64" s="86">
        <f>(((Table134567891011121314151617343[[#This Row],[EA19]]-VLOOKUP($U$1,A:F,6,))/VLOOKUP($U$1,A:F,6,))*100)+100</f>
        <v/>
      </c>
      <c r="M64" s="86">
        <f>(((Table134567891011121314151617343[[#This Row],[GBR]]-VLOOKUP($U$1,A:G,7,))/VLOOKUP($U$1,A:G,7,))*100)+100</f>
        <v/>
      </c>
      <c r="N64" s="86">
        <f>VLOOKUP(A64,Database!$A:$AS,MATCH($N$1,Database!$A$1:$AS$1,0),FALSE)</f>
        <v/>
      </c>
      <c r="O64" s="86">
        <f>(((Table134567891011121314151617343[[#This Row],[USA]]-VLOOKUP($U$1,A:N,14,))/VLOOKUP($U$1,A:N,14,))*100)+100</f>
        <v/>
      </c>
      <c r="P64" s="86">
        <f>VLOOKUP(A64,Database!$A:$AS,MATCH($P$1,Database!$A$1:$AS$1,0),FALSE)</f>
        <v/>
      </c>
      <c r="Q64" s="86">
        <f>(((Table134567891011121314151617343[[#This Row],[JPN]]-VLOOKUP($U$1,A:Q,16,))/VLOOKUP($U$1,A:Q,16,))*100)+100</f>
        <v/>
      </c>
    </row>
    <row r="65" customFormat="1" s="94">
      <c r="A65" s="22" t="n">
        <v>34790</v>
      </c>
      <c r="B65" s="86">
        <f>VLOOKUP(A65,Database!$A:$AS,MATCH($B$1,Database!$A$1:$AS$1,0),FALSE)</f>
        <v/>
      </c>
      <c r="C65" s="86">
        <f>VLOOKUP(A65,Database!$A:$AS,MATCH($C$1,Database!$A$1:$AS$1,0),FALSE)</f>
        <v/>
      </c>
      <c r="D65" s="86">
        <f>VLOOKUP(A65,Database!$A:$AS,MATCH($D$1,Database!$A$1:$AS$1,0),FALSE)</f>
        <v/>
      </c>
      <c r="E65" s="86">
        <f>VLOOKUP(A65,Database!$A:$AS,MATCH($E$1,Database!$A$1:$AS$1,0),FALSE)</f>
        <v/>
      </c>
      <c r="F65" s="86">
        <f>VLOOKUP(A65,Database!$A:$AS,MATCH($F$1,Database!$A$1:$AS$1,0),FALSE)</f>
        <v/>
      </c>
      <c r="G65" s="86">
        <f>VLOOKUP(A65,Database!$A:$AS,MATCH($G$1,Database!$A$1:$AS$1,0),FALSE)</f>
        <v/>
      </c>
      <c r="H65" s="86">
        <f>(((Table134567891011121314151617343[[#This Row],[ITA]]-VLOOKUP($U$1,A:B,2,))/VLOOKUP($U$1,A:B,2,))*100)+100</f>
        <v/>
      </c>
      <c r="I65" s="86">
        <f>(((Table134567891011121314151617343[[#This Row],[FRA]]-VLOOKUP($U$1,A:C,3,))/VLOOKUP($U$1,A:C,3,))*100)+100</f>
        <v/>
      </c>
      <c r="J65" s="86">
        <f>(((Table134567891011121314151617343[[#This Row],[DEU]]-VLOOKUP($U$1,A:D,4,))/VLOOKUP($U$1,A:D,4,))*100)+100</f>
        <v/>
      </c>
      <c r="K65" s="86">
        <f>(((Table134567891011121314151617343[[#This Row],[ESP]]-VLOOKUP($U$1,A:E,5,))/VLOOKUP($U$1,A:E,5,))*100)+100</f>
        <v/>
      </c>
      <c r="L65" s="86">
        <f>(((Table134567891011121314151617343[[#This Row],[EA19]]-VLOOKUP($U$1,A:F,6,))/VLOOKUP($U$1,A:F,6,))*100)+100</f>
        <v/>
      </c>
      <c r="M65" s="86">
        <f>(((Table134567891011121314151617343[[#This Row],[GBR]]-VLOOKUP($U$1,A:G,7,))/VLOOKUP($U$1,A:G,7,))*100)+100</f>
        <v/>
      </c>
      <c r="N65" s="86">
        <f>VLOOKUP(A65,Database!$A:$AS,MATCH($N$1,Database!$A$1:$AS$1,0),FALSE)</f>
        <v/>
      </c>
      <c r="O65" s="86">
        <f>(((Table134567891011121314151617343[[#This Row],[USA]]-VLOOKUP($U$1,A:N,14,))/VLOOKUP($U$1,A:N,14,))*100)+100</f>
        <v/>
      </c>
      <c r="P65" s="86">
        <f>VLOOKUP(A65,Database!$A:$AS,MATCH($P$1,Database!$A$1:$AS$1,0),FALSE)</f>
        <v/>
      </c>
      <c r="Q65" s="86">
        <f>(((Table134567891011121314151617343[[#This Row],[JPN]]-VLOOKUP($U$1,A:Q,16,))/VLOOKUP($U$1,A:Q,16,))*100)+100</f>
        <v/>
      </c>
    </row>
    <row r="66" customFormat="1" s="94">
      <c r="A66" s="22" t="n">
        <v>34820</v>
      </c>
      <c r="B66" s="86">
        <f>VLOOKUP(A66,Database!$A:$AS,MATCH($B$1,Database!$A$1:$AS$1,0),FALSE)</f>
        <v/>
      </c>
      <c r="C66" s="86">
        <f>VLOOKUP(A66,Database!$A:$AS,MATCH($C$1,Database!$A$1:$AS$1,0),FALSE)</f>
        <v/>
      </c>
      <c r="D66" s="86">
        <f>VLOOKUP(A66,Database!$A:$AS,MATCH($D$1,Database!$A$1:$AS$1,0),FALSE)</f>
        <v/>
      </c>
      <c r="E66" s="86">
        <f>VLOOKUP(A66,Database!$A:$AS,MATCH($E$1,Database!$A$1:$AS$1,0),FALSE)</f>
        <v/>
      </c>
      <c r="F66" s="86">
        <f>VLOOKUP(A66,Database!$A:$AS,MATCH($F$1,Database!$A$1:$AS$1,0),FALSE)</f>
        <v/>
      </c>
      <c r="G66" s="86">
        <f>VLOOKUP(A66,Database!$A:$AS,MATCH($G$1,Database!$A$1:$AS$1,0),FALSE)</f>
        <v/>
      </c>
      <c r="H66" s="86">
        <f>(((Table134567891011121314151617343[[#This Row],[ITA]]-VLOOKUP($U$1,A:B,2,))/VLOOKUP($U$1,A:B,2,))*100)+100</f>
        <v/>
      </c>
      <c r="I66" s="86">
        <f>(((Table134567891011121314151617343[[#This Row],[FRA]]-VLOOKUP($U$1,A:C,3,))/VLOOKUP($U$1,A:C,3,))*100)+100</f>
        <v/>
      </c>
      <c r="J66" s="86">
        <f>(((Table134567891011121314151617343[[#This Row],[DEU]]-VLOOKUP($U$1,A:D,4,))/VLOOKUP($U$1,A:D,4,))*100)+100</f>
        <v/>
      </c>
      <c r="K66" s="86">
        <f>(((Table134567891011121314151617343[[#This Row],[ESP]]-VLOOKUP($U$1,A:E,5,))/VLOOKUP($U$1,A:E,5,))*100)+100</f>
        <v/>
      </c>
      <c r="L66" s="86">
        <f>(((Table134567891011121314151617343[[#This Row],[EA19]]-VLOOKUP($U$1,A:F,6,))/VLOOKUP($U$1,A:F,6,))*100)+100</f>
        <v/>
      </c>
      <c r="M66" s="86">
        <f>(((Table134567891011121314151617343[[#This Row],[GBR]]-VLOOKUP($U$1,A:G,7,))/VLOOKUP($U$1,A:G,7,))*100)+100</f>
        <v/>
      </c>
      <c r="N66" s="86">
        <f>VLOOKUP(A66,Database!$A:$AS,MATCH($N$1,Database!$A$1:$AS$1,0),FALSE)</f>
        <v/>
      </c>
      <c r="O66" s="86">
        <f>(((Table134567891011121314151617343[[#This Row],[USA]]-VLOOKUP($U$1,A:N,14,))/VLOOKUP($U$1,A:N,14,))*100)+100</f>
        <v/>
      </c>
      <c r="P66" s="86">
        <f>VLOOKUP(A66,Database!$A:$AS,MATCH($P$1,Database!$A$1:$AS$1,0),FALSE)</f>
        <v/>
      </c>
      <c r="Q66" s="86">
        <f>(((Table134567891011121314151617343[[#This Row],[JPN]]-VLOOKUP($U$1,A:Q,16,))/VLOOKUP($U$1,A:Q,16,))*100)+100</f>
        <v/>
      </c>
    </row>
    <row r="67" customFormat="1" s="94">
      <c r="A67" s="22" t="n">
        <v>34851</v>
      </c>
      <c r="B67" s="86">
        <f>VLOOKUP(A67,Database!$A:$AS,MATCH($B$1,Database!$A$1:$AS$1,0),FALSE)</f>
        <v/>
      </c>
      <c r="C67" s="86">
        <f>VLOOKUP(A67,Database!$A:$AS,MATCH($C$1,Database!$A$1:$AS$1,0),FALSE)</f>
        <v/>
      </c>
      <c r="D67" s="86">
        <f>VLOOKUP(A67,Database!$A:$AS,MATCH($D$1,Database!$A$1:$AS$1,0),FALSE)</f>
        <v/>
      </c>
      <c r="E67" s="86">
        <f>VLOOKUP(A67,Database!$A:$AS,MATCH($E$1,Database!$A$1:$AS$1,0),FALSE)</f>
        <v/>
      </c>
      <c r="F67" s="86">
        <f>VLOOKUP(A67,Database!$A:$AS,MATCH($F$1,Database!$A$1:$AS$1,0),FALSE)</f>
        <v/>
      </c>
      <c r="G67" s="86">
        <f>VLOOKUP(A67,Database!$A:$AS,MATCH($G$1,Database!$A$1:$AS$1,0),FALSE)</f>
        <v/>
      </c>
      <c r="H67" s="86">
        <f>(((Table134567891011121314151617343[[#This Row],[ITA]]-VLOOKUP($U$1,A:B,2,))/VLOOKUP($U$1,A:B,2,))*100)+100</f>
        <v/>
      </c>
      <c r="I67" s="86">
        <f>(((Table134567891011121314151617343[[#This Row],[FRA]]-VLOOKUP($U$1,A:C,3,))/VLOOKUP($U$1,A:C,3,))*100)+100</f>
        <v/>
      </c>
      <c r="J67" s="86">
        <f>(((Table134567891011121314151617343[[#This Row],[DEU]]-VLOOKUP($U$1,A:D,4,))/VLOOKUP($U$1,A:D,4,))*100)+100</f>
        <v/>
      </c>
      <c r="K67" s="86">
        <f>(((Table134567891011121314151617343[[#This Row],[ESP]]-VLOOKUP($U$1,A:E,5,))/VLOOKUP($U$1,A:E,5,))*100)+100</f>
        <v/>
      </c>
      <c r="L67" s="86">
        <f>(((Table134567891011121314151617343[[#This Row],[EA19]]-VLOOKUP($U$1,A:F,6,))/VLOOKUP($U$1,A:F,6,))*100)+100</f>
        <v/>
      </c>
      <c r="M67" s="86">
        <f>(((Table134567891011121314151617343[[#This Row],[GBR]]-VLOOKUP($U$1,A:G,7,))/VLOOKUP($U$1,A:G,7,))*100)+100</f>
        <v/>
      </c>
      <c r="N67" s="86">
        <f>VLOOKUP(A67,Database!$A:$AS,MATCH($N$1,Database!$A$1:$AS$1,0),FALSE)</f>
        <v/>
      </c>
      <c r="O67" s="86">
        <f>(((Table134567891011121314151617343[[#This Row],[USA]]-VLOOKUP($U$1,A:N,14,))/VLOOKUP($U$1,A:N,14,))*100)+100</f>
        <v/>
      </c>
      <c r="P67" s="86">
        <f>VLOOKUP(A67,Database!$A:$AS,MATCH($P$1,Database!$A$1:$AS$1,0),FALSE)</f>
        <v/>
      </c>
      <c r="Q67" s="86">
        <f>(((Table134567891011121314151617343[[#This Row],[JPN]]-VLOOKUP($U$1,A:Q,16,))/VLOOKUP($U$1,A:Q,16,))*100)+100</f>
        <v/>
      </c>
    </row>
    <row r="68" customFormat="1" s="94">
      <c r="A68" s="22" t="n">
        <v>34881</v>
      </c>
      <c r="B68" s="86">
        <f>VLOOKUP(A68,Database!$A:$AS,MATCH($B$1,Database!$A$1:$AS$1,0),FALSE)</f>
        <v/>
      </c>
      <c r="C68" s="86">
        <f>VLOOKUP(A68,Database!$A:$AS,MATCH($C$1,Database!$A$1:$AS$1,0),FALSE)</f>
        <v/>
      </c>
      <c r="D68" s="86">
        <f>VLOOKUP(A68,Database!$A:$AS,MATCH($D$1,Database!$A$1:$AS$1,0),FALSE)</f>
        <v/>
      </c>
      <c r="E68" s="86">
        <f>VLOOKUP(A68,Database!$A:$AS,MATCH($E$1,Database!$A$1:$AS$1,0),FALSE)</f>
        <v/>
      </c>
      <c r="F68" s="86">
        <f>VLOOKUP(A68,Database!$A:$AS,MATCH($F$1,Database!$A$1:$AS$1,0),FALSE)</f>
        <v/>
      </c>
      <c r="G68" s="86">
        <f>VLOOKUP(A68,Database!$A:$AS,MATCH($G$1,Database!$A$1:$AS$1,0),FALSE)</f>
        <v/>
      </c>
      <c r="H68" s="86">
        <f>(((Table134567891011121314151617343[[#This Row],[ITA]]-VLOOKUP($U$1,A:B,2,))/VLOOKUP($U$1,A:B,2,))*100)+100</f>
        <v/>
      </c>
      <c r="I68" s="86">
        <f>(((Table134567891011121314151617343[[#This Row],[FRA]]-VLOOKUP($U$1,A:C,3,))/VLOOKUP($U$1,A:C,3,))*100)+100</f>
        <v/>
      </c>
      <c r="J68" s="86">
        <f>(((Table134567891011121314151617343[[#This Row],[DEU]]-VLOOKUP($U$1,A:D,4,))/VLOOKUP($U$1,A:D,4,))*100)+100</f>
        <v/>
      </c>
      <c r="K68" s="86">
        <f>(((Table134567891011121314151617343[[#This Row],[ESP]]-VLOOKUP($U$1,A:E,5,))/VLOOKUP($U$1,A:E,5,))*100)+100</f>
        <v/>
      </c>
      <c r="L68" s="86">
        <f>(((Table134567891011121314151617343[[#This Row],[EA19]]-VLOOKUP($U$1,A:F,6,))/VLOOKUP($U$1,A:F,6,))*100)+100</f>
        <v/>
      </c>
      <c r="M68" s="86">
        <f>(((Table134567891011121314151617343[[#This Row],[GBR]]-VLOOKUP($U$1,A:G,7,))/VLOOKUP($U$1,A:G,7,))*100)+100</f>
        <v/>
      </c>
      <c r="N68" s="86">
        <f>VLOOKUP(A68,Database!$A:$AS,MATCH($N$1,Database!$A$1:$AS$1,0),FALSE)</f>
        <v/>
      </c>
      <c r="O68" s="86">
        <f>(((Table134567891011121314151617343[[#This Row],[USA]]-VLOOKUP($U$1,A:N,14,))/VLOOKUP($U$1,A:N,14,))*100)+100</f>
        <v/>
      </c>
      <c r="P68" s="86">
        <f>VLOOKUP(A68,Database!$A:$AS,MATCH($P$1,Database!$A$1:$AS$1,0),FALSE)</f>
        <v/>
      </c>
      <c r="Q68" s="86">
        <f>(((Table134567891011121314151617343[[#This Row],[JPN]]-VLOOKUP($U$1,A:Q,16,))/VLOOKUP($U$1,A:Q,16,))*100)+100</f>
        <v/>
      </c>
    </row>
    <row r="69" customFormat="1" s="94">
      <c r="A69" s="22" t="n">
        <v>34912</v>
      </c>
      <c r="B69" s="86">
        <f>VLOOKUP(A69,Database!$A:$AS,MATCH($B$1,Database!$A$1:$AS$1,0),FALSE)</f>
        <v/>
      </c>
      <c r="C69" s="86">
        <f>VLOOKUP(A69,Database!$A:$AS,MATCH($C$1,Database!$A$1:$AS$1,0),FALSE)</f>
        <v/>
      </c>
      <c r="D69" s="86">
        <f>VLOOKUP(A69,Database!$A:$AS,MATCH($D$1,Database!$A$1:$AS$1,0),FALSE)</f>
        <v/>
      </c>
      <c r="E69" s="86">
        <f>VLOOKUP(A69,Database!$A:$AS,MATCH($E$1,Database!$A$1:$AS$1,0),FALSE)</f>
        <v/>
      </c>
      <c r="F69" s="86">
        <f>VLOOKUP(A69,Database!$A:$AS,MATCH($F$1,Database!$A$1:$AS$1,0),FALSE)</f>
        <v/>
      </c>
      <c r="G69" s="86">
        <f>VLOOKUP(A69,Database!$A:$AS,MATCH($G$1,Database!$A$1:$AS$1,0),FALSE)</f>
        <v/>
      </c>
      <c r="H69" s="86">
        <f>(((Table134567891011121314151617343[[#This Row],[ITA]]-VLOOKUP($U$1,A:B,2,))/VLOOKUP($U$1,A:B,2,))*100)+100</f>
        <v/>
      </c>
      <c r="I69" s="86">
        <f>(((Table134567891011121314151617343[[#This Row],[FRA]]-VLOOKUP($U$1,A:C,3,))/VLOOKUP($U$1,A:C,3,))*100)+100</f>
        <v/>
      </c>
      <c r="J69" s="86">
        <f>(((Table134567891011121314151617343[[#This Row],[DEU]]-VLOOKUP($U$1,A:D,4,))/VLOOKUP($U$1,A:D,4,))*100)+100</f>
        <v/>
      </c>
      <c r="K69" s="86">
        <f>(((Table134567891011121314151617343[[#This Row],[ESP]]-VLOOKUP($U$1,A:E,5,))/VLOOKUP($U$1,A:E,5,))*100)+100</f>
        <v/>
      </c>
      <c r="L69" s="86">
        <f>(((Table134567891011121314151617343[[#This Row],[EA19]]-VLOOKUP($U$1,A:F,6,))/VLOOKUP($U$1,A:F,6,))*100)+100</f>
        <v/>
      </c>
      <c r="M69" s="86">
        <f>(((Table134567891011121314151617343[[#This Row],[GBR]]-VLOOKUP($U$1,A:G,7,))/VLOOKUP($U$1,A:G,7,))*100)+100</f>
        <v/>
      </c>
      <c r="N69" s="86">
        <f>VLOOKUP(A69,Database!$A:$AS,MATCH($N$1,Database!$A$1:$AS$1,0),FALSE)</f>
        <v/>
      </c>
      <c r="O69" s="86">
        <f>(((Table134567891011121314151617343[[#This Row],[USA]]-VLOOKUP($U$1,A:N,14,))/VLOOKUP($U$1,A:N,14,))*100)+100</f>
        <v/>
      </c>
      <c r="P69" s="86">
        <f>VLOOKUP(A69,Database!$A:$AS,MATCH($P$1,Database!$A$1:$AS$1,0),FALSE)</f>
        <v/>
      </c>
      <c r="Q69" s="86">
        <f>(((Table134567891011121314151617343[[#This Row],[JPN]]-VLOOKUP($U$1,A:Q,16,))/VLOOKUP($U$1,A:Q,16,))*100)+100</f>
        <v/>
      </c>
    </row>
    <row r="70" customFormat="1" s="94">
      <c r="A70" s="22" t="n">
        <v>34943</v>
      </c>
      <c r="B70" s="86">
        <f>VLOOKUP(A70,Database!$A:$AS,MATCH($B$1,Database!$A$1:$AS$1,0),FALSE)</f>
        <v/>
      </c>
      <c r="C70" s="86">
        <f>VLOOKUP(A70,Database!$A:$AS,MATCH($C$1,Database!$A$1:$AS$1,0),FALSE)</f>
        <v/>
      </c>
      <c r="D70" s="86">
        <f>VLOOKUP(A70,Database!$A:$AS,MATCH($D$1,Database!$A$1:$AS$1,0),FALSE)</f>
        <v/>
      </c>
      <c r="E70" s="86">
        <f>VLOOKUP(A70,Database!$A:$AS,MATCH($E$1,Database!$A$1:$AS$1,0),FALSE)</f>
        <v/>
      </c>
      <c r="F70" s="86">
        <f>VLOOKUP(A70,Database!$A:$AS,MATCH($F$1,Database!$A$1:$AS$1,0),FALSE)</f>
        <v/>
      </c>
      <c r="G70" s="86">
        <f>VLOOKUP(A70,Database!$A:$AS,MATCH($G$1,Database!$A$1:$AS$1,0),FALSE)</f>
        <v/>
      </c>
      <c r="H70" s="86">
        <f>(((Table134567891011121314151617343[[#This Row],[ITA]]-VLOOKUP($U$1,A:B,2,))/VLOOKUP($U$1,A:B,2,))*100)+100</f>
        <v/>
      </c>
      <c r="I70" s="86">
        <f>(((Table134567891011121314151617343[[#This Row],[FRA]]-VLOOKUP($U$1,A:C,3,))/VLOOKUP($U$1,A:C,3,))*100)+100</f>
        <v/>
      </c>
      <c r="J70" s="86">
        <f>(((Table134567891011121314151617343[[#This Row],[DEU]]-VLOOKUP($U$1,A:D,4,))/VLOOKUP($U$1,A:D,4,))*100)+100</f>
        <v/>
      </c>
      <c r="K70" s="86">
        <f>(((Table134567891011121314151617343[[#This Row],[ESP]]-VLOOKUP($U$1,A:E,5,))/VLOOKUP($U$1,A:E,5,))*100)+100</f>
        <v/>
      </c>
      <c r="L70" s="86">
        <f>(((Table134567891011121314151617343[[#This Row],[EA19]]-VLOOKUP($U$1,A:F,6,))/VLOOKUP($U$1,A:F,6,))*100)+100</f>
        <v/>
      </c>
      <c r="M70" s="86">
        <f>(((Table134567891011121314151617343[[#This Row],[GBR]]-VLOOKUP($U$1,A:G,7,))/VLOOKUP($U$1,A:G,7,))*100)+100</f>
        <v/>
      </c>
      <c r="N70" s="86">
        <f>VLOOKUP(A70,Database!$A:$AS,MATCH($N$1,Database!$A$1:$AS$1,0),FALSE)</f>
        <v/>
      </c>
      <c r="O70" s="86">
        <f>(((Table134567891011121314151617343[[#This Row],[USA]]-VLOOKUP($U$1,A:N,14,))/VLOOKUP($U$1,A:N,14,))*100)+100</f>
        <v/>
      </c>
      <c r="P70" s="86">
        <f>VLOOKUP(A70,Database!$A:$AS,MATCH($P$1,Database!$A$1:$AS$1,0),FALSE)</f>
        <v/>
      </c>
      <c r="Q70" s="86">
        <f>(((Table134567891011121314151617343[[#This Row],[JPN]]-VLOOKUP($U$1,A:Q,16,))/VLOOKUP($U$1,A:Q,16,))*100)+100</f>
        <v/>
      </c>
    </row>
    <row r="71" customFormat="1" s="94">
      <c r="A71" s="22" t="n">
        <v>34973</v>
      </c>
      <c r="B71" s="86">
        <f>VLOOKUP(A71,Database!$A:$AS,MATCH($B$1,Database!$A$1:$AS$1,0),FALSE)</f>
        <v/>
      </c>
      <c r="C71" s="86">
        <f>VLOOKUP(A71,Database!$A:$AS,MATCH($C$1,Database!$A$1:$AS$1,0),FALSE)</f>
        <v/>
      </c>
      <c r="D71" s="86">
        <f>VLOOKUP(A71,Database!$A:$AS,MATCH($D$1,Database!$A$1:$AS$1,0),FALSE)</f>
        <v/>
      </c>
      <c r="E71" s="86">
        <f>VLOOKUP(A71,Database!$A:$AS,MATCH($E$1,Database!$A$1:$AS$1,0),FALSE)</f>
        <v/>
      </c>
      <c r="F71" s="86">
        <f>VLOOKUP(A71,Database!$A:$AS,MATCH($F$1,Database!$A$1:$AS$1,0),FALSE)</f>
        <v/>
      </c>
      <c r="G71" s="86">
        <f>VLOOKUP(A71,Database!$A:$AS,MATCH($G$1,Database!$A$1:$AS$1,0),FALSE)</f>
        <v/>
      </c>
      <c r="H71" s="86">
        <f>(((Table134567891011121314151617343[[#This Row],[ITA]]-VLOOKUP($U$1,A:B,2,))/VLOOKUP($U$1,A:B,2,))*100)+100</f>
        <v/>
      </c>
      <c r="I71" s="86">
        <f>(((Table134567891011121314151617343[[#This Row],[FRA]]-VLOOKUP($U$1,A:C,3,))/VLOOKUP($U$1,A:C,3,))*100)+100</f>
        <v/>
      </c>
      <c r="J71" s="86">
        <f>(((Table134567891011121314151617343[[#This Row],[DEU]]-VLOOKUP($U$1,A:D,4,))/VLOOKUP($U$1,A:D,4,))*100)+100</f>
        <v/>
      </c>
      <c r="K71" s="86">
        <f>(((Table134567891011121314151617343[[#This Row],[ESP]]-VLOOKUP($U$1,A:E,5,))/VLOOKUP($U$1,A:E,5,))*100)+100</f>
        <v/>
      </c>
      <c r="L71" s="86">
        <f>(((Table134567891011121314151617343[[#This Row],[EA19]]-VLOOKUP($U$1,A:F,6,))/VLOOKUP($U$1,A:F,6,))*100)+100</f>
        <v/>
      </c>
      <c r="M71" s="86">
        <f>(((Table134567891011121314151617343[[#This Row],[GBR]]-VLOOKUP($U$1,A:G,7,))/VLOOKUP($U$1,A:G,7,))*100)+100</f>
        <v/>
      </c>
      <c r="N71" s="86">
        <f>VLOOKUP(A71,Database!$A:$AS,MATCH($N$1,Database!$A$1:$AS$1,0),FALSE)</f>
        <v/>
      </c>
      <c r="O71" s="86">
        <f>(((Table134567891011121314151617343[[#This Row],[USA]]-VLOOKUP($U$1,A:N,14,))/VLOOKUP($U$1,A:N,14,))*100)+100</f>
        <v/>
      </c>
      <c r="P71" s="86">
        <f>VLOOKUP(A71,Database!$A:$AS,MATCH($P$1,Database!$A$1:$AS$1,0),FALSE)</f>
        <v/>
      </c>
      <c r="Q71" s="86">
        <f>(((Table134567891011121314151617343[[#This Row],[JPN]]-VLOOKUP($U$1,A:Q,16,))/VLOOKUP($U$1,A:Q,16,))*100)+100</f>
        <v/>
      </c>
    </row>
    <row r="72" customFormat="1" s="94">
      <c r="A72" s="22" t="n">
        <v>35004</v>
      </c>
      <c r="B72" s="86">
        <f>VLOOKUP(A72,Database!$A:$AS,MATCH($B$1,Database!$A$1:$AS$1,0),FALSE)</f>
        <v/>
      </c>
      <c r="C72" s="86">
        <f>VLOOKUP(A72,Database!$A:$AS,MATCH($C$1,Database!$A$1:$AS$1,0),FALSE)</f>
        <v/>
      </c>
      <c r="D72" s="86">
        <f>VLOOKUP(A72,Database!$A:$AS,MATCH($D$1,Database!$A$1:$AS$1,0),FALSE)</f>
        <v/>
      </c>
      <c r="E72" s="86">
        <f>VLOOKUP(A72,Database!$A:$AS,MATCH($E$1,Database!$A$1:$AS$1,0),FALSE)</f>
        <v/>
      </c>
      <c r="F72" s="86">
        <f>VLOOKUP(A72,Database!$A:$AS,MATCH($F$1,Database!$A$1:$AS$1,0),FALSE)</f>
        <v/>
      </c>
      <c r="G72" s="86">
        <f>VLOOKUP(A72,Database!$A:$AS,MATCH($G$1,Database!$A$1:$AS$1,0),FALSE)</f>
        <v/>
      </c>
      <c r="H72" s="86">
        <f>(((Table134567891011121314151617343[[#This Row],[ITA]]-VLOOKUP($U$1,A:B,2,))/VLOOKUP($U$1,A:B,2,))*100)+100</f>
        <v/>
      </c>
      <c r="I72" s="86">
        <f>(((Table134567891011121314151617343[[#This Row],[FRA]]-VLOOKUP($U$1,A:C,3,))/VLOOKUP($U$1,A:C,3,))*100)+100</f>
        <v/>
      </c>
      <c r="J72" s="86">
        <f>(((Table134567891011121314151617343[[#This Row],[DEU]]-VLOOKUP($U$1,A:D,4,))/VLOOKUP($U$1,A:D,4,))*100)+100</f>
        <v/>
      </c>
      <c r="K72" s="86">
        <f>(((Table134567891011121314151617343[[#This Row],[ESP]]-VLOOKUP($U$1,A:E,5,))/VLOOKUP($U$1,A:E,5,))*100)+100</f>
        <v/>
      </c>
      <c r="L72" s="86">
        <f>(((Table134567891011121314151617343[[#This Row],[EA19]]-VLOOKUP($U$1,A:F,6,))/VLOOKUP($U$1,A:F,6,))*100)+100</f>
        <v/>
      </c>
      <c r="M72" s="86">
        <f>(((Table134567891011121314151617343[[#This Row],[GBR]]-VLOOKUP($U$1,A:G,7,))/VLOOKUP($U$1,A:G,7,))*100)+100</f>
        <v/>
      </c>
      <c r="N72" s="86">
        <f>VLOOKUP(A72,Database!$A:$AS,MATCH($N$1,Database!$A$1:$AS$1,0),FALSE)</f>
        <v/>
      </c>
      <c r="O72" s="86">
        <f>(((Table134567891011121314151617343[[#This Row],[USA]]-VLOOKUP($U$1,A:N,14,))/VLOOKUP($U$1,A:N,14,))*100)+100</f>
        <v/>
      </c>
      <c r="P72" s="86">
        <f>VLOOKUP(A72,Database!$A:$AS,MATCH($P$1,Database!$A$1:$AS$1,0),FALSE)</f>
        <v/>
      </c>
      <c r="Q72" s="86">
        <f>(((Table134567891011121314151617343[[#This Row],[JPN]]-VLOOKUP($U$1,A:Q,16,))/VLOOKUP($U$1,A:Q,16,))*100)+100</f>
        <v/>
      </c>
    </row>
    <row r="73" customFormat="1" s="94">
      <c r="A73" s="22" t="n">
        <v>35034</v>
      </c>
      <c r="B73" s="86">
        <f>VLOOKUP(A73,Database!$A:$AS,MATCH($B$1,Database!$A$1:$AS$1,0),FALSE)</f>
        <v/>
      </c>
      <c r="C73" s="86">
        <f>VLOOKUP(A73,Database!$A:$AS,MATCH($C$1,Database!$A$1:$AS$1,0),FALSE)</f>
        <v/>
      </c>
      <c r="D73" s="86">
        <f>VLOOKUP(A73,Database!$A:$AS,MATCH($D$1,Database!$A$1:$AS$1,0),FALSE)</f>
        <v/>
      </c>
      <c r="E73" s="86">
        <f>VLOOKUP(A73,Database!$A:$AS,MATCH($E$1,Database!$A$1:$AS$1,0),FALSE)</f>
        <v/>
      </c>
      <c r="F73" s="86">
        <f>VLOOKUP(A73,Database!$A:$AS,MATCH($F$1,Database!$A$1:$AS$1,0),FALSE)</f>
        <v/>
      </c>
      <c r="G73" s="86">
        <f>VLOOKUP(A73,Database!$A:$AS,MATCH($G$1,Database!$A$1:$AS$1,0),FALSE)</f>
        <v/>
      </c>
      <c r="H73" s="86">
        <f>(((Table134567891011121314151617343[[#This Row],[ITA]]-VLOOKUP($U$1,A:B,2,))/VLOOKUP($U$1,A:B,2,))*100)+100</f>
        <v/>
      </c>
      <c r="I73" s="86">
        <f>(((Table134567891011121314151617343[[#This Row],[FRA]]-VLOOKUP($U$1,A:C,3,))/VLOOKUP($U$1,A:C,3,))*100)+100</f>
        <v/>
      </c>
      <c r="J73" s="86">
        <f>(((Table134567891011121314151617343[[#This Row],[DEU]]-VLOOKUP($U$1,A:D,4,))/VLOOKUP($U$1,A:D,4,))*100)+100</f>
        <v/>
      </c>
      <c r="K73" s="86">
        <f>(((Table134567891011121314151617343[[#This Row],[ESP]]-VLOOKUP($U$1,A:E,5,))/VLOOKUP($U$1,A:E,5,))*100)+100</f>
        <v/>
      </c>
      <c r="L73" s="86">
        <f>(((Table134567891011121314151617343[[#This Row],[EA19]]-VLOOKUP($U$1,A:F,6,))/VLOOKUP($U$1,A:F,6,))*100)+100</f>
        <v/>
      </c>
      <c r="M73" s="86">
        <f>(((Table134567891011121314151617343[[#This Row],[GBR]]-VLOOKUP($U$1,A:G,7,))/VLOOKUP($U$1,A:G,7,))*100)+100</f>
        <v/>
      </c>
      <c r="N73" s="86">
        <f>VLOOKUP(A73,Database!$A:$AS,MATCH($N$1,Database!$A$1:$AS$1,0),FALSE)</f>
        <v/>
      </c>
      <c r="O73" s="86">
        <f>(((Table134567891011121314151617343[[#This Row],[USA]]-VLOOKUP($U$1,A:N,14,))/VLOOKUP($U$1,A:N,14,))*100)+100</f>
        <v/>
      </c>
      <c r="P73" s="86">
        <f>VLOOKUP(A73,Database!$A:$AS,MATCH($P$1,Database!$A$1:$AS$1,0),FALSE)</f>
        <v/>
      </c>
      <c r="Q73" s="86">
        <f>(((Table134567891011121314151617343[[#This Row],[JPN]]-VLOOKUP($U$1,A:Q,16,))/VLOOKUP($U$1,A:Q,16,))*100)+100</f>
        <v/>
      </c>
    </row>
    <row r="74" customFormat="1" s="94">
      <c r="A74" s="22" t="n">
        <v>35065</v>
      </c>
      <c r="B74" s="86">
        <f>VLOOKUP(A74,Database!$A:$AS,MATCH($B$1,Database!$A$1:$AS$1,0),FALSE)</f>
        <v/>
      </c>
      <c r="C74" s="86">
        <f>VLOOKUP(A74,Database!$A:$AS,MATCH($C$1,Database!$A$1:$AS$1,0),FALSE)</f>
        <v/>
      </c>
      <c r="D74" s="86">
        <f>VLOOKUP(A74,Database!$A:$AS,MATCH($D$1,Database!$A$1:$AS$1,0),FALSE)</f>
        <v/>
      </c>
      <c r="E74" s="86">
        <f>VLOOKUP(A74,Database!$A:$AS,MATCH($E$1,Database!$A$1:$AS$1,0),FALSE)</f>
        <v/>
      </c>
      <c r="F74" s="86">
        <f>VLOOKUP(A74,Database!$A:$AS,MATCH($F$1,Database!$A$1:$AS$1,0),FALSE)</f>
        <v/>
      </c>
      <c r="G74" s="86">
        <f>VLOOKUP(A74,Database!$A:$AS,MATCH($G$1,Database!$A$1:$AS$1,0),FALSE)</f>
        <v/>
      </c>
      <c r="H74" s="86">
        <f>(((Table134567891011121314151617343[[#This Row],[ITA]]-VLOOKUP($U$1,A:B,2,))/VLOOKUP($U$1,A:B,2,))*100)+100</f>
        <v/>
      </c>
      <c r="I74" s="86">
        <f>(((Table134567891011121314151617343[[#This Row],[FRA]]-VLOOKUP($U$1,A:C,3,))/VLOOKUP($U$1,A:C,3,))*100)+100</f>
        <v/>
      </c>
      <c r="J74" s="86">
        <f>(((Table134567891011121314151617343[[#This Row],[DEU]]-VLOOKUP($U$1,A:D,4,))/VLOOKUP($U$1,A:D,4,))*100)+100</f>
        <v/>
      </c>
      <c r="K74" s="86">
        <f>(((Table134567891011121314151617343[[#This Row],[ESP]]-VLOOKUP($U$1,A:E,5,))/VLOOKUP($U$1,A:E,5,))*100)+100</f>
        <v/>
      </c>
      <c r="L74" s="86">
        <f>(((Table134567891011121314151617343[[#This Row],[EA19]]-VLOOKUP($U$1,A:F,6,))/VLOOKUP($U$1,A:F,6,))*100)+100</f>
        <v/>
      </c>
      <c r="M74" s="86">
        <f>(((Table134567891011121314151617343[[#This Row],[GBR]]-VLOOKUP($U$1,A:G,7,))/VLOOKUP($U$1,A:G,7,))*100)+100</f>
        <v/>
      </c>
      <c r="N74" s="86">
        <f>VLOOKUP(A74,Database!$A:$AS,MATCH($N$1,Database!$A$1:$AS$1,0),FALSE)</f>
        <v/>
      </c>
      <c r="O74" s="86">
        <f>(((Table134567891011121314151617343[[#This Row],[USA]]-VLOOKUP($U$1,A:N,14,))/VLOOKUP($U$1,A:N,14,))*100)+100</f>
        <v/>
      </c>
      <c r="P74" s="86">
        <f>VLOOKUP(A74,Database!$A:$AS,MATCH($P$1,Database!$A$1:$AS$1,0),FALSE)</f>
        <v/>
      </c>
      <c r="Q74" s="86">
        <f>(((Table134567891011121314151617343[[#This Row],[JPN]]-VLOOKUP($U$1,A:Q,16,))/VLOOKUP($U$1,A:Q,16,))*100)+100</f>
        <v/>
      </c>
    </row>
    <row r="75" customFormat="1" s="94">
      <c r="A75" s="22" t="n">
        <v>35096</v>
      </c>
      <c r="B75" s="86">
        <f>VLOOKUP(A75,Database!$A:$AS,MATCH($B$1,Database!$A$1:$AS$1,0),FALSE)</f>
        <v/>
      </c>
      <c r="C75" s="86">
        <f>VLOOKUP(A75,Database!$A:$AS,MATCH($C$1,Database!$A$1:$AS$1,0),FALSE)</f>
        <v/>
      </c>
      <c r="D75" s="86">
        <f>VLOOKUP(A75,Database!$A:$AS,MATCH($D$1,Database!$A$1:$AS$1,0),FALSE)</f>
        <v/>
      </c>
      <c r="E75" s="86">
        <f>VLOOKUP(A75,Database!$A:$AS,MATCH($E$1,Database!$A$1:$AS$1,0),FALSE)</f>
        <v/>
      </c>
      <c r="F75" s="86">
        <f>VLOOKUP(A75,Database!$A:$AS,MATCH($F$1,Database!$A$1:$AS$1,0),FALSE)</f>
        <v/>
      </c>
      <c r="G75" s="86">
        <f>VLOOKUP(A75,Database!$A:$AS,MATCH($G$1,Database!$A$1:$AS$1,0),FALSE)</f>
        <v/>
      </c>
      <c r="H75" s="86">
        <f>(((Table134567891011121314151617343[[#This Row],[ITA]]-VLOOKUP($U$1,A:B,2,))/VLOOKUP($U$1,A:B,2,))*100)+100</f>
        <v/>
      </c>
      <c r="I75" s="86">
        <f>(((Table134567891011121314151617343[[#This Row],[FRA]]-VLOOKUP($U$1,A:C,3,))/VLOOKUP($U$1,A:C,3,))*100)+100</f>
        <v/>
      </c>
      <c r="J75" s="86">
        <f>(((Table134567891011121314151617343[[#This Row],[DEU]]-VLOOKUP($U$1,A:D,4,))/VLOOKUP($U$1,A:D,4,))*100)+100</f>
        <v/>
      </c>
      <c r="K75" s="86">
        <f>(((Table134567891011121314151617343[[#This Row],[ESP]]-VLOOKUP($U$1,A:E,5,))/VLOOKUP($U$1,A:E,5,))*100)+100</f>
        <v/>
      </c>
      <c r="L75" s="86">
        <f>(((Table134567891011121314151617343[[#This Row],[EA19]]-VLOOKUP($U$1,A:F,6,))/VLOOKUP($U$1,A:F,6,))*100)+100</f>
        <v/>
      </c>
      <c r="M75" s="86">
        <f>(((Table134567891011121314151617343[[#This Row],[GBR]]-VLOOKUP($U$1,A:G,7,))/VLOOKUP($U$1,A:G,7,))*100)+100</f>
        <v/>
      </c>
      <c r="N75" s="86">
        <f>VLOOKUP(A75,Database!$A:$AS,MATCH($N$1,Database!$A$1:$AS$1,0),FALSE)</f>
        <v/>
      </c>
      <c r="O75" s="86">
        <f>(((Table134567891011121314151617343[[#This Row],[USA]]-VLOOKUP($U$1,A:N,14,))/VLOOKUP($U$1,A:N,14,))*100)+100</f>
        <v/>
      </c>
      <c r="P75" s="86">
        <f>VLOOKUP(A75,Database!$A:$AS,MATCH($P$1,Database!$A$1:$AS$1,0),FALSE)</f>
        <v/>
      </c>
      <c r="Q75" s="86">
        <f>(((Table134567891011121314151617343[[#This Row],[JPN]]-VLOOKUP($U$1,A:Q,16,))/VLOOKUP($U$1,A:Q,16,))*100)+100</f>
        <v/>
      </c>
    </row>
    <row r="76" customFormat="1" s="94">
      <c r="A76" s="22" t="n">
        <v>35125</v>
      </c>
      <c r="B76" s="86">
        <f>VLOOKUP(A76,Database!$A:$AS,MATCH($B$1,Database!$A$1:$AS$1,0),FALSE)</f>
        <v/>
      </c>
      <c r="C76" s="86">
        <f>VLOOKUP(A76,Database!$A:$AS,MATCH($C$1,Database!$A$1:$AS$1,0),FALSE)</f>
        <v/>
      </c>
      <c r="D76" s="86">
        <f>VLOOKUP(A76,Database!$A:$AS,MATCH($D$1,Database!$A$1:$AS$1,0),FALSE)</f>
        <v/>
      </c>
      <c r="E76" s="86">
        <f>VLOOKUP(A76,Database!$A:$AS,MATCH($E$1,Database!$A$1:$AS$1,0),FALSE)</f>
        <v/>
      </c>
      <c r="F76" s="86">
        <f>VLOOKUP(A76,Database!$A:$AS,MATCH($F$1,Database!$A$1:$AS$1,0),FALSE)</f>
        <v/>
      </c>
      <c r="G76" s="86">
        <f>VLOOKUP(A76,Database!$A:$AS,MATCH($G$1,Database!$A$1:$AS$1,0),FALSE)</f>
        <v/>
      </c>
      <c r="H76" s="86">
        <f>(((Table134567891011121314151617343[[#This Row],[ITA]]-VLOOKUP($U$1,A:B,2,))/VLOOKUP($U$1,A:B,2,))*100)+100</f>
        <v/>
      </c>
      <c r="I76" s="86">
        <f>(((Table134567891011121314151617343[[#This Row],[FRA]]-VLOOKUP($U$1,A:C,3,))/VLOOKUP($U$1,A:C,3,))*100)+100</f>
        <v/>
      </c>
      <c r="J76" s="86">
        <f>(((Table134567891011121314151617343[[#This Row],[DEU]]-VLOOKUP($U$1,A:D,4,))/VLOOKUP($U$1,A:D,4,))*100)+100</f>
        <v/>
      </c>
      <c r="K76" s="86">
        <f>(((Table134567891011121314151617343[[#This Row],[ESP]]-VLOOKUP($U$1,A:E,5,))/VLOOKUP($U$1,A:E,5,))*100)+100</f>
        <v/>
      </c>
      <c r="L76" s="86">
        <f>(((Table134567891011121314151617343[[#This Row],[EA19]]-VLOOKUP($U$1,A:F,6,))/VLOOKUP($U$1,A:F,6,))*100)+100</f>
        <v/>
      </c>
      <c r="M76" s="86">
        <f>(((Table134567891011121314151617343[[#This Row],[GBR]]-VLOOKUP($U$1,A:G,7,))/VLOOKUP($U$1,A:G,7,))*100)+100</f>
        <v/>
      </c>
      <c r="N76" s="86">
        <f>VLOOKUP(A76,Database!$A:$AS,MATCH($N$1,Database!$A$1:$AS$1,0),FALSE)</f>
        <v/>
      </c>
      <c r="O76" s="86">
        <f>(((Table134567891011121314151617343[[#This Row],[USA]]-VLOOKUP($U$1,A:N,14,))/VLOOKUP($U$1,A:N,14,))*100)+100</f>
        <v/>
      </c>
      <c r="P76" s="86">
        <f>VLOOKUP(A76,Database!$A:$AS,MATCH($P$1,Database!$A$1:$AS$1,0),FALSE)</f>
        <v/>
      </c>
      <c r="Q76" s="86">
        <f>(((Table134567891011121314151617343[[#This Row],[JPN]]-VLOOKUP($U$1,A:Q,16,))/VLOOKUP($U$1,A:Q,16,))*100)+100</f>
        <v/>
      </c>
    </row>
    <row r="77" customFormat="1" s="94">
      <c r="A77" s="22" t="n">
        <v>35156</v>
      </c>
      <c r="B77" s="86">
        <f>VLOOKUP(A77,Database!$A:$AS,MATCH($B$1,Database!$A$1:$AS$1,0),FALSE)</f>
        <v/>
      </c>
      <c r="C77" s="86">
        <f>VLOOKUP(A77,Database!$A:$AS,MATCH($C$1,Database!$A$1:$AS$1,0),FALSE)</f>
        <v/>
      </c>
      <c r="D77" s="86">
        <f>VLOOKUP(A77,Database!$A:$AS,MATCH($D$1,Database!$A$1:$AS$1,0),FALSE)</f>
        <v/>
      </c>
      <c r="E77" s="86">
        <f>VLOOKUP(A77,Database!$A:$AS,MATCH($E$1,Database!$A$1:$AS$1,0),FALSE)</f>
        <v/>
      </c>
      <c r="F77" s="86">
        <f>VLOOKUP(A77,Database!$A:$AS,MATCH($F$1,Database!$A$1:$AS$1,0),FALSE)</f>
        <v/>
      </c>
      <c r="G77" s="86">
        <f>VLOOKUP(A77,Database!$A:$AS,MATCH($G$1,Database!$A$1:$AS$1,0),FALSE)</f>
        <v/>
      </c>
      <c r="H77" s="86">
        <f>(((Table134567891011121314151617343[[#This Row],[ITA]]-VLOOKUP($U$1,A:B,2,))/VLOOKUP($U$1,A:B,2,))*100)+100</f>
        <v/>
      </c>
      <c r="I77" s="86">
        <f>(((Table134567891011121314151617343[[#This Row],[FRA]]-VLOOKUP($U$1,A:C,3,))/VLOOKUP($U$1,A:C,3,))*100)+100</f>
        <v/>
      </c>
      <c r="J77" s="86">
        <f>(((Table134567891011121314151617343[[#This Row],[DEU]]-VLOOKUP($U$1,A:D,4,))/VLOOKUP($U$1,A:D,4,))*100)+100</f>
        <v/>
      </c>
      <c r="K77" s="86">
        <f>(((Table134567891011121314151617343[[#This Row],[ESP]]-VLOOKUP($U$1,A:E,5,))/VLOOKUP($U$1,A:E,5,))*100)+100</f>
        <v/>
      </c>
      <c r="L77" s="86">
        <f>(((Table134567891011121314151617343[[#This Row],[EA19]]-VLOOKUP($U$1,A:F,6,))/VLOOKUP($U$1,A:F,6,))*100)+100</f>
        <v/>
      </c>
      <c r="M77" s="86">
        <f>(((Table134567891011121314151617343[[#This Row],[GBR]]-VLOOKUP($U$1,A:G,7,))/VLOOKUP($U$1,A:G,7,))*100)+100</f>
        <v/>
      </c>
      <c r="N77" s="86">
        <f>VLOOKUP(A77,Database!$A:$AS,MATCH($N$1,Database!$A$1:$AS$1,0),FALSE)</f>
        <v/>
      </c>
      <c r="O77" s="86">
        <f>(((Table134567891011121314151617343[[#This Row],[USA]]-VLOOKUP($U$1,A:N,14,))/VLOOKUP($U$1,A:N,14,))*100)+100</f>
        <v/>
      </c>
      <c r="P77" s="86">
        <f>VLOOKUP(A77,Database!$A:$AS,MATCH($P$1,Database!$A$1:$AS$1,0),FALSE)</f>
        <v/>
      </c>
      <c r="Q77" s="86">
        <f>(((Table134567891011121314151617343[[#This Row],[JPN]]-VLOOKUP($U$1,A:Q,16,))/VLOOKUP($U$1,A:Q,16,))*100)+100</f>
        <v/>
      </c>
    </row>
    <row r="78" customFormat="1" s="94">
      <c r="A78" s="22" t="n">
        <v>35186</v>
      </c>
      <c r="B78" s="86">
        <f>VLOOKUP(A78,Database!$A:$AS,MATCH($B$1,Database!$A$1:$AS$1,0),FALSE)</f>
        <v/>
      </c>
      <c r="C78" s="86">
        <f>VLOOKUP(A78,Database!$A:$AS,MATCH($C$1,Database!$A$1:$AS$1,0),FALSE)</f>
        <v/>
      </c>
      <c r="D78" s="86">
        <f>VLOOKUP(A78,Database!$A:$AS,MATCH($D$1,Database!$A$1:$AS$1,0),FALSE)</f>
        <v/>
      </c>
      <c r="E78" s="86">
        <f>VLOOKUP(A78,Database!$A:$AS,MATCH($E$1,Database!$A$1:$AS$1,0),FALSE)</f>
        <v/>
      </c>
      <c r="F78" s="86">
        <f>VLOOKUP(A78,Database!$A:$AS,MATCH($F$1,Database!$A$1:$AS$1,0),FALSE)</f>
        <v/>
      </c>
      <c r="G78" s="86">
        <f>VLOOKUP(A78,Database!$A:$AS,MATCH($G$1,Database!$A$1:$AS$1,0),FALSE)</f>
        <v/>
      </c>
      <c r="H78" s="86">
        <f>(((Table134567891011121314151617343[[#This Row],[ITA]]-VLOOKUP($U$1,A:B,2,))/VLOOKUP($U$1,A:B,2,))*100)+100</f>
        <v/>
      </c>
      <c r="I78" s="86">
        <f>(((Table134567891011121314151617343[[#This Row],[FRA]]-VLOOKUP($U$1,A:C,3,))/VLOOKUP($U$1,A:C,3,))*100)+100</f>
        <v/>
      </c>
      <c r="J78" s="86">
        <f>(((Table134567891011121314151617343[[#This Row],[DEU]]-VLOOKUP($U$1,A:D,4,))/VLOOKUP($U$1,A:D,4,))*100)+100</f>
        <v/>
      </c>
      <c r="K78" s="86">
        <f>(((Table134567891011121314151617343[[#This Row],[ESP]]-VLOOKUP($U$1,A:E,5,))/VLOOKUP($U$1,A:E,5,))*100)+100</f>
        <v/>
      </c>
      <c r="L78" s="86">
        <f>(((Table134567891011121314151617343[[#This Row],[EA19]]-VLOOKUP($U$1,A:F,6,))/VLOOKUP($U$1,A:F,6,))*100)+100</f>
        <v/>
      </c>
      <c r="M78" s="86">
        <f>(((Table134567891011121314151617343[[#This Row],[GBR]]-VLOOKUP($U$1,A:G,7,))/VLOOKUP($U$1,A:G,7,))*100)+100</f>
        <v/>
      </c>
      <c r="N78" s="86">
        <f>VLOOKUP(A78,Database!$A:$AS,MATCH($N$1,Database!$A$1:$AS$1,0),FALSE)</f>
        <v/>
      </c>
      <c r="O78" s="86">
        <f>(((Table134567891011121314151617343[[#This Row],[USA]]-VLOOKUP($U$1,A:N,14,))/VLOOKUP($U$1,A:N,14,))*100)+100</f>
        <v/>
      </c>
      <c r="P78" s="86">
        <f>VLOOKUP(A78,Database!$A:$AS,MATCH($P$1,Database!$A$1:$AS$1,0),FALSE)</f>
        <v/>
      </c>
      <c r="Q78" s="86">
        <f>(((Table134567891011121314151617343[[#This Row],[JPN]]-VLOOKUP($U$1,A:Q,16,))/VLOOKUP($U$1,A:Q,16,))*100)+100</f>
        <v/>
      </c>
    </row>
    <row r="79" customFormat="1" s="94">
      <c r="A79" s="22" t="n">
        <v>35217</v>
      </c>
      <c r="B79" s="86">
        <f>VLOOKUP(A79,Database!$A:$AS,MATCH($B$1,Database!$A$1:$AS$1,0),FALSE)</f>
        <v/>
      </c>
      <c r="C79" s="86">
        <f>VLOOKUP(A79,Database!$A:$AS,MATCH($C$1,Database!$A$1:$AS$1,0),FALSE)</f>
        <v/>
      </c>
      <c r="D79" s="86">
        <f>VLOOKUP(A79,Database!$A:$AS,MATCH($D$1,Database!$A$1:$AS$1,0),FALSE)</f>
        <v/>
      </c>
      <c r="E79" s="86">
        <f>VLOOKUP(A79,Database!$A:$AS,MATCH($E$1,Database!$A$1:$AS$1,0),FALSE)</f>
        <v/>
      </c>
      <c r="F79" s="86">
        <f>VLOOKUP(A79,Database!$A:$AS,MATCH($F$1,Database!$A$1:$AS$1,0),FALSE)</f>
        <v/>
      </c>
      <c r="G79" s="86">
        <f>VLOOKUP(A79,Database!$A:$AS,MATCH($G$1,Database!$A$1:$AS$1,0),FALSE)</f>
        <v/>
      </c>
      <c r="H79" s="86">
        <f>(((Table134567891011121314151617343[[#This Row],[ITA]]-VLOOKUP($U$1,A:B,2,))/VLOOKUP($U$1,A:B,2,))*100)+100</f>
        <v/>
      </c>
      <c r="I79" s="86">
        <f>(((Table134567891011121314151617343[[#This Row],[FRA]]-VLOOKUP($U$1,A:C,3,))/VLOOKUP($U$1,A:C,3,))*100)+100</f>
        <v/>
      </c>
      <c r="J79" s="86">
        <f>(((Table134567891011121314151617343[[#This Row],[DEU]]-VLOOKUP($U$1,A:D,4,))/VLOOKUP($U$1,A:D,4,))*100)+100</f>
        <v/>
      </c>
      <c r="K79" s="86">
        <f>(((Table134567891011121314151617343[[#This Row],[ESP]]-VLOOKUP($U$1,A:E,5,))/VLOOKUP($U$1,A:E,5,))*100)+100</f>
        <v/>
      </c>
      <c r="L79" s="86">
        <f>(((Table134567891011121314151617343[[#This Row],[EA19]]-VLOOKUP($U$1,A:F,6,))/VLOOKUP($U$1,A:F,6,))*100)+100</f>
        <v/>
      </c>
      <c r="M79" s="86">
        <f>(((Table134567891011121314151617343[[#This Row],[GBR]]-VLOOKUP($U$1,A:G,7,))/VLOOKUP($U$1,A:G,7,))*100)+100</f>
        <v/>
      </c>
      <c r="N79" s="86">
        <f>VLOOKUP(A79,Database!$A:$AS,MATCH($N$1,Database!$A$1:$AS$1,0),FALSE)</f>
        <v/>
      </c>
      <c r="O79" s="86">
        <f>(((Table134567891011121314151617343[[#This Row],[USA]]-VLOOKUP($U$1,A:N,14,))/VLOOKUP($U$1,A:N,14,))*100)+100</f>
        <v/>
      </c>
      <c r="P79" s="86">
        <f>VLOOKUP(A79,Database!$A:$AS,MATCH($P$1,Database!$A$1:$AS$1,0),FALSE)</f>
        <v/>
      </c>
      <c r="Q79" s="86">
        <f>(((Table134567891011121314151617343[[#This Row],[JPN]]-VLOOKUP($U$1,A:Q,16,))/VLOOKUP($U$1,A:Q,16,))*100)+100</f>
        <v/>
      </c>
    </row>
    <row r="80" customFormat="1" s="94">
      <c r="A80" s="22" t="n">
        <v>35247</v>
      </c>
      <c r="B80" s="86">
        <f>VLOOKUP(A80,Database!$A:$AS,MATCH($B$1,Database!$A$1:$AS$1,0),FALSE)</f>
        <v/>
      </c>
      <c r="C80" s="86">
        <f>VLOOKUP(A80,Database!$A:$AS,MATCH($C$1,Database!$A$1:$AS$1,0),FALSE)</f>
        <v/>
      </c>
      <c r="D80" s="86">
        <f>VLOOKUP(A80,Database!$A:$AS,MATCH($D$1,Database!$A$1:$AS$1,0),FALSE)</f>
        <v/>
      </c>
      <c r="E80" s="86">
        <f>VLOOKUP(A80,Database!$A:$AS,MATCH($E$1,Database!$A$1:$AS$1,0),FALSE)</f>
        <v/>
      </c>
      <c r="F80" s="86">
        <f>VLOOKUP(A80,Database!$A:$AS,MATCH($F$1,Database!$A$1:$AS$1,0),FALSE)</f>
        <v/>
      </c>
      <c r="G80" s="86">
        <f>VLOOKUP(A80,Database!$A:$AS,MATCH($G$1,Database!$A$1:$AS$1,0),FALSE)</f>
        <v/>
      </c>
      <c r="H80" s="86">
        <f>(((Table134567891011121314151617343[[#This Row],[ITA]]-VLOOKUP($U$1,A:B,2,))/VLOOKUP($U$1,A:B,2,))*100)+100</f>
        <v/>
      </c>
      <c r="I80" s="86">
        <f>(((Table134567891011121314151617343[[#This Row],[FRA]]-VLOOKUP($U$1,A:C,3,))/VLOOKUP($U$1,A:C,3,))*100)+100</f>
        <v/>
      </c>
      <c r="J80" s="86">
        <f>(((Table134567891011121314151617343[[#This Row],[DEU]]-VLOOKUP($U$1,A:D,4,))/VLOOKUP($U$1,A:D,4,))*100)+100</f>
        <v/>
      </c>
      <c r="K80" s="86">
        <f>(((Table134567891011121314151617343[[#This Row],[ESP]]-VLOOKUP($U$1,A:E,5,))/VLOOKUP($U$1,A:E,5,))*100)+100</f>
        <v/>
      </c>
      <c r="L80" s="86">
        <f>(((Table134567891011121314151617343[[#This Row],[EA19]]-VLOOKUP($U$1,A:F,6,))/VLOOKUP($U$1,A:F,6,))*100)+100</f>
        <v/>
      </c>
      <c r="M80" s="86">
        <f>(((Table134567891011121314151617343[[#This Row],[GBR]]-VLOOKUP($U$1,A:G,7,))/VLOOKUP($U$1,A:G,7,))*100)+100</f>
        <v/>
      </c>
      <c r="N80" s="86">
        <f>VLOOKUP(A80,Database!$A:$AS,MATCH($N$1,Database!$A$1:$AS$1,0),FALSE)</f>
        <v/>
      </c>
      <c r="O80" s="86">
        <f>(((Table134567891011121314151617343[[#This Row],[USA]]-VLOOKUP($U$1,A:N,14,))/VLOOKUP($U$1,A:N,14,))*100)+100</f>
        <v/>
      </c>
      <c r="P80" s="86">
        <f>VLOOKUP(A80,Database!$A:$AS,MATCH($P$1,Database!$A$1:$AS$1,0),FALSE)</f>
        <v/>
      </c>
      <c r="Q80" s="86">
        <f>(((Table134567891011121314151617343[[#This Row],[JPN]]-VLOOKUP($U$1,A:Q,16,))/VLOOKUP($U$1,A:Q,16,))*100)+100</f>
        <v/>
      </c>
    </row>
    <row r="81" customFormat="1" s="94">
      <c r="A81" s="22" t="n">
        <v>35278</v>
      </c>
      <c r="B81" s="86">
        <f>VLOOKUP(A81,Database!$A:$AS,MATCH($B$1,Database!$A$1:$AS$1,0),FALSE)</f>
        <v/>
      </c>
      <c r="C81" s="86">
        <f>VLOOKUP(A81,Database!$A:$AS,MATCH($C$1,Database!$A$1:$AS$1,0),FALSE)</f>
        <v/>
      </c>
      <c r="D81" s="86">
        <f>VLOOKUP(A81,Database!$A:$AS,MATCH($D$1,Database!$A$1:$AS$1,0),FALSE)</f>
        <v/>
      </c>
      <c r="E81" s="86">
        <f>VLOOKUP(A81,Database!$A:$AS,MATCH($E$1,Database!$A$1:$AS$1,0),FALSE)</f>
        <v/>
      </c>
      <c r="F81" s="86">
        <f>VLOOKUP(A81,Database!$A:$AS,MATCH($F$1,Database!$A$1:$AS$1,0),FALSE)</f>
        <v/>
      </c>
      <c r="G81" s="86">
        <f>VLOOKUP(A81,Database!$A:$AS,MATCH($G$1,Database!$A$1:$AS$1,0),FALSE)</f>
        <v/>
      </c>
      <c r="H81" s="86">
        <f>(((Table134567891011121314151617343[[#This Row],[ITA]]-VLOOKUP($U$1,A:B,2,))/VLOOKUP($U$1,A:B,2,))*100)+100</f>
        <v/>
      </c>
      <c r="I81" s="86">
        <f>(((Table134567891011121314151617343[[#This Row],[FRA]]-VLOOKUP($U$1,A:C,3,))/VLOOKUP($U$1,A:C,3,))*100)+100</f>
        <v/>
      </c>
      <c r="J81" s="86">
        <f>(((Table134567891011121314151617343[[#This Row],[DEU]]-VLOOKUP($U$1,A:D,4,))/VLOOKUP($U$1,A:D,4,))*100)+100</f>
        <v/>
      </c>
      <c r="K81" s="86">
        <f>(((Table134567891011121314151617343[[#This Row],[ESP]]-VLOOKUP($U$1,A:E,5,))/VLOOKUP($U$1,A:E,5,))*100)+100</f>
        <v/>
      </c>
      <c r="L81" s="86">
        <f>(((Table134567891011121314151617343[[#This Row],[EA19]]-VLOOKUP($U$1,A:F,6,))/VLOOKUP($U$1,A:F,6,))*100)+100</f>
        <v/>
      </c>
      <c r="M81" s="86">
        <f>(((Table134567891011121314151617343[[#This Row],[GBR]]-VLOOKUP($U$1,A:G,7,))/VLOOKUP($U$1,A:G,7,))*100)+100</f>
        <v/>
      </c>
      <c r="N81" s="86">
        <f>VLOOKUP(A81,Database!$A:$AS,MATCH($N$1,Database!$A$1:$AS$1,0),FALSE)</f>
        <v/>
      </c>
      <c r="O81" s="86">
        <f>(((Table134567891011121314151617343[[#This Row],[USA]]-VLOOKUP($U$1,A:N,14,))/VLOOKUP($U$1,A:N,14,))*100)+100</f>
        <v/>
      </c>
      <c r="P81" s="86">
        <f>VLOOKUP(A81,Database!$A:$AS,MATCH($P$1,Database!$A$1:$AS$1,0),FALSE)</f>
        <v/>
      </c>
      <c r="Q81" s="86">
        <f>(((Table134567891011121314151617343[[#This Row],[JPN]]-VLOOKUP($U$1,A:Q,16,))/VLOOKUP($U$1,A:Q,16,))*100)+100</f>
        <v/>
      </c>
    </row>
    <row r="82" customFormat="1" s="94">
      <c r="A82" s="22" t="n">
        <v>35309</v>
      </c>
      <c r="B82" s="86">
        <f>VLOOKUP(A82,Database!$A:$AS,MATCH($B$1,Database!$A$1:$AS$1,0),FALSE)</f>
        <v/>
      </c>
      <c r="C82" s="86">
        <f>VLOOKUP(A82,Database!$A:$AS,MATCH($C$1,Database!$A$1:$AS$1,0),FALSE)</f>
        <v/>
      </c>
      <c r="D82" s="86">
        <f>VLOOKUP(A82,Database!$A:$AS,MATCH($D$1,Database!$A$1:$AS$1,0),FALSE)</f>
        <v/>
      </c>
      <c r="E82" s="86">
        <f>VLOOKUP(A82,Database!$A:$AS,MATCH($E$1,Database!$A$1:$AS$1,0),FALSE)</f>
        <v/>
      </c>
      <c r="F82" s="86">
        <f>VLOOKUP(A82,Database!$A:$AS,MATCH($F$1,Database!$A$1:$AS$1,0),FALSE)</f>
        <v/>
      </c>
      <c r="G82" s="86">
        <f>VLOOKUP(A82,Database!$A:$AS,MATCH($G$1,Database!$A$1:$AS$1,0),FALSE)</f>
        <v/>
      </c>
      <c r="H82" s="86">
        <f>(((Table134567891011121314151617343[[#This Row],[ITA]]-VLOOKUP($U$1,A:B,2,))/VLOOKUP($U$1,A:B,2,))*100)+100</f>
        <v/>
      </c>
      <c r="I82" s="86">
        <f>(((Table134567891011121314151617343[[#This Row],[FRA]]-VLOOKUP($U$1,A:C,3,))/VLOOKUP($U$1,A:C,3,))*100)+100</f>
        <v/>
      </c>
      <c r="J82" s="86">
        <f>(((Table134567891011121314151617343[[#This Row],[DEU]]-VLOOKUP($U$1,A:D,4,))/VLOOKUP($U$1,A:D,4,))*100)+100</f>
        <v/>
      </c>
      <c r="K82" s="86">
        <f>(((Table134567891011121314151617343[[#This Row],[ESP]]-VLOOKUP($U$1,A:E,5,))/VLOOKUP($U$1,A:E,5,))*100)+100</f>
        <v/>
      </c>
      <c r="L82" s="86">
        <f>(((Table134567891011121314151617343[[#This Row],[EA19]]-VLOOKUP($U$1,A:F,6,))/VLOOKUP($U$1,A:F,6,))*100)+100</f>
        <v/>
      </c>
      <c r="M82" s="86">
        <f>(((Table134567891011121314151617343[[#This Row],[GBR]]-VLOOKUP($U$1,A:G,7,))/VLOOKUP($U$1,A:G,7,))*100)+100</f>
        <v/>
      </c>
      <c r="N82" s="86">
        <f>VLOOKUP(A82,Database!$A:$AS,MATCH($N$1,Database!$A$1:$AS$1,0),FALSE)</f>
        <v/>
      </c>
      <c r="O82" s="86">
        <f>(((Table134567891011121314151617343[[#This Row],[USA]]-VLOOKUP($U$1,A:N,14,))/VLOOKUP($U$1,A:N,14,))*100)+100</f>
        <v/>
      </c>
      <c r="P82" s="86">
        <f>VLOOKUP(A82,Database!$A:$AS,MATCH($P$1,Database!$A$1:$AS$1,0),FALSE)</f>
        <v/>
      </c>
      <c r="Q82" s="86">
        <f>(((Table134567891011121314151617343[[#This Row],[JPN]]-VLOOKUP($U$1,A:Q,16,))/VLOOKUP($U$1,A:Q,16,))*100)+100</f>
        <v/>
      </c>
    </row>
    <row r="83" customFormat="1" s="94">
      <c r="A83" s="22" t="n">
        <v>35339</v>
      </c>
      <c r="B83" s="86">
        <f>VLOOKUP(A83,Database!$A:$AS,MATCH($B$1,Database!$A$1:$AS$1,0),FALSE)</f>
        <v/>
      </c>
      <c r="C83" s="86">
        <f>VLOOKUP(A83,Database!$A:$AS,MATCH($C$1,Database!$A$1:$AS$1,0),FALSE)</f>
        <v/>
      </c>
      <c r="D83" s="86">
        <f>VLOOKUP(A83,Database!$A:$AS,MATCH($D$1,Database!$A$1:$AS$1,0),FALSE)</f>
        <v/>
      </c>
      <c r="E83" s="86">
        <f>VLOOKUP(A83,Database!$A:$AS,MATCH($E$1,Database!$A$1:$AS$1,0),FALSE)</f>
        <v/>
      </c>
      <c r="F83" s="86">
        <f>VLOOKUP(A83,Database!$A:$AS,MATCH($F$1,Database!$A$1:$AS$1,0),FALSE)</f>
        <v/>
      </c>
      <c r="G83" s="86">
        <f>VLOOKUP(A83,Database!$A:$AS,MATCH($G$1,Database!$A$1:$AS$1,0),FALSE)</f>
        <v/>
      </c>
      <c r="H83" s="86">
        <f>(((Table134567891011121314151617343[[#This Row],[ITA]]-VLOOKUP($U$1,A:B,2,))/VLOOKUP($U$1,A:B,2,))*100)+100</f>
        <v/>
      </c>
      <c r="I83" s="86">
        <f>(((Table134567891011121314151617343[[#This Row],[FRA]]-VLOOKUP($U$1,A:C,3,))/VLOOKUP($U$1,A:C,3,))*100)+100</f>
        <v/>
      </c>
      <c r="J83" s="86">
        <f>(((Table134567891011121314151617343[[#This Row],[DEU]]-VLOOKUP($U$1,A:D,4,))/VLOOKUP($U$1,A:D,4,))*100)+100</f>
        <v/>
      </c>
      <c r="K83" s="86">
        <f>(((Table134567891011121314151617343[[#This Row],[ESP]]-VLOOKUP($U$1,A:E,5,))/VLOOKUP($U$1,A:E,5,))*100)+100</f>
        <v/>
      </c>
      <c r="L83" s="86">
        <f>(((Table134567891011121314151617343[[#This Row],[EA19]]-VLOOKUP($U$1,A:F,6,))/VLOOKUP($U$1,A:F,6,))*100)+100</f>
        <v/>
      </c>
      <c r="M83" s="86">
        <f>(((Table134567891011121314151617343[[#This Row],[GBR]]-VLOOKUP($U$1,A:G,7,))/VLOOKUP($U$1,A:G,7,))*100)+100</f>
        <v/>
      </c>
      <c r="N83" s="86">
        <f>VLOOKUP(A83,Database!$A:$AS,MATCH($N$1,Database!$A$1:$AS$1,0),FALSE)</f>
        <v/>
      </c>
      <c r="O83" s="86">
        <f>(((Table134567891011121314151617343[[#This Row],[USA]]-VLOOKUP($U$1,A:N,14,))/VLOOKUP($U$1,A:N,14,))*100)+100</f>
        <v/>
      </c>
      <c r="P83" s="86">
        <f>VLOOKUP(A83,Database!$A:$AS,MATCH($P$1,Database!$A$1:$AS$1,0),FALSE)</f>
        <v/>
      </c>
      <c r="Q83" s="86">
        <f>(((Table134567891011121314151617343[[#This Row],[JPN]]-VLOOKUP($U$1,A:Q,16,))/VLOOKUP($U$1,A:Q,16,))*100)+100</f>
        <v/>
      </c>
    </row>
    <row r="84" customFormat="1" s="94">
      <c r="A84" s="22" t="n">
        <v>35370</v>
      </c>
      <c r="B84" s="86">
        <f>VLOOKUP(A84,Database!$A:$AS,MATCH($B$1,Database!$A$1:$AS$1,0),FALSE)</f>
        <v/>
      </c>
      <c r="C84" s="86">
        <f>VLOOKUP(A84,Database!$A:$AS,MATCH($C$1,Database!$A$1:$AS$1,0),FALSE)</f>
        <v/>
      </c>
      <c r="D84" s="86">
        <f>VLOOKUP(A84,Database!$A:$AS,MATCH($D$1,Database!$A$1:$AS$1,0),FALSE)</f>
        <v/>
      </c>
      <c r="E84" s="86">
        <f>VLOOKUP(A84,Database!$A:$AS,MATCH($E$1,Database!$A$1:$AS$1,0),FALSE)</f>
        <v/>
      </c>
      <c r="F84" s="86">
        <f>VLOOKUP(A84,Database!$A:$AS,MATCH($F$1,Database!$A$1:$AS$1,0),FALSE)</f>
        <v/>
      </c>
      <c r="G84" s="86">
        <f>VLOOKUP(A84,Database!$A:$AS,MATCH($G$1,Database!$A$1:$AS$1,0),FALSE)</f>
        <v/>
      </c>
      <c r="H84" s="86">
        <f>(((Table134567891011121314151617343[[#This Row],[ITA]]-VLOOKUP($U$1,A:B,2,))/VLOOKUP($U$1,A:B,2,))*100)+100</f>
        <v/>
      </c>
      <c r="I84" s="86">
        <f>(((Table134567891011121314151617343[[#This Row],[FRA]]-VLOOKUP($U$1,A:C,3,))/VLOOKUP($U$1,A:C,3,))*100)+100</f>
        <v/>
      </c>
      <c r="J84" s="86">
        <f>(((Table134567891011121314151617343[[#This Row],[DEU]]-VLOOKUP($U$1,A:D,4,))/VLOOKUP($U$1,A:D,4,))*100)+100</f>
        <v/>
      </c>
      <c r="K84" s="86">
        <f>(((Table134567891011121314151617343[[#This Row],[ESP]]-VLOOKUP($U$1,A:E,5,))/VLOOKUP($U$1,A:E,5,))*100)+100</f>
        <v/>
      </c>
      <c r="L84" s="86">
        <f>(((Table134567891011121314151617343[[#This Row],[EA19]]-VLOOKUP($U$1,A:F,6,))/VLOOKUP($U$1,A:F,6,))*100)+100</f>
        <v/>
      </c>
      <c r="M84" s="86">
        <f>(((Table134567891011121314151617343[[#This Row],[GBR]]-VLOOKUP($U$1,A:G,7,))/VLOOKUP($U$1,A:G,7,))*100)+100</f>
        <v/>
      </c>
      <c r="N84" s="86">
        <f>VLOOKUP(A84,Database!$A:$AS,MATCH($N$1,Database!$A$1:$AS$1,0),FALSE)</f>
        <v/>
      </c>
      <c r="O84" s="86">
        <f>(((Table134567891011121314151617343[[#This Row],[USA]]-VLOOKUP($U$1,A:N,14,))/VLOOKUP($U$1,A:N,14,))*100)+100</f>
        <v/>
      </c>
      <c r="P84" s="86">
        <f>VLOOKUP(A84,Database!$A:$AS,MATCH($P$1,Database!$A$1:$AS$1,0),FALSE)</f>
        <v/>
      </c>
      <c r="Q84" s="86">
        <f>(((Table134567891011121314151617343[[#This Row],[JPN]]-VLOOKUP($U$1,A:Q,16,))/VLOOKUP($U$1,A:Q,16,))*100)+100</f>
        <v/>
      </c>
    </row>
    <row r="85" customFormat="1" s="94">
      <c r="A85" s="22" t="n">
        <v>35400</v>
      </c>
      <c r="B85" s="86">
        <f>VLOOKUP(A85,Database!$A:$AS,MATCH($B$1,Database!$A$1:$AS$1,0),FALSE)</f>
        <v/>
      </c>
      <c r="C85" s="86">
        <f>VLOOKUP(A85,Database!$A:$AS,MATCH($C$1,Database!$A$1:$AS$1,0),FALSE)</f>
        <v/>
      </c>
      <c r="D85" s="86">
        <f>VLOOKUP(A85,Database!$A:$AS,MATCH($D$1,Database!$A$1:$AS$1,0),FALSE)</f>
        <v/>
      </c>
      <c r="E85" s="86">
        <f>VLOOKUP(A85,Database!$A:$AS,MATCH($E$1,Database!$A$1:$AS$1,0),FALSE)</f>
        <v/>
      </c>
      <c r="F85" s="86">
        <f>VLOOKUP(A85,Database!$A:$AS,MATCH($F$1,Database!$A$1:$AS$1,0),FALSE)</f>
        <v/>
      </c>
      <c r="G85" s="86">
        <f>VLOOKUP(A85,Database!$A:$AS,MATCH($G$1,Database!$A$1:$AS$1,0),FALSE)</f>
        <v/>
      </c>
      <c r="H85" s="86">
        <f>(((Table134567891011121314151617343[[#This Row],[ITA]]-VLOOKUP($U$1,A:B,2,))/VLOOKUP($U$1,A:B,2,))*100)+100</f>
        <v/>
      </c>
      <c r="I85" s="86">
        <f>(((Table134567891011121314151617343[[#This Row],[FRA]]-VLOOKUP($U$1,A:C,3,))/VLOOKUP($U$1,A:C,3,))*100)+100</f>
        <v/>
      </c>
      <c r="J85" s="86">
        <f>(((Table134567891011121314151617343[[#This Row],[DEU]]-VLOOKUP($U$1,A:D,4,))/VLOOKUP($U$1,A:D,4,))*100)+100</f>
        <v/>
      </c>
      <c r="K85" s="86">
        <f>(((Table134567891011121314151617343[[#This Row],[ESP]]-VLOOKUP($U$1,A:E,5,))/VLOOKUP($U$1,A:E,5,))*100)+100</f>
        <v/>
      </c>
      <c r="L85" s="86">
        <f>(((Table134567891011121314151617343[[#This Row],[EA19]]-VLOOKUP($U$1,A:F,6,))/VLOOKUP($U$1,A:F,6,))*100)+100</f>
        <v/>
      </c>
      <c r="M85" s="86">
        <f>(((Table134567891011121314151617343[[#This Row],[GBR]]-VLOOKUP($U$1,A:G,7,))/VLOOKUP($U$1,A:G,7,))*100)+100</f>
        <v/>
      </c>
      <c r="N85" s="86">
        <f>VLOOKUP(A85,Database!$A:$AS,MATCH($N$1,Database!$A$1:$AS$1,0),FALSE)</f>
        <v/>
      </c>
      <c r="O85" s="86">
        <f>(((Table134567891011121314151617343[[#This Row],[USA]]-VLOOKUP($U$1,A:N,14,))/VLOOKUP($U$1,A:N,14,))*100)+100</f>
        <v/>
      </c>
      <c r="P85" s="86">
        <f>VLOOKUP(A85,Database!$A:$AS,MATCH($P$1,Database!$A$1:$AS$1,0),FALSE)</f>
        <v/>
      </c>
      <c r="Q85" s="86">
        <f>(((Table134567891011121314151617343[[#This Row],[JPN]]-VLOOKUP($U$1,A:Q,16,))/VLOOKUP($U$1,A:Q,16,))*100)+100</f>
        <v/>
      </c>
    </row>
    <row r="86" customFormat="1" s="94">
      <c r="A86" s="22" t="n">
        <v>35431</v>
      </c>
      <c r="B86" s="86">
        <f>VLOOKUP(A86,Database!$A:$AS,MATCH($B$1,Database!$A$1:$AS$1,0),FALSE)</f>
        <v/>
      </c>
      <c r="C86" s="86">
        <f>VLOOKUP(A86,Database!$A:$AS,MATCH($C$1,Database!$A$1:$AS$1,0),FALSE)</f>
        <v/>
      </c>
      <c r="D86" s="86">
        <f>VLOOKUP(A86,Database!$A:$AS,MATCH($D$1,Database!$A$1:$AS$1,0),FALSE)</f>
        <v/>
      </c>
      <c r="E86" s="86">
        <f>VLOOKUP(A86,Database!$A:$AS,MATCH($E$1,Database!$A$1:$AS$1,0),FALSE)</f>
        <v/>
      </c>
      <c r="F86" s="86">
        <f>VLOOKUP(A86,Database!$A:$AS,MATCH($F$1,Database!$A$1:$AS$1,0),FALSE)</f>
        <v/>
      </c>
      <c r="G86" s="86">
        <f>VLOOKUP(A86,Database!$A:$AS,MATCH($G$1,Database!$A$1:$AS$1,0),FALSE)</f>
        <v/>
      </c>
      <c r="H86" s="86">
        <f>(((Table134567891011121314151617343[[#This Row],[ITA]]-VLOOKUP($U$1,A:B,2,))/VLOOKUP($U$1,A:B,2,))*100)+100</f>
        <v/>
      </c>
      <c r="I86" s="86">
        <f>(((Table134567891011121314151617343[[#This Row],[FRA]]-VLOOKUP($U$1,A:C,3,))/VLOOKUP($U$1,A:C,3,))*100)+100</f>
        <v/>
      </c>
      <c r="J86" s="86">
        <f>(((Table134567891011121314151617343[[#This Row],[DEU]]-VLOOKUP($U$1,A:D,4,))/VLOOKUP($U$1,A:D,4,))*100)+100</f>
        <v/>
      </c>
      <c r="K86" s="86">
        <f>(((Table134567891011121314151617343[[#This Row],[ESP]]-VLOOKUP($U$1,A:E,5,))/VLOOKUP($U$1,A:E,5,))*100)+100</f>
        <v/>
      </c>
      <c r="L86" s="86">
        <f>(((Table134567891011121314151617343[[#This Row],[EA19]]-VLOOKUP($U$1,A:F,6,))/VLOOKUP($U$1,A:F,6,))*100)+100</f>
        <v/>
      </c>
      <c r="M86" s="86">
        <f>(((Table134567891011121314151617343[[#This Row],[GBR]]-VLOOKUP($U$1,A:G,7,))/VLOOKUP($U$1,A:G,7,))*100)+100</f>
        <v/>
      </c>
      <c r="N86" s="86">
        <f>VLOOKUP(A86,Database!$A:$AS,MATCH($N$1,Database!$A$1:$AS$1,0),FALSE)</f>
        <v/>
      </c>
      <c r="O86" s="86">
        <f>(((Table134567891011121314151617343[[#This Row],[USA]]-VLOOKUP($U$1,A:N,14,))/VLOOKUP($U$1,A:N,14,))*100)+100</f>
        <v/>
      </c>
      <c r="P86" s="86">
        <f>VLOOKUP(A86,Database!$A:$AS,MATCH($P$1,Database!$A$1:$AS$1,0),FALSE)</f>
        <v/>
      </c>
      <c r="Q86" s="86">
        <f>(((Table134567891011121314151617343[[#This Row],[JPN]]-VLOOKUP($U$1,A:Q,16,))/VLOOKUP($U$1,A:Q,16,))*100)+100</f>
        <v/>
      </c>
    </row>
    <row r="87" customFormat="1" s="94">
      <c r="A87" s="22" t="n">
        <v>35462</v>
      </c>
      <c r="B87" s="86">
        <f>VLOOKUP(A87,Database!$A:$AS,MATCH($B$1,Database!$A$1:$AS$1,0),FALSE)</f>
        <v/>
      </c>
      <c r="C87" s="86">
        <f>VLOOKUP(A87,Database!$A:$AS,MATCH($C$1,Database!$A$1:$AS$1,0),FALSE)</f>
        <v/>
      </c>
      <c r="D87" s="86">
        <f>VLOOKUP(A87,Database!$A:$AS,MATCH($D$1,Database!$A$1:$AS$1,0),FALSE)</f>
        <v/>
      </c>
      <c r="E87" s="86">
        <f>VLOOKUP(A87,Database!$A:$AS,MATCH($E$1,Database!$A$1:$AS$1,0),FALSE)</f>
        <v/>
      </c>
      <c r="F87" s="86">
        <f>VLOOKUP(A87,Database!$A:$AS,MATCH($F$1,Database!$A$1:$AS$1,0),FALSE)</f>
        <v/>
      </c>
      <c r="G87" s="86">
        <f>VLOOKUP(A87,Database!$A:$AS,MATCH($G$1,Database!$A$1:$AS$1,0),FALSE)</f>
        <v/>
      </c>
      <c r="H87" s="86">
        <f>(((Table134567891011121314151617343[[#This Row],[ITA]]-VLOOKUP($U$1,A:B,2,))/VLOOKUP($U$1,A:B,2,))*100)+100</f>
        <v/>
      </c>
      <c r="I87" s="86">
        <f>(((Table134567891011121314151617343[[#This Row],[FRA]]-VLOOKUP($U$1,A:C,3,))/VLOOKUP($U$1,A:C,3,))*100)+100</f>
        <v/>
      </c>
      <c r="J87" s="86">
        <f>(((Table134567891011121314151617343[[#This Row],[DEU]]-VLOOKUP($U$1,A:D,4,))/VLOOKUP($U$1,A:D,4,))*100)+100</f>
        <v/>
      </c>
      <c r="K87" s="86">
        <f>(((Table134567891011121314151617343[[#This Row],[ESP]]-VLOOKUP($U$1,A:E,5,))/VLOOKUP($U$1,A:E,5,))*100)+100</f>
        <v/>
      </c>
      <c r="L87" s="86">
        <f>(((Table134567891011121314151617343[[#This Row],[EA19]]-VLOOKUP($U$1,A:F,6,))/VLOOKUP($U$1,A:F,6,))*100)+100</f>
        <v/>
      </c>
      <c r="M87" s="86">
        <f>(((Table134567891011121314151617343[[#This Row],[GBR]]-VLOOKUP($U$1,A:G,7,))/VLOOKUP($U$1,A:G,7,))*100)+100</f>
        <v/>
      </c>
      <c r="N87" s="86">
        <f>VLOOKUP(A87,Database!$A:$AS,MATCH($N$1,Database!$A$1:$AS$1,0),FALSE)</f>
        <v/>
      </c>
      <c r="O87" s="86">
        <f>(((Table134567891011121314151617343[[#This Row],[USA]]-VLOOKUP($U$1,A:N,14,))/VLOOKUP($U$1,A:N,14,))*100)+100</f>
        <v/>
      </c>
      <c r="P87" s="86">
        <f>VLOOKUP(A87,Database!$A:$AS,MATCH($P$1,Database!$A$1:$AS$1,0),FALSE)</f>
        <v/>
      </c>
      <c r="Q87" s="86">
        <f>(((Table134567891011121314151617343[[#This Row],[JPN]]-VLOOKUP($U$1,A:Q,16,))/VLOOKUP($U$1,A:Q,16,))*100)+100</f>
        <v/>
      </c>
    </row>
    <row r="88" customFormat="1" s="94">
      <c r="A88" s="22" t="n">
        <v>35490</v>
      </c>
      <c r="B88" s="86">
        <f>VLOOKUP(A88,Database!$A:$AS,MATCH($B$1,Database!$A$1:$AS$1,0),FALSE)</f>
        <v/>
      </c>
      <c r="C88" s="86">
        <f>VLOOKUP(A88,Database!$A:$AS,MATCH($C$1,Database!$A$1:$AS$1,0),FALSE)</f>
        <v/>
      </c>
      <c r="D88" s="86">
        <f>VLOOKUP(A88,Database!$A:$AS,MATCH($D$1,Database!$A$1:$AS$1,0),FALSE)</f>
        <v/>
      </c>
      <c r="E88" s="86">
        <f>VLOOKUP(A88,Database!$A:$AS,MATCH($E$1,Database!$A$1:$AS$1,0),FALSE)</f>
        <v/>
      </c>
      <c r="F88" s="86">
        <f>VLOOKUP(A88,Database!$A:$AS,MATCH($F$1,Database!$A$1:$AS$1,0),FALSE)</f>
        <v/>
      </c>
      <c r="G88" s="86">
        <f>VLOOKUP(A88,Database!$A:$AS,MATCH($G$1,Database!$A$1:$AS$1,0),FALSE)</f>
        <v/>
      </c>
      <c r="H88" s="86">
        <f>(((Table134567891011121314151617343[[#This Row],[ITA]]-VLOOKUP($U$1,A:B,2,))/VLOOKUP($U$1,A:B,2,))*100)+100</f>
        <v/>
      </c>
      <c r="I88" s="86">
        <f>(((Table134567891011121314151617343[[#This Row],[FRA]]-VLOOKUP($U$1,A:C,3,))/VLOOKUP($U$1,A:C,3,))*100)+100</f>
        <v/>
      </c>
      <c r="J88" s="86">
        <f>(((Table134567891011121314151617343[[#This Row],[DEU]]-VLOOKUP($U$1,A:D,4,))/VLOOKUP($U$1,A:D,4,))*100)+100</f>
        <v/>
      </c>
      <c r="K88" s="86">
        <f>(((Table134567891011121314151617343[[#This Row],[ESP]]-VLOOKUP($U$1,A:E,5,))/VLOOKUP($U$1,A:E,5,))*100)+100</f>
        <v/>
      </c>
      <c r="L88" s="86">
        <f>(((Table134567891011121314151617343[[#This Row],[EA19]]-VLOOKUP($U$1,A:F,6,))/VLOOKUP($U$1,A:F,6,))*100)+100</f>
        <v/>
      </c>
      <c r="M88" s="86">
        <f>(((Table134567891011121314151617343[[#This Row],[GBR]]-VLOOKUP($U$1,A:G,7,))/VLOOKUP($U$1,A:G,7,))*100)+100</f>
        <v/>
      </c>
      <c r="N88" s="86">
        <f>VLOOKUP(A88,Database!$A:$AS,MATCH($N$1,Database!$A$1:$AS$1,0),FALSE)</f>
        <v/>
      </c>
      <c r="O88" s="86">
        <f>(((Table134567891011121314151617343[[#This Row],[USA]]-VLOOKUP($U$1,A:N,14,))/VLOOKUP($U$1,A:N,14,))*100)+100</f>
        <v/>
      </c>
      <c r="P88" s="86">
        <f>VLOOKUP(A88,Database!$A:$AS,MATCH($P$1,Database!$A$1:$AS$1,0),FALSE)</f>
        <v/>
      </c>
      <c r="Q88" s="86">
        <f>(((Table134567891011121314151617343[[#This Row],[JPN]]-VLOOKUP($U$1,A:Q,16,))/VLOOKUP($U$1,A:Q,16,))*100)+100</f>
        <v/>
      </c>
    </row>
    <row r="89" customFormat="1" s="94">
      <c r="A89" s="22" t="n">
        <v>35521</v>
      </c>
      <c r="B89" s="86">
        <f>VLOOKUP(A89,Database!$A:$AS,MATCH($B$1,Database!$A$1:$AS$1,0),FALSE)</f>
        <v/>
      </c>
      <c r="C89" s="86">
        <f>VLOOKUP(A89,Database!$A:$AS,MATCH($C$1,Database!$A$1:$AS$1,0),FALSE)</f>
        <v/>
      </c>
      <c r="D89" s="86">
        <f>VLOOKUP(A89,Database!$A:$AS,MATCH($D$1,Database!$A$1:$AS$1,0),FALSE)</f>
        <v/>
      </c>
      <c r="E89" s="86">
        <f>VLOOKUP(A89,Database!$A:$AS,MATCH($E$1,Database!$A$1:$AS$1,0),FALSE)</f>
        <v/>
      </c>
      <c r="F89" s="86">
        <f>VLOOKUP(A89,Database!$A:$AS,MATCH($F$1,Database!$A$1:$AS$1,0),FALSE)</f>
        <v/>
      </c>
      <c r="G89" s="86">
        <f>VLOOKUP(A89,Database!$A:$AS,MATCH($G$1,Database!$A$1:$AS$1,0),FALSE)</f>
        <v/>
      </c>
      <c r="H89" s="86">
        <f>(((Table134567891011121314151617343[[#This Row],[ITA]]-VLOOKUP($U$1,A:B,2,))/VLOOKUP($U$1,A:B,2,))*100)+100</f>
        <v/>
      </c>
      <c r="I89" s="86">
        <f>(((Table134567891011121314151617343[[#This Row],[FRA]]-VLOOKUP($U$1,A:C,3,))/VLOOKUP($U$1,A:C,3,))*100)+100</f>
        <v/>
      </c>
      <c r="J89" s="86">
        <f>(((Table134567891011121314151617343[[#This Row],[DEU]]-VLOOKUP($U$1,A:D,4,))/VLOOKUP($U$1,A:D,4,))*100)+100</f>
        <v/>
      </c>
      <c r="K89" s="86">
        <f>(((Table134567891011121314151617343[[#This Row],[ESP]]-VLOOKUP($U$1,A:E,5,))/VLOOKUP($U$1,A:E,5,))*100)+100</f>
        <v/>
      </c>
      <c r="L89" s="86">
        <f>(((Table134567891011121314151617343[[#This Row],[EA19]]-VLOOKUP($U$1,A:F,6,))/VLOOKUP($U$1,A:F,6,))*100)+100</f>
        <v/>
      </c>
      <c r="M89" s="86">
        <f>(((Table134567891011121314151617343[[#This Row],[GBR]]-VLOOKUP($U$1,A:G,7,))/VLOOKUP($U$1,A:G,7,))*100)+100</f>
        <v/>
      </c>
      <c r="N89" s="86">
        <f>VLOOKUP(A89,Database!$A:$AS,MATCH($N$1,Database!$A$1:$AS$1,0),FALSE)</f>
        <v/>
      </c>
      <c r="O89" s="86">
        <f>(((Table134567891011121314151617343[[#This Row],[USA]]-VLOOKUP($U$1,A:N,14,))/VLOOKUP($U$1,A:N,14,))*100)+100</f>
        <v/>
      </c>
      <c r="P89" s="86">
        <f>VLOOKUP(A89,Database!$A:$AS,MATCH($P$1,Database!$A$1:$AS$1,0),FALSE)</f>
        <v/>
      </c>
      <c r="Q89" s="86">
        <f>(((Table134567891011121314151617343[[#This Row],[JPN]]-VLOOKUP($U$1,A:Q,16,))/VLOOKUP($U$1,A:Q,16,))*100)+100</f>
        <v/>
      </c>
    </row>
    <row r="90" customFormat="1" s="94">
      <c r="A90" s="22" t="n">
        <v>35551</v>
      </c>
      <c r="B90" s="86">
        <f>VLOOKUP(A90,Database!$A:$AS,MATCH($B$1,Database!$A$1:$AS$1,0),FALSE)</f>
        <v/>
      </c>
      <c r="C90" s="86">
        <f>VLOOKUP(A90,Database!$A:$AS,MATCH($C$1,Database!$A$1:$AS$1,0),FALSE)</f>
        <v/>
      </c>
      <c r="D90" s="86">
        <f>VLOOKUP(A90,Database!$A:$AS,MATCH($D$1,Database!$A$1:$AS$1,0),FALSE)</f>
        <v/>
      </c>
      <c r="E90" s="86">
        <f>VLOOKUP(A90,Database!$A:$AS,MATCH($E$1,Database!$A$1:$AS$1,0),FALSE)</f>
        <v/>
      </c>
      <c r="F90" s="86">
        <f>VLOOKUP(A90,Database!$A:$AS,MATCH($F$1,Database!$A$1:$AS$1,0),FALSE)</f>
        <v/>
      </c>
      <c r="G90" s="86">
        <f>VLOOKUP(A90,Database!$A:$AS,MATCH($G$1,Database!$A$1:$AS$1,0),FALSE)</f>
        <v/>
      </c>
      <c r="H90" s="86">
        <f>(((Table134567891011121314151617343[[#This Row],[ITA]]-VLOOKUP($U$1,A:B,2,))/VLOOKUP($U$1,A:B,2,))*100)+100</f>
        <v/>
      </c>
      <c r="I90" s="86">
        <f>(((Table134567891011121314151617343[[#This Row],[FRA]]-VLOOKUP($U$1,A:C,3,))/VLOOKUP($U$1,A:C,3,))*100)+100</f>
        <v/>
      </c>
      <c r="J90" s="86">
        <f>(((Table134567891011121314151617343[[#This Row],[DEU]]-VLOOKUP($U$1,A:D,4,))/VLOOKUP($U$1,A:D,4,))*100)+100</f>
        <v/>
      </c>
      <c r="K90" s="86">
        <f>(((Table134567891011121314151617343[[#This Row],[ESP]]-VLOOKUP($U$1,A:E,5,))/VLOOKUP($U$1,A:E,5,))*100)+100</f>
        <v/>
      </c>
      <c r="L90" s="86">
        <f>(((Table134567891011121314151617343[[#This Row],[EA19]]-VLOOKUP($U$1,A:F,6,))/VLOOKUP($U$1,A:F,6,))*100)+100</f>
        <v/>
      </c>
      <c r="M90" s="86">
        <f>(((Table134567891011121314151617343[[#This Row],[GBR]]-VLOOKUP($U$1,A:G,7,))/VLOOKUP($U$1,A:G,7,))*100)+100</f>
        <v/>
      </c>
      <c r="N90" s="86">
        <f>VLOOKUP(A90,Database!$A:$AS,MATCH($N$1,Database!$A$1:$AS$1,0),FALSE)</f>
        <v/>
      </c>
      <c r="O90" s="86">
        <f>(((Table134567891011121314151617343[[#This Row],[USA]]-VLOOKUP($U$1,A:N,14,))/VLOOKUP($U$1,A:N,14,))*100)+100</f>
        <v/>
      </c>
      <c r="P90" s="86">
        <f>VLOOKUP(A90,Database!$A:$AS,MATCH($P$1,Database!$A$1:$AS$1,0),FALSE)</f>
        <v/>
      </c>
      <c r="Q90" s="86">
        <f>(((Table134567891011121314151617343[[#This Row],[JPN]]-VLOOKUP($U$1,A:Q,16,))/VLOOKUP($U$1,A:Q,16,))*100)+100</f>
        <v/>
      </c>
    </row>
    <row r="91" customFormat="1" s="94">
      <c r="A91" s="22" t="n">
        <v>35582</v>
      </c>
      <c r="B91" s="86">
        <f>VLOOKUP(A91,Database!$A:$AS,MATCH($B$1,Database!$A$1:$AS$1,0),FALSE)</f>
        <v/>
      </c>
      <c r="C91" s="86">
        <f>VLOOKUP(A91,Database!$A:$AS,MATCH($C$1,Database!$A$1:$AS$1,0),FALSE)</f>
        <v/>
      </c>
      <c r="D91" s="86">
        <f>VLOOKUP(A91,Database!$A:$AS,MATCH($D$1,Database!$A$1:$AS$1,0),FALSE)</f>
        <v/>
      </c>
      <c r="E91" s="86">
        <f>VLOOKUP(A91,Database!$A:$AS,MATCH($E$1,Database!$A$1:$AS$1,0),FALSE)</f>
        <v/>
      </c>
      <c r="F91" s="86">
        <f>VLOOKUP(A91,Database!$A:$AS,MATCH($F$1,Database!$A$1:$AS$1,0),FALSE)</f>
        <v/>
      </c>
      <c r="G91" s="86">
        <f>VLOOKUP(A91,Database!$A:$AS,MATCH($G$1,Database!$A$1:$AS$1,0),FALSE)</f>
        <v/>
      </c>
      <c r="H91" s="86">
        <f>(((Table134567891011121314151617343[[#This Row],[ITA]]-VLOOKUP($U$1,A:B,2,))/VLOOKUP($U$1,A:B,2,))*100)+100</f>
        <v/>
      </c>
      <c r="I91" s="86">
        <f>(((Table134567891011121314151617343[[#This Row],[FRA]]-VLOOKUP($U$1,A:C,3,))/VLOOKUP($U$1,A:C,3,))*100)+100</f>
        <v/>
      </c>
      <c r="J91" s="86">
        <f>(((Table134567891011121314151617343[[#This Row],[DEU]]-VLOOKUP($U$1,A:D,4,))/VLOOKUP($U$1,A:D,4,))*100)+100</f>
        <v/>
      </c>
      <c r="K91" s="86">
        <f>(((Table134567891011121314151617343[[#This Row],[ESP]]-VLOOKUP($U$1,A:E,5,))/VLOOKUP($U$1,A:E,5,))*100)+100</f>
        <v/>
      </c>
      <c r="L91" s="86">
        <f>(((Table134567891011121314151617343[[#This Row],[EA19]]-VLOOKUP($U$1,A:F,6,))/VLOOKUP($U$1,A:F,6,))*100)+100</f>
        <v/>
      </c>
      <c r="M91" s="86">
        <f>(((Table134567891011121314151617343[[#This Row],[GBR]]-VLOOKUP($U$1,A:G,7,))/VLOOKUP($U$1,A:G,7,))*100)+100</f>
        <v/>
      </c>
      <c r="N91" s="86">
        <f>VLOOKUP(A91,Database!$A:$AS,MATCH($N$1,Database!$A$1:$AS$1,0),FALSE)</f>
        <v/>
      </c>
      <c r="O91" s="86">
        <f>(((Table134567891011121314151617343[[#This Row],[USA]]-VLOOKUP($U$1,A:N,14,))/VLOOKUP($U$1,A:N,14,))*100)+100</f>
        <v/>
      </c>
      <c r="P91" s="86">
        <f>VLOOKUP(A91,Database!$A:$AS,MATCH($P$1,Database!$A$1:$AS$1,0),FALSE)</f>
        <v/>
      </c>
      <c r="Q91" s="86">
        <f>(((Table134567891011121314151617343[[#This Row],[JPN]]-VLOOKUP($U$1,A:Q,16,))/VLOOKUP($U$1,A:Q,16,))*100)+100</f>
        <v/>
      </c>
    </row>
    <row r="92" customFormat="1" s="94">
      <c r="A92" s="22" t="n">
        <v>35612</v>
      </c>
      <c r="B92" s="86">
        <f>VLOOKUP(A92,Database!$A:$AS,MATCH($B$1,Database!$A$1:$AS$1,0),FALSE)</f>
        <v/>
      </c>
      <c r="C92" s="86">
        <f>VLOOKUP(A92,Database!$A:$AS,MATCH($C$1,Database!$A$1:$AS$1,0),FALSE)</f>
        <v/>
      </c>
      <c r="D92" s="86">
        <f>VLOOKUP(A92,Database!$A:$AS,MATCH($D$1,Database!$A$1:$AS$1,0),FALSE)</f>
        <v/>
      </c>
      <c r="E92" s="86">
        <f>VLOOKUP(A92,Database!$A:$AS,MATCH($E$1,Database!$A$1:$AS$1,0),FALSE)</f>
        <v/>
      </c>
      <c r="F92" s="86">
        <f>VLOOKUP(A92,Database!$A:$AS,MATCH($F$1,Database!$A$1:$AS$1,0),FALSE)</f>
        <v/>
      </c>
      <c r="G92" s="86">
        <f>VLOOKUP(A92,Database!$A:$AS,MATCH($G$1,Database!$A$1:$AS$1,0),FALSE)</f>
        <v/>
      </c>
      <c r="H92" s="86">
        <f>(((Table134567891011121314151617343[[#This Row],[ITA]]-VLOOKUP($U$1,A:B,2,))/VLOOKUP($U$1,A:B,2,))*100)+100</f>
        <v/>
      </c>
      <c r="I92" s="86">
        <f>(((Table134567891011121314151617343[[#This Row],[FRA]]-VLOOKUP($U$1,A:C,3,))/VLOOKUP($U$1,A:C,3,))*100)+100</f>
        <v/>
      </c>
      <c r="J92" s="86">
        <f>(((Table134567891011121314151617343[[#This Row],[DEU]]-VLOOKUP($U$1,A:D,4,))/VLOOKUP($U$1,A:D,4,))*100)+100</f>
        <v/>
      </c>
      <c r="K92" s="86">
        <f>(((Table134567891011121314151617343[[#This Row],[ESP]]-VLOOKUP($U$1,A:E,5,))/VLOOKUP($U$1,A:E,5,))*100)+100</f>
        <v/>
      </c>
      <c r="L92" s="86">
        <f>(((Table134567891011121314151617343[[#This Row],[EA19]]-VLOOKUP($U$1,A:F,6,))/VLOOKUP($U$1,A:F,6,))*100)+100</f>
        <v/>
      </c>
      <c r="M92" s="86">
        <f>(((Table134567891011121314151617343[[#This Row],[GBR]]-VLOOKUP($U$1,A:G,7,))/VLOOKUP($U$1,A:G,7,))*100)+100</f>
        <v/>
      </c>
      <c r="N92" s="86">
        <f>VLOOKUP(A92,Database!$A:$AS,MATCH($N$1,Database!$A$1:$AS$1,0),FALSE)</f>
        <v/>
      </c>
      <c r="O92" s="86">
        <f>(((Table134567891011121314151617343[[#This Row],[USA]]-VLOOKUP($U$1,A:N,14,))/VLOOKUP($U$1,A:N,14,))*100)+100</f>
        <v/>
      </c>
      <c r="P92" s="86">
        <f>VLOOKUP(A92,Database!$A:$AS,MATCH($P$1,Database!$A$1:$AS$1,0),FALSE)</f>
        <v/>
      </c>
      <c r="Q92" s="86">
        <f>(((Table134567891011121314151617343[[#This Row],[JPN]]-VLOOKUP($U$1,A:Q,16,))/VLOOKUP($U$1,A:Q,16,))*100)+100</f>
        <v/>
      </c>
    </row>
    <row r="93" customFormat="1" s="94">
      <c r="A93" s="22" t="n">
        <v>35643</v>
      </c>
      <c r="B93" s="86">
        <f>VLOOKUP(A93,Database!$A:$AS,MATCH($B$1,Database!$A$1:$AS$1,0),FALSE)</f>
        <v/>
      </c>
      <c r="C93" s="86">
        <f>VLOOKUP(A93,Database!$A:$AS,MATCH($C$1,Database!$A$1:$AS$1,0),FALSE)</f>
        <v/>
      </c>
      <c r="D93" s="86">
        <f>VLOOKUP(A93,Database!$A:$AS,MATCH($D$1,Database!$A$1:$AS$1,0),FALSE)</f>
        <v/>
      </c>
      <c r="E93" s="86">
        <f>VLOOKUP(A93,Database!$A:$AS,MATCH($E$1,Database!$A$1:$AS$1,0),FALSE)</f>
        <v/>
      </c>
      <c r="F93" s="86">
        <f>VLOOKUP(A93,Database!$A:$AS,MATCH($F$1,Database!$A$1:$AS$1,0),FALSE)</f>
        <v/>
      </c>
      <c r="G93" s="86">
        <f>VLOOKUP(A93,Database!$A:$AS,MATCH($G$1,Database!$A$1:$AS$1,0),FALSE)</f>
        <v/>
      </c>
      <c r="H93" s="86">
        <f>(((Table134567891011121314151617343[[#This Row],[ITA]]-VLOOKUP($U$1,A:B,2,))/VLOOKUP($U$1,A:B,2,))*100)+100</f>
        <v/>
      </c>
      <c r="I93" s="86">
        <f>(((Table134567891011121314151617343[[#This Row],[FRA]]-VLOOKUP($U$1,A:C,3,))/VLOOKUP($U$1,A:C,3,))*100)+100</f>
        <v/>
      </c>
      <c r="J93" s="86">
        <f>(((Table134567891011121314151617343[[#This Row],[DEU]]-VLOOKUP($U$1,A:D,4,))/VLOOKUP($U$1,A:D,4,))*100)+100</f>
        <v/>
      </c>
      <c r="K93" s="86">
        <f>(((Table134567891011121314151617343[[#This Row],[ESP]]-VLOOKUP($U$1,A:E,5,))/VLOOKUP($U$1,A:E,5,))*100)+100</f>
        <v/>
      </c>
      <c r="L93" s="86">
        <f>(((Table134567891011121314151617343[[#This Row],[EA19]]-VLOOKUP($U$1,A:F,6,))/VLOOKUP($U$1,A:F,6,))*100)+100</f>
        <v/>
      </c>
      <c r="M93" s="86">
        <f>(((Table134567891011121314151617343[[#This Row],[GBR]]-VLOOKUP($U$1,A:G,7,))/VLOOKUP($U$1,A:G,7,))*100)+100</f>
        <v/>
      </c>
      <c r="N93" s="86">
        <f>VLOOKUP(A93,Database!$A:$AS,MATCH($N$1,Database!$A$1:$AS$1,0),FALSE)</f>
        <v/>
      </c>
      <c r="O93" s="86">
        <f>(((Table134567891011121314151617343[[#This Row],[USA]]-VLOOKUP($U$1,A:N,14,))/VLOOKUP($U$1,A:N,14,))*100)+100</f>
        <v/>
      </c>
      <c r="P93" s="86">
        <f>VLOOKUP(A93,Database!$A:$AS,MATCH($P$1,Database!$A$1:$AS$1,0),FALSE)</f>
        <v/>
      </c>
      <c r="Q93" s="86">
        <f>(((Table134567891011121314151617343[[#This Row],[JPN]]-VLOOKUP($U$1,A:Q,16,))/VLOOKUP($U$1,A:Q,16,))*100)+100</f>
        <v/>
      </c>
    </row>
    <row r="94" customFormat="1" s="94">
      <c r="A94" s="22" t="n">
        <v>35674</v>
      </c>
      <c r="B94" s="86">
        <f>VLOOKUP(A94,Database!$A:$AS,MATCH($B$1,Database!$A$1:$AS$1,0),FALSE)</f>
        <v/>
      </c>
      <c r="C94" s="86">
        <f>VLOOKUP(A94,Database!$A:$AS,MATCH($C$1,Database!$A$1:$AS$1,0),FALSE)</f>
        <v/>
      </c>
      <c r="D94" s="86">
        <f>VLOOKUP(A94,Database!$A:$AS,MATCH($D$1,Database!$A$1:$AS$1,0),FALSE)</f>
        <v/>
      </c>
      <c r="E94" s="86">
        <f>VLOOKUP(A94,Database!$A:$AS,MATCH($E$1,Database!$A$1:$AS$1,0),FALSE)</f>
        <v/>
      </c>
      <c r="F94" s="86">
        <f>VLOOKUP(A94,Database!$A:$AS,MATCH($F$1,Database!$A$1:$AS$1,0),FALSE)</f>
        <v/>
      </c>
      <c r="G94" s="86">
        <f>VLOOKUP(A94,Database!$A:$AS,MATCH($G$1,Database!$A$1:$AS$1,0),FALSE)</f>
        <v/>
      </c>
      <c r="H94" s="86">
        <f>(((Table134567891011121314151617343[[#This Row],[ITA]]-VLOOKUP($U$1,A:B,2,))/VLOOKUP($U$1,A:B,2,))*100)+100</f>
        <v/>
      </c>
      <c r="I94" s="86">
        <f>(((Table134567891011121314151617343[[#This Row],[FRA]]-VLOOKUP($U$1,A:C,3,))/VLOOKUP($U$1,A:C,3,))*100)+100</f>
        <v/>
      </c>
      <c r="J94" s="86">
        <f>(((Table134567891011121314151617343[[#This Row],[DEU]]-VLOOKUP($U$1,A:D,4,))/VLOOKUP($U$1,A:D,4,))*100)+100</f>
        <v/>
      </c>
      <c r="K94" s="86">
        <f>(((Table134567891011121314151617343[[#This Row],[ESP]]-VLOOKUP($U$1,A:E,5,))/VLOOKUP($U$1,A:E,5,))*100)+100</f>
        <v/>
      </c>
      <c r="L94" s="86">
        <f>(((Table134567891011121314151617343[[#This Row],[EA19]]-VLOOKUP($U$1,A:F,6,))/VLOOKUP($U$1,A:F,6,))*100)+100</f>
        <v/>
      </c>
      <c r="M94" s="86">
        <f>(((Table134567891011121314151617343[[#This Row],[GBR]]-VLOOKUP($U$1,A:G,7,))/VLOOKUP($U$1,A:G,7,))*100)+100</f>
        <v/>
      </c>
      <c r="N94" s="86">
        <f>VLOOKUP(A94,Database!$A:$AS,MATCH($N$1,Database!$A$1:$AS$1,0),FALSE)</f>
        <v/>
      </c>
      <c r="O94" s="86">
        <f>(((Table134567891011121314151617343[[#This Row],[USA]]-VLOOKUP($U$1,A:N,14,))/VLOOKUP($U$1,A:N,14,))*100)+100</f>
        <v/>
      </c>
      <c r="P94" s="86">
        <f>VLOOKUP(A94,Database!$A:$AS,MATCH($P$1,Database!$A$1:$AS$1,0),FALSE)</f>
        <v/>
      </c>
      <c r="Q94" s="86">
        <f>(((Table134567891011121314151617343[[#This Row],[JPN]]-VLOOKUP($U$1,A:Q,16,))/VLOOKUP($U$1,A:Q,16,))*100)+100</f>
        <v/>
      </c>
    </row>
    <row r="95" customFormat="1" s="94">
      <c r="A95" s="22" t="n">
        <v>35704</v>
      </c>
      <c r="B95" s="86">
        <f>VLOOKUP(A95,Database!$A:$AS,MATCH($B$1,Database!$A$1:$AS$1,0),FALSE)</f>
        <v/>
      </c>
      <c r="C95" s="86">
        <f>VLOOKUP(A95,Database!$A:$AS,MATCH($C$1,Database!$A$1:$AS$1,0),FALSE)</f>
        <v/>
      </c>
      <c r="D95" s="86">
        <f>VLOOKUP(A95,Database!$A:$AS,MATCH($D$1,Database!$A$1:$AS$1,0),FALSE)</f>
        <v/>
      </c>
      <c r="E95" s="86">
        <f>VLOOKUP(A95,Database!$A:$AS,MATCH($E$1,Database!$A$1:$AS$1,0),FALSE)</f>
        <v/>
      </c>
      <c r="F95" s="86">
        <f>VLOOKUP(A95,Database!$A:$AS,MATCH($F$1,Database!$A$1:$AS$1,0),FALSE)</f>
        <v/>
      </c>
      <c r="G95" s="86">
        <f>VLOOKUP(A95,Database!$A:$AS,MATCH($G$1,Database!$A$1:$AS$1,0),FALSE)</f>
        <v/>
      </c>
      <c r="H95" s="86">
        <f>(((Table134567891011121314151617343[[#This Row],[ITA]]-VLOOKUP($U$1,A:B,2,))/VLOOKUP($U$1,A:B,2,))*100)+100</f>
        <v/>
      </c>
      <c r="I95" s="86">
        <f>(((Table134567891011121314151617343[[#This Row],[FRA]]-VLOOKUP($U$1,A:C,3,))/VLOOKUP($U$1,A:C,3,))*100)+100</f>
        <v/>
      </c>
      <c r="J95" s="86">
        <f>(((Table134567891011121314151617343[[#This Row],[DEU]]-VLOOKUP($U$1,A:D,4,))/VLOOKUP($U$1,A:D,4,))*100)+100</f>
        <v/>
      </c>
      <c r="K95" s="86">
        <f>(((Table134567891011121314151617343[[#This Row],[ESP]]-VLOOKUP($U$1,A:E,5,))/VLOOKUP($U$1,A:E,5,))*100)+100</f>
        <v/>
      </c>
      <c r="L95" s="86">
        <f>(((Table134567891011121314151617343[[#This Row],[EA19]]-VLOOKUP($U$1,A:F,6,))/VLOOKUP($U$1,A:F,6,))*100)+100</f>
        <v/>
      </c>
      <c r="M95" s="86">
        <f>(((Table134567891011121314151617343[[#This Row],[GBR]]-VLOOKUP($U$1,A:G,7,))/VLOOKUP($U$1,A:G,7,))*100)+100</f>
        <v/>
      </c>
      <c r="N95" s="86">
        <f>VLOOKUP(A95,Database!$A:$AS,MATCH($N$1,Database!$A$1:$AS$1,0),FALSE)</f>
        <v/>
      </c>
      <c r="O95" s="86">
        <f>(((Table134567891011121314151617343[[#This Row],[USA]]-VLOOKUP($U$1,A:N,14,))/VLOOKUP($U$1,A:N,14,))*100)+100</f>
        <v/>
      </c>
      <c r="P95" s="86">
        <f>VLOOKUP(A95,Database!$A:$AS,MATCH($P$1,Database!$A$1:$AS$1,0),FALSE)</f>
        <v/>
      </c>
      <c r="Q95" s="86">
        <f>(((Table134567891011121314151617343[[#This Row],[JPN]]-VLOOKUP($U$1,A:Q,16,))/VLOOKUP($U$1,A:Q,16,))*100)+100</f>
        <v/>
      </c>
    </row>
    <row r="96" customFormat="1" s="94">
      <c r="A96" s="22" t="n">
        <v>35735</v>
      </c>
      <c r="B96" s="86">
        <f>VLOOKUP(A96,Database!$A:$AS,MATCH($B$1,Database!$A$1:$AS$1,0),FALSE)</f>
        <v/>
      </c>
      <c r="C96" s="86">
        <f>VLOOKUP(A96,Database!$A:$AS,MATCH($C$1,Database!$A$1:$AS$1,0),FALSE)</f>
        <v/>
      </c>
      <c r="D96" s="86">
        <f>VLOOKUP(A96,Database!$A:$AS,MATCH($D$1,Database!$A$1:$AS$1,0),FALSE)</f>
        <v/>
      </c>
      <c r="E96" s="86">
        <f>VLOOKUP(A96,Database!$A:$AS,MATCH($E$1,Database!$A$1:$AS$1,0),FALSE)</f>
        <v/>
      </c>
      <c r="F96" s="86">
        <f>VLOOKUP(A96,Database!$A:$AS,MATCH($F$1,Database!$A$1:$AS$1,0),FALSE)</f>
        <v/>
      </c>
      <c r="G96" s="86">
        <f>VLOOKUP(A96,Database!$A:$AS,MATCH($G$1,Database!$A$1:$AS$1,0),FALSE)</f>
        <v/>
      </c>
      <c r="H96" s="86">
        <f>(((Table134567891011121314151617343[[#This Row],[ITA]]-VLOOKUP($U$1,A:B,2,))/VLOOKUP($U$1,A:B,2,))*100)+100</f>
        <v/>
      </c>
      <c r="I96" s="86">
        <f>(((Table134567891011121314151617343[[#This Row],[FRA]]-VLOOKUP($U$1,A:C,3,))/VLOOKUP($U$1,A:C,3,))*100)+100</f>
        <v/>
      </c>
      <c r="J96" s="86">
        <f>(((Table134567891011121314151617343[[#This Row],[DEU]]-VLOOKUP($U$1,A:D,4,))/VLOOKUP($U$1,A:D,4,))*100)+100</f>
        <v/>
      </c>
      <c r="K96" s="86">
        <f>(((Table134567891011121314151617343[[#This Row],[ESP]]-VLOOKUP($U$1,A:E,5,))/VLOOKUP($U$1,A:E,5,))*100)+100</f>
        <v/>
      </c>
      <c r="L96" s="86">
        <f>(((Table134567891011121314151617343[[#This Row],[EA19]]-VLOOKUP($U$1,A:F,6,))/VLOOKUP($U$1,A:F,6,))*100)+100</f>
        <v/>
      </c>
      <c r="M96" s="86">
        <f>(((Table134567891011121314151617343[[#This Row],[GBR]]-VLOOKUP($U$1,A:G,7,))/VLOOKUP($U$1,A:G,7,))*100)+100</f>
        <v/>
      </c>
      <c r="N96" s="86">
        <f>VLOOKUP(A96,Database!$A:$AS,MATCH($N$1,Database!$A$1:$AS$1,0),FALSE)</f>
        <v/>
      </c>
      <c r="O96" s="86">
        <f>(((Table134567891011121314151617343[[#This Row],[USA]]-VLOOKUP($U$1,A:N,14,))/VLOOKUP($U$1,A:N,14,))*100)+100</f>
        <v/>
      </c>
      <c r="P96" s="86">
        <f>VLOOKUP(A96,Database!$A:$AS,MATCH($P$1,Database!$A$1:$AS$1,0),FALSE)</f>
        <v/>
      </c>
      <c r="Q96" s="86">
        <f>(((Table134567891011121314151617343[[#This Row],[JPN]]-VLOOKUP($U$1,A:Q,16,))/VLOOKUP($U$1,A:Q,16,))*100)+100</f>
        <v/>
      </c>
    </row>
    <row r="97" customFormat="1" s="94">
      <c r="A97" s="22" t="n">
        <v>35765</v>
      </c>
      <c r="B97" s="86">
        <f>VLOOKUP(A97,Database!$A:$AS,MATCH($B$1,Database!$A$1:$AS$1,0),FALSE)</f>
        <v/>
      </c>
      <c r="C97" s="86">
        <f>VLOOKUP(A97,Database!$A:$AS,MATCH($C$1,Database!$A$1:$AS$1,0),FALSE)</f>
        <v/>
      </c>
      <c r="D97" s="86">
        <f>VLOOKUP(A97,Database!$A:$AS,MATCH($D$1,Database!$A$1:$AS$1,0),FALSE)</f>
        <v/>
      </c>
      <c r="E97" s="86">
        <f>VLOOKUP(A97,Database!$A:$AS,MATCH($E$1,Database!$A$1:$AS$1,0),FALSE)</f>
        <v/>
      </c>
      <c r="F97" s="86">
        <f>VLOOKUP(A97,Database!$A:$AS,MATCH($F$1,Database!$A$1:$AS$1,0),FALSE)</f>
        <v/>
      </c>
      <c r="G97" s="86">
        <f>VLOOKUP(A97,Database!$A:$AS,MATCH($G$1,Database!$A$1:$AS$1,0),FALSE)</f>
        <v/>
      </c>
      <c r="H97" s="86">
        <f>(((Table134567891011121314151617343[[#This Row],[ITA]]-VLOOKUP($U$1,A:B,2,))/VLOOKUP($U$1,A:B,2,))*100)+100</f>
        <v/>
      </c>
      <c r="I97" s="86">
        <f>(((Table134567891011121314151617343[[#This Row],[FRA]]-VLOOKUP($U$1,A:C,3,))/VLOOKUP($U$1,A:C,3,))*100)+100</f>
        <v/>
      </c>
      <c r="J97" s="86">
        <f>(((Table134567891011121314151617343[[#This Row],[DEU]]-VLOOKUP($U$1,A:D,4,))/VLOOKUP($U$1,A:D,4,))*100)+100</f>
        <v/>
      </c>
      <c r="K97" s="86">
        <f>(((Table134567891011121314151617343[[#This Row],[ESP]]-VLOOKUP($U$1,A:E,5,))/VLOOKUP($U$1,A:E,5,))*100)+100</f>
        <v/>
      </c>
      <c r="L97" s="86">
        <f>(((Table134567891011121314151617343[[#This Row],[EA19]]-VLOOKUP($U$1,A:F,6,))/VLOOKUP($U$1,A:F,6,))*100)+100</f>
        <v/>
      </c>
      <c r="M97" s="86">
        <f>(((Table134567891011121314151617343[[#This Row],[GBR]]-VLOOKUP($U$1,A:G,7,))/VLOOKUP($U$1,A:G,7,))*100)+100</f>
        <v/>
      </c>
      <c r="N97" s="86">
        <f>VLOOKUP(A97,Database!$A:$AS,MATCH($N$1,Database!$A$1:$AS$1,0),FALSE)</f>
        <v/>
      </c>
      <c r="O97" s="86">
        <f>(((Table134567891011121314151617343[[#This Row],[USA]]-VLOOKUP($U$1,A:N,14,))/VLOOKUP($U$1,A:N,14,))*100)+100</f>
        <v/>
      </c>
      <c r="P97" s="86">
        <f>VLOOKUP(A97,Database!$A:$AS,MATCH($P$1,Database!$A$1:$AS$1,0),FALSE)</f>
        <v/>
      </c>
      <c r="Q97" s="86">
        <f>(((Table134567891011121314151617343[[#This Row],[JPN]]-VLOOKUP($U$1,A:Q,16,))/VLOOKUP($U$1,A:Q,16,))*100)+100</f>
        <v/>
      </c>
    </row>
    <row r="98" customFormat="1" s="94">
      <c r="A98" s="22" t="n">
        <v>35796</v>
      </c>
      <c r="B98" s="86">
        <f>VLOOKUP(A98,Database!$A:$AS,MATCH($B$1,Database!$A$1:$AS$1,0),FALSE)</f>
        <v/>
      </c>
      <c r="C98" s="86">
        <f>VLOOKUP(A98,Database!$A:$AS,MATCH($C$1,Database!$A$1:$AS$1,0),FALSE)</f>
        <v/>
      </c>
      <c r="D98" s="86">
        <f>VLOOKUP(A98,Database!$A:$AS,MATCH($D$1,Database!$A$1:$AS$1,0),FALSE)</f>
        <v/>
      </c>
      <c r="E98" s="86">
        <f>VLOOKUP(A98,Database!$A:$AS,MATCH($E$1,Database!$A$1:$AS$1,0),FALSE)</f>
        <v/>
      </c>
      <c r="F98" s="86">
        <f>VLOOKUP(A98,Database!$A:$AS,MATCH($F$1,Database!$A$1:$AS$1,0),FALSE)</f>
        <v/>
      </c>
      <c r="G98" s="86">
        <f>VLOOKUP(A98,Database!$A:$AS,MATCH($G$1,Database!$A$1:$AS$1,0),FALSE)</f>
        <v/>
      </c>
      <c r="H98" s="86">
        <f>(((Table134567891011121314151617343[[#This Row],[ITA]]-VLOOKUP($U$1,A:B,2,))/VLOOKUP($U$1,A:B,2,))*100)+100</f>
        <v/>
      </c>
      <c r="I98" s="86">
        <f>(((Table134567891011121314151617343[[#This Row],[FRA]]-VLOOKUP($U$1,A:C,3,))/VLOOKUP($U$1,A:C,3,))*100)+100</f>
        <v/>
      </c>
      <c r="J98" s="86">
        <f>(((Table134567891011121314151617343[[#This Row],[DEU]]-VLOOKUP($U$1,A:D,4,))/VLOOKUP($U$1,A:D,4,))*100)+100</f>
        <v/>
      </c>
      <c r="K98" s="86">
        <f>(((Table134567891011121314151617343[[#This Row],[ESP]]-VLOOKUP($U$1,A:E,5,))/VLOOKUP($U$1,A:E,5,))*100)+100</f>
        <v/>
      </c>
      <c r="L98" s="86">
        <f>(((Table134567891011121314151617343[[#This Row],[EA19]]-VLOOKUP($U$1,A:F,6,))/VLOOKUP($U$1,A:F,6,))*100)+100</f>
        <v/>
      </c>
      <c r="M98" s="86">
        <f>(((Table134567891011121314151617343[[#This Row],[GBR]]-VLOOKUP($U$1,A:G,7,))/VLOOKUP($U$1,A:G,7,))*100)+100</f>
        <v/>
      </c>
      <c r="N98" s="86">
        <f>VLOOKUP(A98,Database!$A:$AS,MATCH($N$1,Database!$A$1:$AS$1,0),FALSE)</f>
        <v/>
      </c>
      <c r="O98" s="86">
        <f>(((Table134567891011121314151617343[[#This Row],[USA]]-VLOOKUP($U$1,A:N,14,))/VLOOKUP($U$1,A:N,14,))*100)+100</f>
        <v/>
      </c>
      <c r="P98" s="86">
        <f>VLOOKUP(A98,Database!$A:$AS,MATCH($P$1,Database!$A$1:$AS$1,0),FALSE)</f>
        <v/>
      </c>
      <c r="Q98" s="86">
        <f>(((Table134567891011121314151617343[[#This Row],[JPN]]-VLOOKUP($U$1,A:Q,16,))/VLOOKUP($U$1,A:Q,16,))*100)+100</f>
        <v/>
      </c>
    </row>
    <row r="99" customFormat="1" s="94">
      <c r="A99" s="22" t="n">
        <v>35827</v>
      </c>
      <c r="B99" s="86">
        <f>VLOOKUP(A99,Database!$A:$AS,MATCH($B$1,Database!$A$1:$AS$1,0),FALSE)</f>
        <v/>
      </c>
      <c r="C99" s="86">
        <f>VLOOKUP(A99,Database!$A:$AS,MATCH($C$1,Database!$A$1:$AS$1,0),FALSE)</f>
        <v/>
      </c>
      <c r="D99" s="86">
        <f>VLOOKUP(A99,Database!$A:$AS,MATCH($D$1,Database!$A$1:$AS$1,0),FALSE)</f>
        <v/>
      </c>
      <c r="E99" s="86">
        <f>VLOOKUP(A99,Database!$A:$AS,MATCH($E$1,Database!$A$1:$AS$1,0),FALSE)</f>
        <v/>
      </c>
      <c r="F99" s="86">
        <f>VLOOKUP(A99,Database!$A:$AS,MATCH($F$1,Database!$A$1:$AS$1,0),FALSE)</f>
        <v/>
      </c>
      <c r="G99" s="86">
        <f>VLOOKUP(A99,Database!$A:$AS,MATCH($G$1,Database!$A$1:$AS$1,0),FALSE)</f>
        <v/>
      </c>
      <c r="H99" s="86">
        <f>(((Table134567891011121314151617343[[#This Row],[ITA]]-VLOOKUP($U$1,A:B,2,))/VLOOKUP($U$1,A:B,2,))*100)+100</f>
        <v/>
      </c>
      <c r="I99" s="86">
        <f>(((Table134567891011121314151617343[[#This Row],[FRA]]-VLOOKUP($U$1,A:C,3,))/VLOOKUP($U$1,A:C,3,))*100)+100</f>
        <v/>
      </c>
      <c r="J99" s="86">
        <f>(((Table134567891011121314151617343[[#This Row],[DEU]]-VLOOKUP($U$1,A:D,4,))/VLOOKUP($U$1,A:D,4,))*100)+100</f>
        <v/>
      </c>
      <c r="K99" s="86">
        <f>(((Table134567891011121314151617343[[#This Row],[ESP]]-VLOOKUP($U$1,A:E,5,))/VLOOKUP($U$1,A:E,5,))*100)+100</f>
        <v/>
      </c>
      <c r="L99" s="86">
        <f>(((Table134567891011121314151617343[[#This Row],[EA19]]-VLOOKUP($U$1,A:F,6,))/VLOOKUP($U$1,A:F,6,))*100)+100</f>
        <v/>
      </c>
      <c r="M99" s="86">
        <f>(((Table134567891011121314151617343[[#This Row],[GBR]]-VLOOKUP($U$1,A:G,7,))/VLOOKUP($U$1,A:G,7,))*100)+100</f>
        <v/>
      </c>
      <c r="N99" s="86">
        <f>VLOOKUP(A99,Database!$A:$AS,MATCH($N$1,Database!$A$1:$AS$1,0),FALSE)</f>
        <v/>
      </c>
      <c r="O99" s="86">
        <f>(((Table134567891011121314151617343[[#This Row],[USA]]-VLOOKUP($U$1,A:N,14,))/VLOOKUP($U$1,A:N,14,))*100)+100</f>
        <v/>
      </c>
      <c r="P99" s="86">
        <f>VLOOKUP(A99,Database!$A:$AS,MATCH($P$1,Database!$A$1:$AS$1,0),FALSE)</f>
        <v/>
      </c>
      <c r="Q99" s="86">
        <f>(((Table134567891011121314151617343[[#This Row],[JPN]]-VLOOKUP($U$1,A:Q,16,))/VLOOKUP($U$1,A:Q,16,))*100)+100</f>
        <v/>
      </c>
    </row>
    <row r="100" customFormat="1" s="94">
      <c r="A100" s="22" t="n">
        <v>35855</v>
      </c>
      <c r="B100" s="86">
        <f>VLOOKUP(A100,Database!$A:$AS,MATCH($B$1,Database!$A$1:$AS$1,0),FALSE)</f>
        <v/>
      </c>
      <c r="C100" s="86">
        <f>VLOOKUP(A100,Database!$A:$AS,MATCH($C$1,Database!$A$1:$AS$1,0),FALSE)</f>
        <v/>
      </c>
      <c r="D100" s="86">
        <f>VLOOKUP(A100,Database!$A:$AS,MATCH($D$1,Database!$A$1:$AS$1,0),FALSE)</f>
        <v/>
      </c>
      <c r="E100" s="86">
        <f>VLOOKUP(A100,Database!$A:$AS,MATCH($E$1,Database!$A$1:$AS$1,0),FALSE)</f>
        <v/>
      </c>
      <c r="F100" s="86">
        <f>VLOOKUP(A100,Database!$A:$AS,MATCH($F$1,Database!$A$1:$AS$1,0),FALSE)</f>
        <v/>
      </c>
      <c r="G100" s="86">
        <f>VLOOKUP(A100,Database!$A:$AS,MATCH($G$1,Database!$A$1:$AS$1,0),FALSE)</f>
        <v/>
      </c>
      <c r="H100" s="86">
        <f>(((Table134567891011121314151617343[[#This Row],[ITA]]-VLOOKUP($U$1,A:B,2,))/VLOOKUP($U$1,A:B,2,))*100)+100</f>
        <v/>
      </c>
      <c r="I100" s="86">
        <f>(((Table134567891011121314151617343[[#This Row],[FRA]]-VLOOKUP($U$1,A:C,3,))/VLOOKUP($U$1,A:C,3,))*100)+100</f>
        <v/>
      </c>
      <c r="J100" s="86">
        <f>(((Table134567891011121314151617343[[#This Row],[DEU]]-VLOOKUP($U$1,A:D,4,))/VLOOKUP($U$1,A:D,4,))*100)+100</f>
        <v/>
      </c>
      <c r="K100" s="86">
        <f>(((Table134567891011121314151617343[[#This Row],[ESP]]-VLOOKUP($U$1,A:E,5,))/VLOOKUP($U$1,A:E,5,))*100)+100</f>
        <v/>
      </c>
      <c r="L100" s="86">
        <f>(((Table134567891011121314151617343[[#This Row],[EA19]]-VLOOKUP($U$1,A:F,6,))/VLOOKUP($U$1,A:F,6,))*100)+100</f>
        <v/>
      </c>
      <c r="M100" s="86">
        <f>(((Table134567891011121314151617343[[#This Row],[GBR]]-VLOOKUP($U$1,A:G,7,))/VLOOKUP($U$1,A:G,7,))*100)+100</f>
        <v/>
      </c>
      <c r="N100" s="86">
        <f>VLOOKUP(A100,Database!$A:$AS,MATCH($N$1,Database!$A$1:$AS$1,0),FALSE)</f>
        <v/>
      </c>
      <c r="O100" s="86">
        <f>(((Table134567891011121314151617343[[#This Row],[USA]]-VLOOKUP($U$1,A:N,14,))/VLOOKUP($U$1,A:N,14,))*100)+100</f>
        <v/>
      </c>
      <c r="P100" s="86">
        <f>VLOOKUP(A100,Database!$A:$AS,MATCH($P$1,Database!$A$1:$AS$1,0),FALSE)</f>
        <v/>
      </c>
      <c r="Q100" s="86">
        <f>(((Table134567891011121314151617343[[#This Row],[JPN]]-VLOOKUP($U$1,A:Q,16,))/VLOOKUP($U$1,A:Q,16,))*100)+100</f>
        <v/>
      </c>
    </row>
    <row r="101" customFormat="1" s="94">
      <c r="A101" s="22" t="n">
        <v>35886</v>
      </c>
      <c r="B101" s="86">
        <f>VLOOKUP(A101,Database!$A:$AS,MATCH($B$1,Database!$A$1:$AS$1,0),FALSE)</f>
        <v/>
      </c>
      <c r="C101" s="86">
        <f>VLOOKUP(A101,Database!$A:$AS,MATCH($C$1,Database!$A$1:$AS$1,0),FALSE)</f>
        <v/>
      </c>
      <c r="D101" s="86">
        <f>VLOOKUP(A101,Database!$A:$AS,MATCH($D$1,Database!$A$1:$AS$1,0),FALSE)</f>
        <v/>
      </c>
      <c r="E101" s="86">
        <f>VLOOKUP(A101,Database!$A:$AS,MATCH($E$1,Database!$A$1:$AS$1,0),FALSE)</f>
        <v/>
      </c>
      <c r="F101" s="86">
        <f>VLOOKUP(A101,Database!$A:$AS,MATCH($F$1,Database!$A$1:$AS$1,0),FALSE)</f>
        <v/>
      </c>
      <c r="G101" s="86">
        <f>VLOOKUP(A101,Database!$A:$AS,MATCH($G$1,Database!$A$1:$AS$1,0),FALSE)</f>
        <v/>
      </c>
      <c r="H101" s="86">
        <f>(((Table134567891011121314151617343[[#This Row],[ITA]]-VLOOKUP($U$1,A:B,2,))/VLOOKUP($U$1,A:B,2,))*100)+100</f>
        <v/>
      </c>
      <c r="I101" s="86">
        <f>(((Table134567891011121314151617343[[#This Row],[FRA]]-VLOOKUP($U$1,A:C,3,))/VLOOKUP($U$1,A:C,3,))*100)+100</f>
        <v/>
      </c>
      <c r="J101" s="86">
        <f>(((Table134567891011121314151617343[[#This Row],[DEU]]-VLOOKUP($U$1,A:D,4,))/VLOOKUP($U$1,A:D,4,))*100)+100</f>
        <v/>
      </c>
      <c r="K101" s="86">
        <f>(((Table134567891011121314151617343[[#This Row],[ESP]]-VLOOKUP($U$1,A:E,5,))/VLOOKUP($U$1,A:E,5,))*100)+100</f>
        <v/>
      </c>
      <c r="L101" s="86">
        <f>(((Table134567891011121314151617343[[#This Row],[EA19]]-VLOOKUP($U$1,A:F,6,))/VLOOKUP($U$1,A:F,6,))*100)+100</f>
        <v/>
      </c>
      <c r="M101" s="86">
        <f>(((Table134567891011121314151617343[[#This Row],[GBR]]-VLOOKUP($U$1,A:G,7,))/VLOOKUP($U$1,A:G,7,))*100)+100</f>
        <v/>
      </c>
      <c r="N101" s="86">
        <f>VLOOKUP(A101,Database!$A:$AS,MATCH($N$1,Database!$A$1:$AS$1,0),FALSE)</f>
        <v/>
      </c>
      <c r="O101" s="86">
        <f>(((Table134567891011121314151617343[[#This Row],[USA]]-VLOOKUP($U$1,A:N,14,))/VLOOKUP($U$1,A:N,14,))*100)+100</f>
        <v/>
      </c>
      <c r="P101" s="86">
        <f>VLOOKUP(A101,Database!$A:$AS,MATCH($P$1,Database!$A$1:$AS$1,0),FALSE)</f>
        <v/>
      </c>
      <c r="Q101" s="86">
        <f>(((Table134567891011121314151617343[[#This Row],[JPN]]-VLOOKUP($U$1,A:Q,16,))/VLOOKUP($U$1,A:Q,16,))*100)+100</f>
        <v/>
      </c>
    </row>
    <row r="102" customFormat="1" s="94">
      <c r="A102" s="22" t="n">
        <v>35916</v>
      </c>
      <c r="B102" s="86">
        <f>VLOOKUP(A102,Database!$A:$AS,MATCH($B$1,Database!$A$1:$AS$1,0),FALSE)</f>
        <v/>
      </c>
      <c r="C102" s="86">
        <f>VLOOKUP(A102,Database!$A:$AS,MATCH($C$1,Database!$A$1:$AS$1,0),FALSE)</f>
        <v/>
      </c>
      <c r="D102" s="86">
        <f>VLOOKUP(A102,Database!$A:$AS,MATCH($D$1,Database!$A$1:$AS$1,0),FALSE)</f>
        <v/>
      </c>
      <c r="E102" s="86">
        <f>VLOOKUP(A102,Database!$A:$AS,MATCH($E$1,Database!$A$1:$AS$1,0),FALSE)</f>
        <v/>
      </c>
      <c r="F102" s="86">
        <f>VLOOKUP(A102,Database!$A:$AS,MATCH($F$1,Database!$A$1:$AS$1,0),FALSE)</f>
        <v/>
      </c>
      <c r="G102" s="86">
        <f>VLOOKUP(A102,Database!$A:$AS,MATCH($G$1,Database!$A$1:$AS$1,0),FALSE)</f>
        <v/>
      </c>
      <c r="H102" s="86">
        <f>(((Table134567891011121314151617343[[#This Row],[ITA]]-VLOOKUP($U$1,A:B,2,))/VLOOKUP($U$1,A:B,2,))*100)+100</f>
        <v/>
      </c>
      <c r="I102" s="86">
        <f>(((Table134567891011121314151617343[[#This Row],[FRA]]-VLOOKUP($U$1,A:C,3,))/VLOOKUP($U$1,A:C,3,))*100)+100</f>
        <v/>
      </c>
      <c r="J102" s="86">
        <f>(((Table134567891011121314151617343[[#This Row],[DEU]]-VLOOKUP($U$1,A:D,4,))/VLOOKUP($U$1,A:D,4,))*100)+100</f>
        <v/>
      </c>
      <c r="K102" s="86">
        <f>(((Table134567891011121314151617343[[#This Row],[ESP]]-VLOOKUP($U$1,A:E,5,))/VLOOKUP($U$1,A:E,5,))*100)+100</f>
        <v/>
      </c>
      <c r="L102" s="86">
        <f>(((Table134567891011121314151617343[[#This Row],[EA19]]-VLOOKUP($U$1,A:F,6,))/VLOOKUP($U$1,A:F,6,))*100)+100</f>
        <v/>
      </c>
      <c r="M102" s="86">
        <f>(((Table134567891011121314151617343[[#This Row],[GBR]]-VLOOKUP($U$1,A:G,7,))/VLOOKUP($U$1,A:G,7,))*100)+100</f>
        <v/>
      </c>
      <c r="N102" s="86">
        <f>VLOOKUP(A102,Database!$A:$AS,MATCH($N$1,Database!$A$1:$AS$1,0),FALSE)</f>
        <v/>
      </c>
      <c r="O102" s="86">
        <f>(((Table134567891011121314151617343[[#This Row],[USA]]-VLOOKUP($U$1,A:N,14,))/VLOOKUP($U$1,A:N,14,))*100)+100</f>
        <v/>
      </c>
      <c r="P102" s="86">
        <f>VLOOKUP(A102,Database!$A:$AS,MATCH($P$1,Database!$A$1:$AS$1,0),FALSE)</f>
        <v/>
      </c>
      <c r="Q102" s="86">
        <f>(((Table134567891011121314151617343[[#This Row],[JPN]]-VLOOKUP($U$1,A:Q,16,))/VLOOKUP($U$1,A:Q,16,))*100)+100</f>
        <v/>
      </c>
    </row>
    <row r="103" customFormat="1" s="94">
      <c r="A103" s="22" t="n">
        <v>35947</v>
      </c>
      <c r="B103" s="86">
        <f>VLOOKUP(A103,Database!$A:$AS,MATCH($B$1,Database!$A$1:$AS$1,0),FALSE)</f>
        <v/>
      </c>
      <c r="C103" s="86">
        <f>VLOOKUP(A103,Database!$A:$AS,MATCH($C$1,Database!$A$1:$AS$1,0),FALSE)</f>
        <v/>
      </c>
      <c r="D103" s="86">
        <f>VLOOKUP(A103,Database!$A:$AS,MATCH($D$1,Database!$A$1:$AS$1,0),FALSE)</f>
        <v/>
      </c>
      <c r="E103" s="86">
        <f>VLOOKUP(A103,Database!$A:$AS,MATCH($E$1,Database!$A$1:$AS$1,0),FALSE)</f>
        <v/>
      </c>
      <c r="F103" s="86">
        <f>VLOOKUP(A103,Database!$A:$AS,MATCH($F$1,Database!$A$1:$AS$1,0),FALSE)</f>
        <v/>
      </c>
      <c r="G103" s="86">
        <f>VLOOKUP(A103,Database!$A:$AS,MATCH($G$1,Database!$A$1:$AS$1,0),FALSE)</f>
        <v/>
      </c>
      <c r="H103" s="86">
        <f>(((Table134567891011121314151617343[[#This Row],[ITA]]-VLOOKUP($U$1,A:B,2,))/VLOOKUP($U$1,A:B,2,))*100)+100</f>
        <v/>
      </c>
      <c r="I103" s="86">
        <f>(((Table134567891011121314151617343[[#This Row],[FRA]]-VLOOKUP($U$1,A:C,3,))/VLOOKUP($U$1,A:C,3,))*100)+100</f>
        <v/>
      </c>
      <c r="J103" s="86">
        <f>(((Table134567891011121314151617343[[#This Row],[DEU]]-VLOOKUP($U$1,A:D,4,))/VLOOKUP($U$1,A:D,4,))*100)+100</f>
        <v/>
      </c>
      <c r="K103" s="86">
        <f>(((Table134567891011121314151617343[[#This Row],[ESP]]-VLOOKUP($U$1,A:E,5,))/VLOOKUP($U$1,A:E,5,))*100)+100</f>
        <v/>
      </c>
      <c r="L103" s="86">
        <f>(((Table134567891011121314151617343[[#This Row],[EA19]]-VLOOKUP($U$1,A:F,6,))/VLOOKUP($U$1,A:F,6,))*100)+100</f>
        <v/>
      </c>
      <c r="M103" s="86">
        <f>(((Table134567891011121314151617343[[#This Row],[GBR]]-VLOOKUP($U$1,A:G,7,))/VLOOKUP($U$1,A:G,7,))*100)+100</f>
        <v/>
      </c>
      <c r="N103" s="86">
        <f>VLOOKUP(A103,Database!$A:$AS,MATCH($N$1,Database!$A$1:$AS$1,0),FALSE)</f>
        <v/>
      </c>
      <c r="O103" s="86">
        <f>(((Table134567891011121314151617343[[#This Row],[USA]]-VLOOKUP($U$1,A:N,14,))/VLOOKUP($U$1,A:N,14,))*100)+100</f>
        <v/>
      </c>
      <c r="P103" s="86">
        <f>VLOOKUP(A103,Database!$A:$AS,MATCH($P$1,Database!$A$1:$AS$1,0),FALSE)</f>
        <v/>
      </c>
      <c r="Q103" s="86">
        <f>(((Table134567891011121314151617343[[#This Row],[JPN]]-VLOOKUP($U$1,A:Q,16,))/VLOOKUP($U$1,A:Q,16,))*100)+100</f>
        <v/>
      </c>
    </row>
    <row r="104" customFormat="1" s="94">
      <c r="A104" s="22" t="n">
        <v>35977</v>
      </c>
      <c r="B104" s="86">
        <f>VLOOKUP(A104,Database!$A:$AS,MATCH($B$1,Database!$A$1:$AS$1,0),FALSE)</f>
        <v/>
      </c>
      <c r="C104" s="86">
        <f>VLOOKUP(A104,Database!$A:$AS,MATCH($C$1,Database!$A$1:$AS$1,0),FALSE)</f>
        <v/>
      </c>
      <c r="D104" s="86">
        <f>VLOOKUP(A104,Database!$A:$AS,MATCH($D$1,Database!$A$1:$AS$1,0),FALSE)</f>
        <v/>
      </c>
      <c r="E104" s="86">
        <f>VLOOKUP(A104,Database!$A:$AS,MATCH($E$1,Database!$A$1:$AS$1,0),FALSE)</f>
        <v/>
      </c>
      <c r="F104" s="86">
        <f>VLOOKUP(A104,Database!$A:$AS,MATCH($F$1,Database!$A$1:$AS$1,0),FALSE)</f>
        <v/>
      </c>
      <c r="G104" s="86">
        <f>VLOOKUP(A104,Database!$A:$AS,MATCH($G$1,Database!$A$1:$AS$1,0),FALSE)</f>
        <v/>
      </c>
      <c r="H104" s="86">
        <f>(((Table134567891011121314151617343[[#This Row],[ITA]]-VLOOKUP($U$1,A:B,2,))/VLOOKUP($U$1,A:B,2,))*100)+100</f>
        <v/>
      </c>
      <c r="I104" s="86">
        <f>(((Table134567891011121314151617343[[#This Row],[FRA]]-VLOOKUP($U$1,A:C,3,))/VLOOKUP($U$1,A:C,3,))*100)+100</f>
        <v/>
      </c>
      <c r="J104" s="86">
        <f>(((Table134567891011121314151617343[[#This Row],[DEU]]-VLOOKUP($U$1,A:D,4,))/VLOOKUP($U$1,A:D,4,))*100)+100</f>
        <v/>
      </c>
      <c r="K104" s="86">
        <f>(((Table134567891011121314151617343[[#This Row],[ESP]]-VLOOKUP($U$1,A:E,5,))/VLOOKUP($U$1,A:E,5,))*100)+100</f>
        <v/>
      </c>
      <c r="L104" s="86">
        <f>(((Table134567891011121314151617343[[#This Row],[EA19]]-VLOOKUP($U$1,A:F,6,))/VLOOKUP($U$1,A:F,6,))*100)+100</f>
        <v/>
      </c>
      <c r="M104" s="86">
        <f>(((Table134567891011121314151617343[[#This Row],[GBR]]-VLOOKUP($U$1,A:G,7,))/VLOOKUP($U$1,A:G,7,))*100)+100</f>
        <v/>
      </c>
      <c r="N104" s="86">
        <f>VLOOKUP(A104,Database!$A:$AS,MATCH($N$1,Database!$A$1:$AS$1,0),FALSE)</f>
        <v/>
      </c>
      <c r="O104" s="86">
        <f>(((Table134567891011121314151617343[[#This Row],[USA]]-VLOOKUP($U$1,A:N,14,))/VLOOKUP($U$1,A:N,14,))*100)+100</f>
        <v/>
      </c>
      <c r="P104" s="86">
        <f>VLOOKUP(A104,Database!$A:$AS,MATCH($P$1,Database!$A$1:$AS$1,0),FALSE)</f>
        <v/>
      </c>
      <c r="Q104" s="86">
        <f>(((Table134567891011121314151617343[[#This Row],[JPN]]-VLOOKUP($U$1,A:Q,16,))/VLOOKUP($U$1,A:Q,16,))*100)+100</f>
        <v/>
      </c>
    </row>
    <row r="105" customFormat="1" s="94">
      <c r="A105" s="22" t="n">
        <v>36008</v>
      </c>
      <c r="B105" s="86">
        <f>VLOOKUP(A105,Database!$A:$AS,MATCH($B$1,Database!$A$1:$AS$1,0),FALSE)</f>
        <v/>
      </c>
      <c r="C105" s="86">
        <f>VLOOKUP(A105,Database!$A:$AS,MATCH($C$1,Database!$A$1:$AS$1,0),FALSE)</f>
        <v/>
      </c>
      <c r="D105" s="86">
        <f>VLOOKUP(A105,Database!$A:$AS,MATCH($D$1,Database!$A$1:$AS$1,0),FALSE)</f>
        <v/>
      </c>
      <c r="E105" s="86">
        <f>VLOOKUP(A105,Database!$A:$AS,MATCH($E$1,Database!$A$1:$AS$1,0),FALSE)</f>
        <v/>
      </c>
      <c r="F105" s="86">
        <f>VLOOKUP(A105,Database!$A:$AS,MATCH($F$1,Database!$A$1:$AS$1,0),FALSE)</f>
        <v/>
      </c>
      <c r="G105" s="86">
        <f>VLOOKUP(A105,Database!$A:$AS,MATCH($G$1,Database!$A$1:$AS$1,0),FALSE)</f>
        <v/>
      </c>
      <c r="H105" s="86">
        <f>(((Table134567891011121314151617343[[#This Row],[ITA]]-VLOOKUP($U$1,A:B,2,))/VLOOKUP($U$1,A:B,2,))*100)+100</f>
        <v/>
      </c>
      <c r="I105" s="86">
        <f>(((Table134567891011121314151617343[[#This Row],[FRA]]-VLOOKUP($U$1,A:C,3,))/VLOOKUP($U$1,A:C,3,))*100)+100</f>
        <v/>
      </c>
      <c r="J105" s="86">
        <f>(((Table134567891011121314151617343[[#This Row],[DEU]]-VLOOKUP($U$1,A:D,4,))/VLOOKUP($U$1,A:D,4,))*100)+100</f>
        <v/>
      </c>
      <c r="K105" s="86">
        <f>(((Table134567891011121314151617343[[#This Row],[ESP]]-VLOOKUP($U$1,A:E,5,))/VLOOKUP($U$1,A:E,5,))*100)+100</f>
        <v/>
      </c>
      <c r="L105" s="86">
        <f>(((Table134567891011121314151617343[[#This Row],[EA19]]-VLOOKUP($U$1,A:F,6,))/VLOOKUP($U$1,A:F,6,))*100)+100</f>
        <v/>
      </c>
      <c r="M105" s="86">
        <f>(((Table134567891011121314151617343[[#This Row],[GBR]]-VLOOKUP($U$1,A:G,7,))/VLOOKUP($U$1,A:G,7,))*100)+100</f>
        <v/>
      </c>
      <c r="N105" s="86">
        <f>VLOOKUP(A105,Database!$A:$AS,MATCH($N$1,Database!$A$1:$AS$1,0),FALSE)</f>
        <v/>
      </c>
      <c r="O105" s="86">
        <f>(((Table134567891011121314151617343[[#This Row],[USA]]-VLOOKUP($U$1,A:N,14,))/VLOOKUP($U$1,A:N,14,))*100)+100</f>
        <v/>
      </c>
      <c r="P105" s="86">
        <f>VLOOKUP(A105,Database!$A:$AS,MATCH($P$1,Database!$A$1:$AS$1,0),FALSE)</f>
        <v/>
      </c>
      <c r="Q105" s="86">
        <f>(((Table134567891011121314151617343[[#This Row],[JPN]]-VLOOKUP($U$1,A:Q,16,))/VLOOKUP($U$1,A:Q,16,))*100)+100</f>
        <v/>
      </c>
    </row>
    <row r="106" customFormat="1" s="94">
      <c r="A106" s="22" t="n">
        <v>36039</v>
      </c>
      <c r="B106" s="86">
        <f>VLOOKUP(A106,Database!$A:$AS,MATCH($B$1,Database!$A$1:$AS$1,0),FALSE)</f>
        <v/>
      </c>
      <c r="C106" s="86">
        <f>VLOOKUP(A106,Database!$A:$AS,MATCH($C$1,Database!$A$1:$AS$1,0),FALSE)</f>
        <v/>
      </c>
      <c r="D106" s="86">
        <f>VLOOKUP(A106,Database!$A:$AS,MATCH($D$1,Database!$A$1:$AS$1,0),FALSE)</f>
        <v/>
      </c>
      <c r="E106" s="86">
        <f>VLOOKUP(A106,Database!$A:$AS,MATCH($E$1,Database!$A$1:$AS$1,0),FALSE)</f>
        <v/>
      </c>
      <c r="F106" s="86">
        <f>VLOOKUP(A106,Database!$A:$AS,MATCH($F$1,Database!$A$1:$AS$1,0),FALSE)</f>
        <v/>
      </c>
      <c r="G106" s="86">
        <f>VLOOKUP(A106,Database!$A:$AS,MATCH($G$1,Database!$A$1:$AS$1,0),FALSE)</f>
        <v/>
      </c>
      <c r="H106" s="86">
        <f>(((Table134567891011121314151617343[[#This Row],[ITA]]-VLOOKUP($U$1,A:B,2,))/VLOOKUP($U$1,A:B,2,))*100)+100</f>
        <v/>
      </c>
      <c r="I106" s="86">
        <f>(((Table134567891011121314151617343[[#This Row],[FRA]]-VLOOKUP($U$1,A:C,3,))/VLOOKUP($U$1,A:C,3,))*100)+100</f>
        <v/>
      </c>
      <c r="J106" s="86">
        <f>(((Table134567891011121314151617343[[#This Row],[DEU]]-VLOOKUP($U$1,A:D,4,))/VLOOKUP($U$1,A:D,4,))*100)+100</f>
        <v/>
      </c>
      <c r="K106" s="86">
        <f>(((Table134567891011121314151617343[[#This Row],[ESP]]-VLOOKUP($U$1,A:E,5,))/VLOOKUP($U$1,A:E,5,))*100)+100</f>
        <v/>
      </c>
      <c r="L106" s="86">
        <f>(((Table134567891011121314151617343[[#This Row],[EA19]]-VLOOKUP($U$1,A:F,6,))/VLOOKUP($U$1,A:F,6,))*100)+100</f>
        <v/>
      </c>
      <c r="M106" s="86">
        <f>(((Table134567891011121314151617343[[#This Row],[GBR]]-VLOOKUP($U$1,A:G,7,))/VLOOKUP($U$1,A:G,7,))*100)+100</f>
        <v/>
      </c>
      <c r="N106" s="86">
        <f>VLOOKUP(A106,Database!$A:$AS,MATCH($N$1,Database!$A$1:$AS$1,0),FALSE)</f>
        <v/>
      </c>
      <c r="O106" s="86">
        <f>(((Table134567891011121314151617343[[#This Row],[USA]]-VLOOKUP($U$1,A:N,14,))/VLOOKUP($U$1,A:N,14,))*100)+100</f>
        <v/>
      </c>
      <c r="P106" s="86">
        <f>VLOOKUP(A106,Database!$A:$AS,MATCH($P$1,Database!$A$1:$AS$1,0),FALSE)</f>
        <v/>
      </c>
      <c r="Q106" s="86">
        <f>(((Table134567891011121314151617343[[#This Row],[JPN]]-VLOOKUP($U$1,A:Q,16,))/VLOOKUP($U$1,A:Q,16,))*100)+100</f>
        <v/>
      </c>
    </row>
    <row r="107" customFormat="1" s="94">
      <c r="A107" s="22" t="n">
        <v>36069</v>
      </c>
      <c r="B107" s="86">
        <f>VLOOKUP(A107,Database!$A:$AS,MATCH($B$1,Database!$A$1:$AS$1,0),FALSE)</f>
        <v/>
      </c>
      <c r="C107" s="86">
        <f>VLOOKUP(A107,Database!$A:$AS,MATCH($C$1,Database!$A$1:$AS$1,0),FALSE)</f>
        <v/>
      </c>
      <c r="D107" s="86">
        <f>VLOOKUP(A107,Database!$A:$AS,MATCH($D$1,Database!$A$1:$AS$1,0),FALSE)</f>
        <v/>
      </c>
      <c r="E107" s="86">
        <f>VLOOKUP(A107,Database!$A:$AS,MATCH($E$1,Database!$A$1:$AS$1,0),FALSE)</f>
        <v/>
      </c>
      <c r="F107" s="86">
        <f>VLOOKUP(A107,Database!$A:$AS,MATCH($F$1,Database!$A$1:$AS$1,0),FALSE)</f>
        <v/>
      </c>
      <c r="G107" s="86">
        <f>VLOOKUP(A107,Database!$A:$AS,MATCH($G$1,Database!$A$1:$AS$1,0),FALSE)</f>
        <v/>
      </c>
      <c r="H107" s="86">
        <f>(((Table134567891011121314151617343[[#This Row],[ITA]]-VLOOKUP($U$1,A:B,2,))/VLOOKUP($U$1,A:B,2,))*100)+100</f>
        <v/>
      </c>
      <c r="I107" s="86">
        <f>(((Table134567891011121314151617343[[#This Row],[FRA]]-VLOOKUP($U$1,A:C,3,))/VLOOKUP($U$1,A:C,3,))*100)+100</f>
        <v/>
      </c>
      <c r="J107" s="86">
        <f>(((Table134567891011121314151617343[[#This Row],[DEU]]-VLOOKUP($U$1,A:D,4,))/VLOOKUP($U$1,A:D,4,))*100)+100</f>
        <v/>
      </c>
      <c r="K107" s="86">
        <f>(((Table134567891011121314151617343[[#This Row],[ESP]]-VLOOKUP($U$1,A:E,5,))/VLOOKUP($U$1,A:E,5,))*100)+100</f>
        <v/>
      </c>
      <c r="L107" s="86">
        <f>(((Table134567891011121314151617343[[#This Row],[EA19]]-VLOOKUP($U$1,A:F,6,))/VLOOKUP($U$1,A:F,6,))*100)+100</f>
        <v/>
      </c>
      <c r="M107" s="86">
        <f>(((Table134567891011121314151617343[[#This Row],[GBR]]-VLOOKUP($U$1,A:G,7,))/VLOOKUP($U$1,A:G,7,))*100)+100</f>
        <v/>
      </c>
      <c r="N107" s="86">
        <f>VLOOKUP(A107,Database!$A:$AS,MATCH($N$1,Database!$A$1:$AS$1,0),FALSE)</f>
        <v/>
      </c>
      <c r="O107" s="86">
        <f>(((Table134567891011121314151617343[[#This Row],[USA]]-VLOOKUP($U$1,A:N,14,))/VLOOKUP($U$1,A:N,14,))*100)+100</f>
        <v/>
      </c>
      <c r="P107" s="86">
        <f>VLOOKUP(A107,Database!$A:$AS,MATCH($P$1,Database!$A$1:$AS$1,0),FALSE)</f>
        <v/>
      </c>
      <c r="Q107" s="86">
        <f>(((Table134567891011121314151617343[[#This Row],[JPN]]-VLOOKUP($U$1,A:Q,16,))/VLOOKUP($U$1,A:Q,16,))*100)+100</f>
        <v/>
      </c>
    </row>
    <row r="108" customFormat="1" s="94">
      <c r="A108" s="22" t="n">
        <v>36100</v>
      </c>
      <c r="B108" s="86">
        <f>VLOOKUP(A108,Database!$A:$AS,MATCH($B$1,Database!$A$1:$AS$1,0),FALSE)</f>
        <v/>
      </c>
      <c r="C108" s="86">
        <f>VLOOKUP(A108,Database!$A:$AS,MATCH($C$1,Database!$A$1:$AS$1,0),FALSE)</f>
        <v/>
      </c>
      <c r="D108" s="86">
        <f>VLOOKUP(A108,Database!$A:$AS,MATCH($D$1,Database!$A$1:$AS$1,0),FALSE)</f>
        <v/>
      </c>
      <c r="E108" s="86">
        <f>VLOOKUP(A108,Database!$A:$AS,MATCH($E$1,Database!$A$1:$AS$1,0),FALSE)</f>
        <v/>
      </c>
      <c r="F108" s="86">
        <f>VLOOKUP(A108,Database!$A:$AS,MATCH($F$1,Database!$A$1:$AS$1,0),FALSE)</f>
        <v/>
      </c>
      <c r="G108" s="86">
        <f>VLOOKUP(A108,Database!$A:$AS,MATCH($G$1,Database!$A$1:$AS$1,0),FALSE)</f>
        <v/>
      </c>
      <c r="H108" s="86">
        <f>(((Table134567891011121314151617343[[#This Row],[ITA]]-VLOOKUP($U$1,A:B,2,))/VLOOKUP($U$1,A:B,2,))*100)+100</f>
        <v/>
      </c>
      <c r="I108" s="86">
        <f>(((Table134567891011121314151617343[[#This Row],[FRA]]-VLOOKUP($U$1,A:C,3,))/VLOOKUP($U$1,A:C,3,))*100)+100</f>
        <v/>
      </c>
      <c r="J108" s="86">
        <f>(((Table134567891011121314151617343[[#This Row],[DEU]]-VLOOKUP($U$1,A:D,4,))/VLOOKUP($U$1,A:D,4,))*100)+100</f>
        <v/>
      </c>
      <c r="K108" s="86">
        <f>(((Table134567891011121314151617343[[#This Row],[ESP]]-VLOOKUP($U$1,A:E,5,))/VLOOKUP($U$1,A:E,5,))*100)+100</f>
        <v/>
      </c>
      <c r="L108" s="86">
        <f>(((Table134567891011121314151617343[[#This Row],[EA19]]-VLOOKUP($U$1,A:F,6,))/VLOOKUP($U$1,A:F,6,))*100)+100</f>
        <v/>
      </c>
      <c r="M108" s="86">
        <f>(((Table134567891011121314151617343[[#This Row],[GBR]]-VLOOKUP($U$1,A:G,7,))/VLOOKUP($U$1,A:G,7,))*100)+100</f>
        <v/>
      </c>
      <c r="N108" s="86">
        <f>VLOOKUP(A108,Database!$A:$AS,MATCH($N$1,Database!$A$1:$AS$1,0),FALSE)</f>
        <v/>
      </c>
      <c r="O108" s="86">
        <f>(((Table134567891011121314151617343[[#This Row],[USA]]-VLOOKUP($U$1,A:N,14,))/VLOOKUP($U$1,A:N,14,))*100)+100</f>
        <v/>
      </c>
      <c r="P108" s="86">
        <f>VLOOKUP(A108,Database!$A:$AS,MATCH($P$1,Database!$A$1:$AS$1,0),FALSE)</f>
        <v/>
      </c>
      <c r="Q108" s="86">
        <f>(((Table134567891011121314151617343[[#This Row],[JPN]]-VLOOKUP($U$1,A:Q,16,))/VLOOKUP($U$1,A:Q,16,))*100)+100</f>
        <v/>
      </c>
    </row>
    <row r="109" customFormat="1" s="94">
      <c r="A109" s="22" t="n">
        <v>36130</v>
      </c>
      <c r="B109" s="86">
        <f>VLOOKUP(A109,Database!$A:$AS,MATCH($B$1,Database!$A$1:$AS$1,0),FALSE)</f>
        <v/>
      </c>
      <c r="C109" s="86">
        <f>VLOOKUP(A109,Database!$A:$AS,MATCH($C$1,Database!$A$1:$AS$1,0),FALSE)</f>
        <v/>
      </c>
      <c r="D109" s="86">
        <f>VLOOKUP(A109,Database!$A:$AS,MATCH($D$1,Database!$A$1:$AS$1,0),FALSE)</f>
        <v/>
      </c>
      <c r="E109" s="86">
        <f>VLOOKUP(A109,Database!$A:$AS,MATCH($E$1,Database!$A$1:$AS$1,0),FALSE)</f>
        <v/>
      </c>
      <c r="F109" s="86">
        <f>VLOOKUP(A109,Database!$A:$AS,MATCH($F$1,Database!$A$1:$AS$1,0),FALSE)</f>
        <v/>
      </c>
      <c r="G109" s="86">
        <f>VLOOKUP(A109,Database!$A:$AS,MATCH($G$1,Database!$A$1:$AS$1,0),FALSE)</f>
        <v/>
      </c>
      <c r="H109" s="86">
        <f>(((Table134567891011121314151617343[[#This Row],[ITA]]-VLOOKUP($U$1,A:B,2,))/VLOOKUP($U$1,A:B,2,))*100)+100</f>
        <v/>
      </c>
      <c r="I109" s="86">
        <f>(((Table134567891011121314151617343[[#This Row],[FRA]]-VLOOKUP($U$1,A:C,3,))/VLOOKUP($U$1,A:C,3,))*100)+100</f>
        <v/>
      </c>
      <c r="J109" s="86">
        <f>(((Table134567891011121314151617343[[#This Row],[DEU]]-VLOOKUP($U$1,A:D,4,))/VLOOKUP($U$1,A:D,4,))*100)+100</f>
        <v/>
      </c>
      <c r="K109" s="86">
        <f>(((Table134567891011121314151617343[[#This Row],[ESP]]-VLOOKUP($U$1,A:E,5,))/VLOOKUP($U$1,A:E,5,))*100)+100</f>
        <v/>
      </c>
      <c r="L109" s="86">
        <f>(((Table134567891011121314151617343[[#This Row],[EA19]]-VLOOKUP($U$1,A:F,6,))/VLOOKUP($U$1,A:F,6,))*100)+100</f>
        <v/>
      </c>
      <c r="M109" s="86">
        <f>(((Table134567891011121314151617343[[#This Row],[GBR]]-VLOOKUP($U$1,A:G,7,))/VLOOKUP($U$1,A:G,7,))*100)+100</f>
        <v/>
      </c>
      <c r="N109" s="86">
        <f>VLOOKUP(A109,Database!$A:$AS,MATCH($N$1,Database!$A$1:$AS$1,0),FALSE)</f>
        <v/>
      </c>
      <c r="O109" s="86">
        <f>(((Table134567891011121314151617343[[#This Row],[USA]]-VLOOKUP($U$1,A:N,14,))/VLOOKUP($U$1,A:N,14,))*100)+100</f>
        <v/>
      </c>
      <c r="P109" s="86">
        <f>VLOOKUP(A109,Database!$A:$AS,MATCH($P$1,Database!$A$1:$AS$1,0),FALSE)</f>
        <v/>
      </c>
      <c r="Q109" s="86">
        <f>(((Table134567891011121314151617343[[#This Row],[JPN]]-VLOOKUP($U$1,A:Q,16,))/VLOOKUP($U$1,A:Q,16,))*100)+100</f>
        <v/>
      </c>
    </row>
    <row r="110" customFormat="1" s="94">
      <c r="A110" s="22" t="n">
        <v>36161</v>
      </c>
      <c r="B110" s="86">
        <f>VLOOKUP(A110,Database!$A:$AS,MATCH($B$1,Database!$A$1:$AS$1,0),FALSE)</f>
        <v/>
      </c>
      <c r="C110" s="86">
        <f>VLOOKUP(A110,Database!$A:$AS,MATCH($C$1,Database!$A$1:$AS$1,0),FALSE)</f>
        <v/>
      </c>
      <c r="D110" s="86">
        <f>VLOOKUP(A110,Database!$A:$AS,MATCH($D$1,Database!$A$1:$AS$1,0),FALSE)</f>
        <v/>
      </c>
      <c r="E110" s="86">
        <f>VLOOKUP(A110,Database!$A:$AS,MATCH($E$1,Database!$A$1:$AS$1,0),FALSE)</f>
        <v/>
      </c>
      <c r="F110" s="86">
        <f>VLOOKUP(A110,Database!$A:$AS,MATCH($F$1,Database!$A$1:$AS$1,0),FALSE)</f>
        <v/>
      </c>
      <c r="G110" s="86">
        <f>VLOOKUP(A110,Database!$A:$AS,MATCH($G$1,Database!$A$1:$AS$1,0),FALSE)</f>
        <v/>
      </c>
      <c r="H110" s="86">
        <f>(((Table134567891011121314151617343[[#This Row],[ITA]]-VLOOKUP($U$1,A:B,2,))/VLOOKUP($U$1,A:B,2,))*100)+100</f>
        <v/>
      </c>
      <c r="I110" s="86">
        <f>(((Table134567891011121314151617343[[#This Row],[FRA]]-VLOOKUP($U$1,A:C,3,))/VLOOKUP($U$1,A:C,3,))*100)+100</f>
        <v/>
      </c>
      <c r="J110" s="86">
        <f>(((Table134567891011121314151617343[[#This Row],[DEU]]-VLOOKUP($U$1,A:D,4,))/VLOOKUP($U$1,A:D,4,))*100)+100</f>
        <v/>
      </c>
      <c r="K110" s="86">
        <f>(((Table134567891011121314151617343[[#This Row],[ESP]]-VLOOKUP($U$1,A:E,5,))/VLOOKUP($U$1,A:E,5,))*100)+100</f>
        <v/>
      </c>
      <c r="L110" s="86">
        <f>(((Table134567891011121314151617343[[#This Row],[EA19]]-VLOOKUP($U$1,A:F,6,))/VLOOKUP($U$1,A:F,6,))*100)+100</f>
        <v/>
      </c>
      <c r="M110" s="86">
        <f>(((Table134567891011121314151617343[[#This Row],[GBR]]-VLOOKUP($U$1,A:G,7,))/VLOOKUP($U$1,A:G,7,))*100)+100</f>
        <v/>
      </c>
      <c r="N110" s="86">
        <f>VLOOKUP(A110,Database!$A:$AS,MATCH($N$1,Database!$A$1:$AS$1,0),FALSE)</f>
        <v/>
      </c>
      <c r="O110" s="86">
        <f>(((Table134567891011121314151617343[[#This Row],[USA]]-VLOOKUP($U$1,A:N,14,))/VLOOKUP($U$1,A:N,14,))*100)+100</f>
        <v/>
      </c>
      <c r="P110" s="86">
        <f>VLOOKUP(A110,Database!$A:$AS,MATCH($P$1,Database!$A$1:$AS$1,0),FALSE)</f>
        <v/>
      </c>
      <c r="Q110" s="86">
        <f>(((Table134567891011121314151617343[[#This Row],[JPN]]-VLOOKUP($U$1,A:Q,16,))/VLOOKUP($U$1,A:Q,16,))*100)+100</f>
        <v/>
      </c>
    </row>
    <row r="111" customFormat="1" s="94">
      <c r="A111" s="22" t="n">
        <v>36192</v>
      </c>
      <c r="B111" s="86">
        <f>VLOOKUP(A111,Database!$A:$AS,MATCH($B$1,Database!$A$1:$AS$1,0),FALSE)</f>
        <v/>
      </c>
      <c r="C111" s="86">
        <f>VLOOKUP(A111,Database!$A:$AS,MATCH($C$1,Database!$A$1:$AS$1,0),FALSE)</f>
        <v/>
      </c>
      <c r="D111" s="86">
        <f>VLOOKUP(A111,Database!$A:$AS,MATCH($D$1,Database!$A$1:$AS$1,0),FALSE)</f>
        <v/>
      </c>
      <c r="E111" s="86">
        <f>VLOOKUP(A111,Database!$A:$AS,MATCH($E$1,Database!$A$1:$AS$1,0),FALSE)</f>
        <v/>
      </c>
      <c r="F111" s="86">
        <f>VLOOKUP(A111,Database!$A:$AS,MATCH($F$1,Database!$A$1:$AS$1,0),FALSE)</f>
        <v/>
      </c>
      <c r="G111" s="86">
        <f>VLOOKUP(A111,Database!$A:$AS,MATCH($G$1,Database!$A$1:$AS$1,0),FALSE)</f>
        <v/>
      </c>
      <c r="H111" s="43">
        <f>(((Table134567891011121314151617343[[#This Row],[ITA]]-VLOOKUP($U$1,A:B,2,))/VLOOKUP($U$1,A:B,2,))*100)+100</f>
        <v/>
      </c>
      <c r="I111" s="86">
        <f>(((Table134567891011121314151617343[[#This Row],[FRA]]-VLOOKUP($U$1,A:C,3,))/VLOOKUP($U$1,A:C,3,))*100)+100</f>
        <v/>
      </c>
      <c r="J111" s="86">
        <f>(((Table134567891011121314151617343[[#This Row],[DEU]]-VLOOKUP($U$1,A:D,4,))/VLOOKUP($U$1,A:D,4,))*100)+100</f>
        <v/>
      </c>
      <c r="K111" s="86">
        <f>(((Table134567891011121314151617343[[#This Row],[ESP]]-VLOOKUP($U$1,A:E,5,))/VLOOKUP($U$1,A:E,5,))*100)+100</f>
        <v/>
      </c>
      <c r="L111" s="86">
        <f>(((Table134567891011121314151617343[[#This Row],[EA19]]-VLOOKUP($U$1,A:F,6,))/VLOOKUP($U$1,A:F,6,))*100)+100</f>
        <v/>
      </c>
      <c r="M111" s="86">
        <f>(((Table134567891011121314151617343[[#This Row],[GBR]]-VLOOKUP($U$1,A:G,7,))/VLOOKUP($U$1,A:G,7,))*100)+100</f>
        <v/>
      </c>
      <c r="N111" s="86">
        <f>VLOOKUP(A111,Database!$A:$AS,MATCH($N$1,Database!$A$1:$AS$1,0),FALSE)</f>
        <v/>
      </c>
      <c r="O111" s="86">
        <f>(((Table134567891011121314151617343[[#This Row],[USA]]-VLOOKUP($U$1,A:N,14,))/VLOOKUP($U$1,A:N,14,))*100)+100</f>
        <v/>
      </c>
      <c r="P111" s="86">
        <f>VLOOKUP(A111,Database!$A:$AS,MATCH($P$1,Database!$A$1:$AS$1,0),FALSE)</f>
        <v/>
      </c>
      <c r="Q111" s="86">
        <f>(((Table134567891011121314151617343[[#This Row],[JPN]]-VLOOKUP($U$1,A:Q,16,))/VLOOKUP($U$1,A:Q,16,))*100)+100</f>
        <v/>
      </c>
    </row>
    <row r="112" customFormat="1" s="94">
      <c r="A112" s="22" t="n">
        <v>36220</v>
      </c>
      <c r="B112" s="86">
        <f>VLOOKUP(A112,Database!$A:$AS,MATCH($B$1,Database!$A$1:$AS$1,0),FALSE)</f>
        <v/>
      </c>
      <c r="C112" s="86">
        <f>VLOOKUP(A112,Database!$A:$AS,MATCH($C$1,Database!$A$1:$AS$1,0),FALSE)</f>
        <v/>
      </c>
      <c r="D112" s="86">
        <f>VLOOKUP(A112,Database!$A:$AS,MATCH($D$1,Database!$A$1:$AS$1,0),FALSE)</f>
        <v/>
      </c>
      <c r="E112" s="86">
        <f>VLOOKUP(A112,Database!$A:$AS,MATCH($E$1,Database!$A$1:$AS$1,0),FALSE)</f>
        <v/>
      </c>
      <c r="F112" s="86">
        <f>VLOOKUP(A112,Database!$A:$AS,MATCH($F$1,Database!$A$1:$AS$1,0),FALSE)</f>
        <v/>
      </c>
      <c r="G112" s="86">
        <f>VLOOKUP(A112,Database!$A:$AS,MATCH($G$1,Database!$A$1:$AS$1,0),FALSE)</f>
        <v/>
      </c>
      <c r="H112" s="86">
        <f>(((Table134567891011121314151617343[[#This Row],[ITA]]-VLOOKUP($U$1,A:B,2,))/VLOOKUP($U$1,A:B,2,))*100)+100</f>
        <v/>
      </c>
      <c r="I112" s="86">
        <f>(((Table134567891011121314151617343[[#This Row],[FRA]]-VLOOKUP($U$1,A:C,3,))/VLOOKUP($U$1,A:C,3,))*100)+100</f>
        <v/>
      </c>
      <c r="J112" s="86">
        <f>(((Table134567891011121314151617343[[#This Row],[DEU]]-VLOOKUP($U$1,A:D,4,))/VLOOKUP($U$1,A:D,4,))*100)+100</f>
        <v/>
      </c>
      <c r="K112" s="86">
        <f>(((Table134567891011121314151617343[[#This Row],[ESP]]-VLOOKUP($U$1,A:E,5,))/VLOOKUP($U$1,A:E,5,))*100)+100</f>
        <v/>
      </c>
      <c r="L112" s="86">
        <f>(((Table134567891011121314151617343[[#This Row],[EA19]]-VLOOKUP($U$1,A:F,6,))/VLOOKUP($U$1,A:F,6,))*100)+100</f>
        <v/>
      </c>
      <c r="M112" s="86">
        <f>(((Table134567891011121314151617343[[#This Row],[GBR]]-VLOOKUP($U$1,A:G,7,))/VLOOKUP($U$1,A:G,7,))*100)+100</f>
        <v/>
      </c>
      <c r="N112" s="86">
        <f>VLOOKUP(A112,Database!$A:$AS,MATCH($N$1,Database!$A$1:$AS$1,0),FALSE)</f>
        <v/>
      </c>
      <c r="O112" s="86">
        <f>(((Table134567891011121314151617343[[#This Row],[USA]]-VLOOKUP($U$1,A:N,14,))/VLOOKUP($U$1,A:N,14,))*100)+100</f>
        <v/>
      </c>
      <c r="P112" s="86">
        <f>VLOOKUP(A112,Database!$A:$AS,MATCH($P$1,Database!$A$1:$AS$1,0),FALSE)</f>
        <v/>
      </c>
      <c r="Q112" s="86">
        <f>(((Table134567891011121314151617343[[#This Row],[JPN]]-VLOOKUP($U$1,A:Q,16,))/VLOOKUP($U$1,A:Q,16,))*100)+100</f>
        <v/>
      </c>
    </row>
    <row r="113" customFormat="1" s="94">
      <c r="A113" s="22" t="n">
        <v>36251</v>
      </c>
      <c r="B113" s="86">
        <f>VLOOKUP(A113,Database!$A:$AS,MATCH($B$1,Database!$A$1:$AS$1,0),FALSE)</f>
        <v/>
      </c>
      <c r="C113" s="86">
        <f>VLOOKUP(A113,Database!$A:$AS,MATCH($C$1,Database!$A$1:$AS$1,0),FALSE)</f>
        <v/>
      </c>
      <c r="D113" s="86">
        <f>VLOOKUP(A113,Database!$A:$AS,MATCH($D$1,Database!$A$1:$AS$1,0),FALSE)</f>
        <v/>
      </c>
      <c r="E113" s="86">
        <f>VLOOKUP(A113,Database!$A:$AS,MATCH($E$1,Database!$A$1:$AS$1,0),FALSE)</f>
        <v/>
      </c>
      <c r="F113" s="86">
        <f>VLOOKUP(A113,Database!$A:$AS,MATCH($F$1,Database!$A$1:$AS$1,0),FALSE)</f>
        <v/>
      </c>
      <c r="G113" s="86">
        <f>VLOOKUP(A113,Database!$A:$AS,MATCH($G$1,Database!$A$1:$AS$1,0),FALSE)</f>
        <v/>
      </c>
      <c r="H113" s="86">
        <f>(((Table134567891011121314151617343[[#This Row],[ITA]]-VLOOKUP($U$1,A:B,2,))/VLOOKUP($U$1,A:B,2,))*100)+100</f>
        <v/>
      </c>
      <c r="I113" s="86">
        <f>(((Table134567891011121314151617343[[#This Row],[FRA]]-VLOOKUP($U$1,A:C,3,))/VLOOKUP($U$1,A:C,3,))*100)+100</f>
        <v/>
      </c>
      <c r="J113" s="86">
        <f>(((Table134567891011121314151617343[[#This Row],[DEU]]-VLOOKUP($U$1,A:D,4,))/VLOOKUP($U$1,A:D,4,))*100)+100</f>
        <v/>
      </c>
      <c r="K113" s="86">
        <f>(((Table134567891011121314151617343[[#This Row],[ESP]]-VLOOKUP($U$1,A:E,5,))/VLOOKUP($U$1,A:E,5,))*100)+100</f>
        <v/>
      </c>
      <c r="L113" s="86">
        <f>(((Table134567891011121314151617343[[#This Row],[EA19]]-VLOOKUP($U$1,A:F,6,))/VLOOKUP($U$1,A:F,6,))*100)+100</f>
        <v/>
      </c>
      <c r="M113" s="86">
        <f>(((Table134567891011121314151617343[[#This Row],[GBR]]-VLOOKUP($U$1,A:G,7,))/VLOOKUP($U$1,A:G,7,))*100)+100</f>
        <v/>
      </c>
      <c r="N113" s="86">
        <f>VLOOKUP(A113,Database!$A:$AS,MATCH($N$1,Database!$A$1:$AS$1,0),FALSE)</f>
        <v/>
      </c>
      <c r="O113" s="86">
        <f>(((Table134567891011121314151617343[[#This Row],[USA]]-VLOOKUP($U$1,A:N,14,))/VLOOKUP($U$1,A:N,14,))*100)+100</f>
        <v/>
      </c>
      <c r="P113" s="86">
        <f>VLOOKUP(A113,Database!$A:$AS,MATCH($P$1,Database!$A$1:$AS$1,0),FALSE)</f>
        <v/>
      </c>
      <c r="Q113" s="86">
        <f>(((Table134567891011121314151617343[[#This Row],[JPN]]-VLOOKUP($U$1,A:Q,16,))/VLOOKUP($U$1,A:Q,16,))*100)+100</f>
        <v/>
      </c>
    </row>
    <row r="114" customFormat="1" s="94">
      <c r="A114" s="22" t="n">
        <v>36281</v>
      </c>
      <c r="B114" s="86">
        <f>VLOOKUP(A114,Database!$A:$AS,MATCH($B$1,Database!$A$1:$AS$1,0),FALSE)</f>
        <v/>
      </c>
      <c r="C114" s="86">
        <f>VLOOKUP(A114,Database!$A:$AS,MATCH($C$1,Database!$A$1:$AS$1,0),FALSE)</f>
        <v/>
      </c>
      <c r="D114" s="86">
        <f>VLOOKUP(A114,Database!$A:$AS,MATCH($D$1,Database!$A$1:$AS$1,0),FALSE)</f>
        <v/>
      </c>
      <c r="E114" s="86">
        <f>VLOOKUP(A114,Database!$A:$AS,MATCH($E$1,Database!$A$1:$AS$1,0),FALSE)</f>
        <v/>
      </c>
      <c r="F114" s="86">
        <f>VLOOKUP(A114,Database!$A:$AS,MATCH($F$1,Database!$A$1:$AS$1,0),FALSE)</f>
        <v/>
      </c>
      <c r="G114" s="86">
        <f>VLOOKUP(A114,Database!$A:$AS,MATCH($G$1,Database!$A$1:$AS$1,0),FALSE)</f>
        <v/>
      </c>
      <c r="H114" s="86">
        <f>(((Table134567891011121314151617343[[#This Row],[ITA]]-VLOOKUP($U$1,A:B,2,))/VLOOKUP($U$1,A:B,2,))*100)+100</f>
        <v/>
      </c>
      <c r="I114" s="86">
        <f>(((Table134567891011121314151617343[[#This Row],[FRA]]-VLOOKUP($U$1,A:C,3,))/VLOOKUP($U$1,A:C,3,))*100)+100</f>
        <v/>
      </c>
      <c r="J114" s="86">
        <f>(((Table134567891011121314151617343[[#This Row],[DEU]]-VLOOKUP($U$1,A:D,4,))/VLOOKUP($U$1,A:D,4,))*100)+100</f>
        <v/>
      </c>
      <c r="K114" s="86">
        <f>(((Table134567891011121314151617343[[#This Row],[ESP]]-VLOOKUP($U$1,A:E,5,))/VLOOKUP($U$1,A:E,5,))*100)+100</f>
        <v/>
      </c>
      <c r="L114" s="86">
        <f>(((Table134567891011121314151617343[[#This Row],[EA19]]-VLOOKUP($U$1,A:F,6,))/VLOOKUP($U$1,A:F,6,))*100)+100</f>
        <v/>
      </c>
      <c r="M114" s="86">
        <f>(((Table134567891011121314151617343[[#This Row],[GBR]]-VLOOKUP($U$1,A:G,7,))/VLOOKUP($U$1,A:G,7,))*100)+100</f>
        <v/>
      </c>
      <c r="N114" s="86">
        <f>VLOOKUP(A114,Database!$A:$AS,MATCH($N$1,Database!$A$1:$AS$1,0),FALSE)</f>
        <v/>
      </c>
      <c r="O114" s="86">
        <f>(((Table134567891011121314151617343[[#This Row],[USA]]-VLOOKUP($U$1,A:N,14,))/VLOOKUP($U$1,A:N,14,))*100)+100</f>
        <v/>
      </c>
      <c r="P114" s="86">
        <f>VLOOKUP(A114,Database!$A:$AS,MATCH($P$1,Database!$A$1:$AS$1,0),FALSE)</f>
        <v/>
      </c>
      <c r="Q114" s="86">
        <f>(((Table134567891011121314151617343[[#This Row],[JPN]]-VLOOKUP($U$1,A:Q,16,))/VLOOKUP($U$1,A:Q,16,))*100)+100</f>
        <v/>
      </c>
    </row>
    <row r="115" customFormat="1" s="94">
      <c r="A115" s="22" t="n">
        <v>36312</v>
      </c>
      <c r="B115" s="86">
        <f>VLOOKUP(A115,Database!$A:$AS,MATCH($B$1,Database!$A$1:$AS$1,0),FALSE)</f>
        <v/>
      </c>
      <c r="C115" s="86">
        <f>VLOOKUP(A115,Database!$A:$AS,MATCH($C$1,Database!$A$1:$AS$1,0),FALSE)</f>
        <v/>
      </c>
      <c r="D115" s="86">
        <f>VLOOKUP(A115,Database!$A:$AS,MATCH($D$1,Database!$A$1:$AS$1,0),FALSE)</f>
        <v/>
      </c>
      <c r="E115" s="86">
        <f>VLOOKUP(A115,Database!$A:$AS,MATCH($E$1,Database!$A$1:$AS$1,0),FALSE)</f>
        <v/>
      </c>
      <c r="F115" s="86">
        <f>VLOOKUP(A115,Database!$A:$AS,MATCH($F$1,Database!$A$1:$AS$1,0),FALSE)</f>
        <v/>
      </c>
      <c r="G115" s="86">
        <f>VLOOKUP(A115,Database!$A:$AS,MATCH($G$1,Database!$A$1:$AS$1,0),FALSE)</f>
        <v/>
      </c>
      <c r="H115" s="86">
        <f>(((Table134567891011121314151617343[[#This Row],[ITA]]-VLOOKUP($U$1,A:B,2,))/VLOOKUP($U$1,A:B,2,))*100)+100</f>
        <v/>
      </c>
      <c r="I115" s="86">
        <f>(((Table134567891011121314151617343[[#This Row],[FRA]]-VLOOKUP($U$1,A:C,3,))/VLOOKUP($U$1,A:C,3,))*100)+100</f>
        <v/>
      </c>
      <c r="J115" s="86">
        <f>(((Table134567891011121314151617343[[#This Row],[DEU]]-VLOOKUP($U$1,A:D,4,))/VLOOKUP($U$1,A:D,4,))*100)+100</f>
        <v/>
      </c>
      <c r="K115" s="86">
        <f>(((Table134567891011121314151617343[[#This Row],[ESP]]-VLOOKUP($U$1,A:E,5,))/VLOOKUP($U$1,A:E,5,))*100)+100</f>
        <v/>
      </c>
      <c r="L115" s="86">
        <f>(((Table134567891011121314151617343[[#This Row],[EA19]]-VLOOKUP($U$1,A:F,6,))/VLOOKUP($U$1,A:F,6,))*100)+100</f>
        <v/>
      </c>
      <c r="M115" s="86">
        <f>(((Table134567891011121314151617343[[#This Row],[GBR]]-VLOOKUP($U$1,A:G,7,))/VLOOKUP($U$1,A:G,7,))*100)+100</f>
        <v/>
      </c>
      <c r="N115" s="86">
        <f>VLOOKUP(A115,Database!$A:$AS,MATCH($N$1,Database!$A$1:$AS$1,0),FALSE)</f>
        <v/>
      </c>
      <c r="O115" s="86">
        <f>(((Table134567891011121314151617343[[#This Row],[USA]]-VLOOKUP($U$1,A:N,14,))/VLOOKUP($U$1,A:N,14,))*100)+100</f>
        <v/>
      </c>
      <c r="P115" s="86">
        <f>VLOOKUP(A115,Database!$A:$AS,MATCH($P$1,Database!$A$1:$AS$1,0),FALSE)</f>
        <v/>
      </c>
      <c r="Q115" s="86">
        <f>(((Table134567891011121314151617343[[#This Row],[JPN]]-VLOOKUP($U$1,A:Q,16,))/VLOOKUP($U$1,A:Q,16,))*100)+100</f>
        <v/>
      </c>
    </row>
    <row r="116" customFormat="1" s="94">
      <c r="A116" s="22" t="n">
        <v>36342</v>
      </c>
      <c r="B116" s="86">
        <f>VLOOKUP(A116,Database!$A:$AS,MATCH($B$1,Database!$A$1:$AS$1,0),FALSE)</f>
        <v/>
      </c>
      <c r="C116" s="86">
        <f>VLOOKUP(A116,Database!$A:$AS,MATCH($C$1,Database!$A$1:$AS$1,0),FALSE)</f>
        <v/>
      </c>
      <c r="D116" s="86">
        <f>VLOOKUP(A116,Database!$A:$AS,MATCH($D$1,Database!$A$1:$AS$1,0),FALSE)</f>
        <v/>
      </c>
      <c r="E116" s="86">
        <f>VLOOKUP(A116,Database!$A:$AS,MATCH($E$1,Database!$A$1:$AS$1,0),FALSE)</f>
        <v/>
      </c>
      <c r="F116" s="86">
        <f>VLOOKUP(A116,Database!$A:$AS,MATCH($F$1,Database!$A$1:$AS$1,0),FALSE)</f>
        <v/>
      </c>
      <c r="G116" s="86">
        <f>VLOOKUP(A116,Database!$A:$AS,MATCH($G$1,Database!$A$1:$AS$1,0),FALSE)</f>
        <v/>
      </c>
      <c r="H116" s="86">
        <f>(((Table134567891011121314151617343[[#This Row],[ITA]]-VLOOKUP($U$1,A:B,2,))/VLOOKUP($U$1,A:B,2,))*100)+100</f>
        <v/>
      </c>
      <c r="I116" s="86">
        <f>(((Table134567891011121314151617343[[#This Row],[FRA]]-VLOOKUP($U$1,A:C,3,))/VLOOKUP($U$1,A:C,3,))*100)+100</f>
        <v/>
      </c>
      <c r="J116" s="86">
        <f>(((Table134567891011121314151617343[[#This Row],[DEU]]-VLOOKUP($U$1,A:D,4,))/VLOOKUP($U$1,A:D,4,))*100)+100</f>
        <v/>
      </c>
      <c r="K116" s="86">
        <f>(((Table134567891011121314151617343[[#This Row],[ESP]]-VLOOKUP($U$1,A:E,5,))/VLOOKUP($U$1,A:E,5,))*100)+100</f>
        <v/>
      </c>
      <c r="L116" s="86">
        <f>(((Table134567891011121314151617343[[#This Row],[EA19]]-VLOOKUP($U$1,A:F,6,))/VLOOKUP($U$1,A:F,6,))*100)+100</f>
        <v/>
      </c>
      <c r="M116" s="86">
        <f>(((Table134567891011121314151617343[[#This Row],[GBR]]-VLOOKUP($U$1,A:G,7,))/VLOOKUP($U$1,A:G,7,))*100)+100</f>
        <v/>
      </c>
      <c r="N116" s="86">
        <f>VLOOKUP(A116,Database!$A:$AS,MATCH($N$1,Database!$A$1:$AS$1,0),FALSE)</f>
        <v/>
      </c>
      <c r="O116" s="86">
        <f>(((Table134567891011121314151617343[[#This Row],[USA]]-VLOOKUP($U$1,A:N,14,))/VLOOKUP($U$1,A:N,14,))*100)+100</f>
        <v/>
      </c>
      <c r="P116" s="86">
        <f>VLOOKUP(A116,Database!$A:$AS,MATCH($P$1,Database!$A$1:$AS$1,0),FALSE)</f>
        <v/>
      </c>
      <c r="Q116" s="86">
        <f>(((Table134567891011121314151617343[[#This Row],[JPN]]-VLOOKUP($U$1,A:Q,16,))/VLOOKUP($U$1,A:Q,16,))*100)+100</f>
        <v/>
      </c>
    </row>
    <row r="117" customFormat="1" s="94">
      <c r="A117" s="22" t="n">
        <v>36373</v>
      </c>
      <c r="B117" s="86">
        <f>VLOOKUP(A117,Database!$A:$AS,MATCH($B$1,Database!$A$1:$AS$1,0),FALSE)</f>
        <v/>
      </c>
      <c r="C117" s="86">
        <f>VLOOKUP(A117,Database!$A:$AS,MATCH($C$1,Database!$A$1:$AS$1,0),FALSE)</f>
        <v/>
      </c>
      <c r="D117" s="86">
        <f>VLOOKUP(A117,Database!$A:$AS,MATCH($D$1,Database!$A$1:$AS$1,0),FALSE)</f>
        <v/>
      </c>
      <c r="E117" s="86">
        <f>VLOOKUP(A117,Database!$A:$AS,MATCH($E$1,Database!$A$1:$AS$1,0),FALSE)</f>
        <v/>
      </c>
      <c r="F117" s="86">
        <f>VLOOKUP(A117,Database!$A:$AS,MATCH($F$1,Database!$A$1:$AS$1,0),FALSE)</f>
        <v/>
      </c>
      <c r="G117" s="86">
        <f>VLOOKUP(A117,Database!$A:$AS,MATCH($G$1,Database!$A$1:$AS$1,0),FALSE)</f>
        <v/>
      </c>
      <c r="H117" s="86">
        <f>(((Table134567891011121314151617343[[#This Row],[ITA]]-VLOOKUP($U$1,A:B,2,))/VLOOKUP($U$1,A:B,2,))*100)+100</f>
        <v/>
      </c>
      <c r="I117" s="86">
        <f>(((Table134567891011121314151617343[[#This Row],[FRA]]-VLOOKUP($U$1,A:C,3,))/VLOOKUP($U$1,A:C,3,))*100)+100</f>
        <v/>
      </c>
      <c r="J117" s="86">
        <f>(((Table134567891011121314151617343[[#This Row],[DEU]]-VLOOKUP($U$1,A:D,4,))/VLOOKUP($U$1,A:D,4,))*100)+100</f>
        <v/>
      </c>
      <c r="K117" s="86">
        <f>(((Table134567891011121314151617343[[#This Row],[ESP]]-VLOOKUP($U$1,A:E,5,))/VLOOKUP($U$1,A:E,5,))*100)+100</f>
        <v/>
      </c>
      <c r="L117" s="86">
        <f>(((Table134567891011121314151617343[[#This Row],[EA19]]-VLOOKUP($U$1,A:F,6,))/VLOOKUP($U$1,A:F,6,))*100)+100</f>
        <v/>
      </c>
      <c r="M117" s="86">
        <f>(((Table134567891011121314151617343[[#This Row],[GBR]]-VLOOKUP($U$1,A:G,7,))/VLOOKUP($U$1,A:G,7,))*100)+100</f>
        <v/>
      </c>
      <c r="N117" s="86">
        <f>VLOOKUP(A117,Database!$A:$AS,MATCH($N$1,Database!$A$1:$AS$1,0),FALSE)</f>
        <v/>
      </c>
      <c r="O117" s="86">
        <f>(((Table134567891011121314151617343[[#This Row],[USA]]-VLOOKUP($U$1,A:N,14,))/VLOOKUP($U$1,A:N,14,))*100)+100</f>
        <v/>
      </c>
      <c r="P117" s="86">
        <f>VLOOKUP(A117,Database!$A:$AS,MATCH($P$1,Database!$A$1:$AS$1,0),FALSE)</f>
        <v/>
      </c>
      <c r="Q117" s="86">
        <f>(((Table134567891011121314151617343[[#This Row],[JPN]]-VLOOKUP($U$1,A:Q,16,))/VLOOKUP($U$1,A:Q,16,))*100)+100</f>
        <v/>
      </c>
    </row>
    <row r="118" customFormat="1" s="94">
      <c r="A118" s="22" t="n">
        <v>36404</v>
      </c>
      <c r="B118" s="86">
        <f>VLOOKUP(A118,Database!$A:$AS,MATCH($B$1,Database!$A$1:$AS$1,0),FALSE)</f>
        <v/>
      </c>
      <c r="C118" s="86">
        <f>VLOOKUP(A118,Database!$A:$AS,MATCH($C$1,Database!$A$1:$AS$1,0),FALSE)</f>
        <v/>
      </c>
      <c r="D118" s="86">
        <f>VLOOKUP(A118,Database!$A:$AS,MATCH($D$1,Database!$A$1:$AS$1,0),FALSE)</f>
        <v/>
      </c>
      <c r="E118" s="86">
        <f>VLOOKUP(A118,Database!$A:$AS,MATCH($E$1,Database!$A$1:$AS$1,0),FALSE)</f>
        <v/>
      </c>
      <c r="F118" s="86">
        <f>VLOOKUP(A118,Database!$A:$AS,MATCH($F$1,Database!$A$1:$AS$1,0),FALSE)</f>
        <v/>
      </c>
      <c r="G118" s="86">
        <f>VLOOKUP(A118,Database!$A:$AS,MATCH($G$1,Database!$A$1:$AS$1,0),FALSE)</f>
        <v/>
      </c>
      <c r="H118" s="86">
        <f>(((Table134567891011121314151617343[[#This Row],[ITA]]-VLOOKUP($U$1,A:B,2,))/VLOOKUP($U$1,A:B,2,))*100)+100</f>
        <v/>
      </c>
      <c r="I118" s="86">
        <f>(((Table134567891011121314151617343[[#This Row],[FRA]]-VLOOKUP($U$1,A:C,3,))/VLOOKUP($U$1,A:C,3,))*100)+100</f>
        <v/>
      </c>
      <c r="J118" s="86">
        <f>(((Table134567891011121314151617343[[#This Row],[DEU]]-VLOOKUP($U$1,A:D,4,))/VLOOKUP($U$1,A:D,4,))*100)+100</f>
        <v/>
      </c>
      <c r="K118" s="86">
        <f>(((Table134567891011121314151617343[[#This Row],[ESP]]-VLOOKUP($U$1,A:E,5,))/VLOOKUP($U$1,A:E,5,))*100)+100</f>
        <v/>
      </c>
      <c r="L118" s="86">
        <f>(((Table134567891011121314151617343[[#This Row],[EA19]]-VLOOKUP($U$1,A:F,6,))/VLOOKUP($U$1,A:F,6,))*100)+100</f>
        <v/>
      </c>
      <c r="M118" s="86">
        <f>(((Table134567891011121314151617343[[#This Row],[GBR]]-VLOOKUP($U$1,A:G,7,))/VLOOKUP($U$1,A:G,7,))*100)+100</f>
        <v/>
      </c>
      <c r="N118" s="86">
        <f>VLOOKUP(A118,Database!$A:$AS,MATCH($N$1,Database!$A$1:$AS$1,0),FALSE)</f>
        <v/>
      </c>
      <c r="O118" s="86">
        <f>(((Table134567891011121314151617343[[#This Row],[USA]]-VLOOKUP($U$1,A:N,14,))/VLOOKUP($U$1,A:N,14,))*100)+100</f>
        <v/>
      </c>
      <c r="P118" s="86">
        <f>VLOOKUP(A118,Database!$A:$AS,MATCH($P$1,Database!$A$1:$AS$1,0),FALSE)</f>
        <v/>
      </c>
      <c r="Q118" s="86">
        <f>(((Table134567891011121314151617343[[#This Row],[JPN]]-VLOOKUP($U$1,A:Q,16,))/VLOOKUP($U$1,A:Q,16,))*100)+100</f>
        <v/>
      </c>
    </row>
    <row r="119" customFormat="1" s="94">
      <c r="A119" s="22" t="n">
        <v>36434</v>
      </c>
      <c r="B119" s="86">
        <f>VLOOKUP(A119,Database!$A:$AS,MATCH($B$1,Database!$A$1:$AS$1,0),FALSE)</f>
        <v/>
      </c>
      <c r="C119" s="86">
        <f>VLOOKUP(A119,Database!$A:$AS,MATCH($C$1,Database!$A$1:$AS$1,0),FALSE)</f>
        <v/>
      </c>
      <c r="D119" s="86">
        <f>VLOOKUP(A119,Database!$A:$AS,MATCH($D$1,Database!$A$1:$AS$1,0),FALSE)</f>
        <v/>
      </c>
      <c r="E119" s="86">
        <f>VLOOKUP(A119,Database!$A:$AS,MATCH($E$1,Database!$A$1:$AS$1,0),FALSE)</f>
        <v/>
      </c>
      <c r="F119" s="86">
        <f>VLOOKUP(A119,Database!$A:$AS,MATCH($F$1,Database!$A$1:$AS$1,0),FALSE)</f>
        <v/>
      </c>
      <c r="G119" s="86">
        <f>VLOOKUP(A119,Database!$A:$AS,MATCH($G$1,Database!$A$1:$AS$1,0),FALSE)</f>
        <v/>
      </c>
      <c r="H119" s="86">
        <f>(((Table134567891011121314151617343[[#This Row],[ITA]]-VLOOKUP($U$1,A:B,2,))/VLOOKUP($U$1,A:B,2,))*100)+100</f>
        <v/>
      </c>
      <c r="I119" s="86">
        <f>(((Table134567891011121314151617343[[#This Row],[FRA]]-VLOOKUP($U$1,A:C,3,))/VLOOKUP($U$1,A:C,3,))*100)+100</f>
        <v/>
      </c>
      <c r="J119" s="86">
        <f>(((Table134567891011121314151617343[[#This Row],[DEU]]-VLOOKUP($U$1,A:D,4,))/VLOOKUP($U$1,A:D,4,))*100)+100</f>
        <v/>
      </c>
      <c r="K119" s="86">
        <f>(((Table134567891011121314151617343[[#This Row],[ESP]]-VLOOKUP($U$1,A:E,5,))/VLOOKUP($U$1,A:E,5,))*100)+100</f>
        <v/>
      </c>
      <c r="L119" s="86">
        <f>(((Table134567891011121314151617343[[#This Row],[EA19]]-VLOOKUP($U$1,A:F,6,))/VLOOKUP($U$1,A:F,6,))*100)+100</f>
        <v/>
      </c>
      <c r="M119" s="86">
        <f>(((Table134567891011121314151617343[[#This Row],[GBR]]-VLOOKUP($U$1,A:G,7,))/VLOOKUP($U$1,A:G,7,))*100)+100</f>
        <v/>
      </c>
      <c r="N119" s="86">
        <f>VLOOKUP(A119,Database!$A:$AS,MATCH($N$1,Database!$A$1:$AS$1,0),FALSE)</f>
        <v/>
      </c>
      <c r="O119" s="86">
        <f>(((Table134567891011121314151617343[[#This Row],[USA]]-VLOOKUP($U$1,A:N,14,))/VLOOKUP($U$1,A:N,14,))*100)+100</f>
        <v/>
      </c>
      <c r="P119" s="86">
        <f>VLOOKUP(A119,Database!$A:$AS,MATCH($P$1,Database!$A$1:$AS$1,0),FALSE)</f>
        <v/>
      </c>
      <c r="Q119" s="86">
        <f>(((Table134567891011121314151617343[[#This Row],[JPN]]-VLOOKUP($U$1,A:Q,16,))/VLOOKUP($U$1,A:Q,16,))*100)+100</f>
        <v/>
      </c>
    </row>
    <row r="120" customFormat="1" s="94">
      <c r="A120" s="22" t="n">
        <v>36465</v>
      </c>
      <c r="B120" s="86">
        <f>VLOOKUP(A120,Database!$A:$AS,MATCH($B$1,Database!$A$1:$AS$1,0),FALSE)</f>
        <v/>
      </c>
      <c r="C120" s="86">
        <f>VLOOKUP(A120,Database!$A:$AS,MATCH($C$1,Database!$A$1:$AS$1,0),FALSE)</f>
        <v/>
      </c>
      <c r="D120" s="86">
        <f>VLOOKUP(A120,Database!$A:$AS,MATCH($D$1,Database!$A$1:$AS$1,0),FALSE)</f>
        <v/>
      </c>
      <c r="E120" s="86">
        <f>VLOOKUP(A120,Database!$A:$AS,MATCH($E$1,Database!$A$1:$AS$1,0),FALSE)</f>
        <v/>
      </c>
      <c r="F120" s="86">
        <f>VLOOKUP(A120,Database!$A:$AS,MATCH($F$1,Database!$A$1:$AS$1,0),FALSE)</f>
        <v/>
      </c>
      <c r="G120" s="86">
        <f>VLOOKUP(A120,Database!$A:$AS,MATCH($G$1,Database!$A$1:$AS$1,0),FALSE)</f>
        <v/>
      </c>
      <c r="H120" s="86">
        <f>(((Table134567891011121314151617343[[#This Row],[ITA]]-VLOOKUP($U$1,A:B,2,))/VLOOKUP($U$1,A:B,2,))*100)+100</f>
        <v/>
      </c>
      <c r="I120" s="86">
        <f>(((Table134567891011121314151617343[[#This Row],[FRA]]-VLOOKUP($U$1,A:C,3,))/VLOOKUP($U$1,A:C,3,))*100)+100</f>
        <v/>
      </c>
      <c r="J120" s="86">
        <f>(((Table134567891011121314151617343[[#This Row],[DEU]]-VLOOKUP($U$1,A:D,4,))/VLOOKUP($U$1,A:D,4,))*100)+100</f>
        <v/>
      </c>
      <c r="K120" s="86">
        <f>(((Table134567891011121314151617343[[#This Row],[ESP]]-VLOOKUP($U$1,A:E,5,))/VLOOKUP($U$1,A:E,5,))*100)+100</f>
        <v/>
      </c>
      <c r="L120" s="86">
        <f>(((Table134567891011121314151617343[[#This Row],[EA19]]-VLOOKUP($U$1,A:F,6,))/VLOOKUP($U$1,A:F,6,))*100)+100</f>
        <v/>
      </c>
      <c r="M120" s="86">
        <f>(((Table134567891011121314151617343[[#This Row],[GBR]]-VLOOKUP($U$1,A:G,7,))/VLOOKUP($U$1,A:G,7,))*100)+100</f>
        <v/>
      </c>
      <c r="N120" s="86">
        <f>VLOOKUP(A120,Database!$A:$AS,MATCH($N$1,Database!$A$1:$AS$1,0),FALSE)</f>
        <v/>
      </c>
      <c r="O120" s="86">
        <f>(((Table134567891011121314151617343[[#This Row],[USA]]-VLOOKUP($U$1,A:N,14,))/VLOOKUP($U$1,A:N,14,))*100)+100</f>
        <v/>
      </c>
      <c r="P120" s="86">
        <f>VLOOKUP(A120,Database!$A:$AS,MATCH($P$1,Database!$A$1:$AS$1,0),FALSE)</f>
        <v/>
      </c>
      <c r="Q120" s="86">
        <f>(((Table134567891011121314151617343[[#This Row],[JPN]]-VLOOKUP($U$1,A:Q,16,))/VLOOKUP($U$1,A:Q,16,))*100)+100</f>
        <v/>
      </c>
    </row>
    <row r="121" customFormat="1" s="94">
      <c r="A121" s="22" t="n">
        <v>36495</v>
      </c>
      <c r="B121" s="86">
        <f>VLOOKUP(A121,Database!$A:$AS,MATCH($B$1,Database!$A$1:$AS$1,0),FALSE)</f>
        <v/>
      </c>
      <c r="C121" s="86">
        <f>VLOOKUP(A121,Database!$A:$AS,MATCH($C$1,Database!$A$1:$AS$1,0),FALSE)</f>
        <v/>
      </c>
      <c r="D121" s="86">
        <f>VLOOKUP(A121,Database!$A:$AS,MATCH($D$1,Database!$A$1:$AS$1,0),FALSE)</f>
        <v/>
      </c>
      <c r="E121" s="86">
        <f>VLOOKUP(A121,Database!$A:$AS,MATCH($E$1,Database!$A$1:$AS$1,0),FALSE)</f>
        <v/>
      </c>
      <c r="F121" s="86">
        <f>VLOOKUP(A121,Database!$A:$AS,MATCH($F$1,Database!$A$1:$AS$1,0),FALSE)</f>
        <v/>
      </c>
      <c r="G121" s="86">
        <f>VLOOKUP(A121,Database!$A:$AS,MATCH($G$1,Database!$A$1:$AS$1,0),FALSE)</f>
        <v/>
      </c>
      <c r="H121" s="86">
        <f>(((Table134567891011121314151617343[[#This Row],[ITA]]-VLOOKUP($U$1,A:B,2,))/VLOOKUP($U$1,A:B,2,))*100)+100</f>
        <v/>
      </c>
      <c r="I121" s="86">
        <f>(((Table134567891011121314151617343[[#This Row],[FRA]]-VLOOKUP($U$1,A:C,3,))/VLOOKUP($U$1,A:C,3,))*100)+100</f>
        <v/>
      </c>
      <c r="J121" s="86">
        <f>(((Table134567891011121314151617343[[#This Row],[DEU]]-VLOOKUP($U$1,A:D,4,))/VLOOKUP($U$1,A:D,4,))*100)+100</f>
        <v/>
      </c>
      <c r="K121" s="86">
        <f>(((Table134567891011121314151617343[[#This Row],[ESP]]-VLOOKUP($U$1,A:E,5,))/VLOOKUP($U$1,A:E,5,))*100)+100</f>
        <v/>
      </c>
      <c r="L121" s="86">
        <f>(((Table134567891011121314151617343[[#This Row],[EA19]]-VLOOKUP($U$1,A:F,6,))/VLOOKUP($U$1,A:F,6,))*100)+100</f>
        <v/>
      </c>
      <c r="M121" s="86">
        <f>(((Table134567891011121314151617343[[#This Row],[GBR]]-VLOOKUP($U$1,A:G,7,))/VLOOKUP($U$1,A:G,7,))*100)+100</f>
        <v/>
      </c>
      <c r="N121" s="86">
        <f>VLOOKUP(A121,Database!$A:$AS,MATCH($N$1,Database!$A$1:$AS$1,0),FALSE)</f>
        <v/>
      </c>
      <c r="O121" s="86">
        <f>(((Table134567891011121314151617343[[#This Row],[USA]]-VLOOKUP($U$1,A:N,14,))/VLOOKUP($U$1,A:N,14,))*100)+100</f>
        <v/>
      </c>
      <c r="P121" s="86">
        <f>VLOOKUP(A121,Database!$A:$AS,MATCH($P$1,Database!$A$1:$AS$1,0),FALSE)</f>
        <v/>
      </c>
      <c r="Q121" s="86">
        <f>(((Table134567891011121314151617343[[#This Row],[JPN]]-VLOOKUP($U$1,A:Q,16,))/VLOOKUP($U$1,A:Q,16,))*100)+100</f>
        <v/>
      </c>
    </row>
    <row r="122" customFormat="1" s="94">
      <c r="A122" s="22" t="n">
        <v>36526</v>
      </c>
      <c r="B122" s="86">
        <f>VLOOKUP(A122,Database!$A:$AS,MATCH($B$1,Database!$A$1:$AS$1,0),FALSE)</f>
        <v/>
      </c>
      <c r="C122" s="86">
        <f>VLOOKUP(A122,Database!$A:$AS,MATCH($C$1,Database!$A$1:$AS$1,0),FALSE)</f>
        <v/>
      </c>
      <c r="D122" s="86">
        <f>VLOOKUP(A122,Database!$A:$AS,MATCH($D$1,Database!$A$1:$AS$1,0),FALSE)</f>
        <v/>
      </c>
      <c r="E122" s="86">
        <f>VLOOKUP(A122,Database!$A:$AS,MATCH($E$1,Database!$A$1:$AS$1,0),FALSE)</f>
        <v/>
      </c>
      <c r="F122" s="86">
        <f>VLOOKUP(A122,Database!$A:$AS,MATCH($F$1,Database!$A$1:$AS$1,0),FALSE)</f>
        <v/>
      </c>
      <c r="G122" s="86">
        <f>VLOOKUP(A122,Database!$A:$AS,MATCH($G$1,Database!$A$1:$AS$1,0),FALSE)</f>
        <v/>
      </c>
      <c r="H122" s="86">
        <f>(((Table134567891011121314151617343[[#This Row],[ITA]]-VLOOKUP($U$1,A:B,2,))/VLOOKUP($U$1,A:B,2,))*100)+100</f>
        <v/>
      </c>
      <c r="I122" s="86">
        <f>(((Table134567891011121314151617343[[#This Row],[FRA]]-VLOOKUP($U$1,A:C,3,))/VLOOKUP($U$1,A:C,3,))*100)+100</f>
        <v/>
      </c>
      <c r="J122" s="86">
        <f>(((Table134567891011121314151617343[[#This Row],[DEU]]-VLOOKUP($U$1,A:D,4,))/VLOOKUP($U$1,A:D,4,))*100)+100</f>
        <v/>
      </c>
      <c r="K122" s="86">
        <f>(((Table134567891011121314151617343[[#This Row],[ESP]]-VLOOKUP($U$1,A:E,5,))/VLOOKUP($U$1,A:E,5,))*100)+100</f>
        <v/>
      </c>
      <c r="L122" s="86">
        <f>(((Table134567891011121314151617343[[#This Row],[EA19]]-VLOOKUP($U$1,A:F,6,))/VLOOKUP($U$1,A:F,6,))*100)+100</f>
        <v/>
      </c>
      <c r="M122" s="86">
        <f>(((Table134567891011121314151617343[[#This Row],[GBR]]-VLOOKUP($U$1,A:G,7,))/VLOOKUP($U$1,A:G,7,))*100)+100</f>
        <v/>
      </c>
      <c r="N122" s="86">
        <f>VLOOKUP(A122,Database!$A:$AS,MATCH($N$1,Database!$A$1:$AS$1,0),FALSE)</f>
        <v/>
      </c>
      <c r="O122" s="86">
        <f>(((Table134567891011121314151617343[[#This Row],[USA]]-VLOOKUP($U$1,A:N,14,))/VLOOKUP($U$1,A:N,14,))*100)+100</f>
        <v/>
      </c>
      <c r="P122" s="86">
        <f>VLOOKUP(A122,Database!$A:$AS,MATCH($P$1,Database!$A$1:$AS$1,0),FALSE)</f>
        <v/>
      </c>
      <c r="Q122" s="86">
        <f>(((Table134567891011121314151617343[[#This Row],[JPN]]-VLOOKUP($U$1,A:Q,16,))/VLOOKUP($U$1,A:Q,16,))*100)+100</f>
        <v/>
      </c>
    </row>
    <row r="123" customFormat="1" s="94">
      <c r="A123" s="22" t="n">
        <v>36557</v>
      </c>
      <c r="B123" s="86">
        <f>VLOOKUP(A123,Database!$A:$AS,MATCH($B$1,Database!$A$1:$AS$1,0),FALSE)</f>
        <v/>
      </c>
      <c r="C123" s="86">
        <f>VLOOKUP(A123,Database!$A:$AS,MATCH($C$1,Database!$A$1:$AS$1,0),FALSE)</f>
        <v/>
      </c>
      <c r="D123" s="86">
        <f>VLOOKUP(A123,Database!$A:$AS,MATCH($D$1,Database!$A$1:$AS$1,0),FALSE)</f>
        <v/>
      </c>
      <c r="E123" s="86">
        <f>VLOOKUP(A123,Database!$A:$AS,MATCH($E$1,Database!$A$1:$AS$1,0),FALSE)</f>
        <v/>
      </c>
      <c r="F123" s="86">
        <f>VLOOKUP(A123,Database!$A:$AS,MATCH($F$1,Database!$A$1:$AS$1,0),FALSE)</f>
        <v/>
      </c>
      <c r="G123" s="86">
        <f>VLOOKUP(A123,Database!$A:$AS,MATCH($G$1,Database!$A$1:$AS$1,0),FALSE)</f>
        <v/>
      </c>
      <c r="H123" s="86">
        <f>(((Table134567891011121314151617343[[#This Row],[ITA]]-VLOOKUP($U$1,A:B,2,))/VLOOKUP($U$1,A:B,2,))*100)+100</f>
        <v/>
      </c>
      <c r="I123" s="86">
        <f>(((Table134567891011121314151617343[[#This Row],[FRA]]-VLOOKUP($U$1,A:C,3,))/VLOOKUP($U$1,A:C,3,))*100)+100</f>
        <v/>
      </c>
      <c r="J123" s="86">
        <f>(((Table134567891011121314151617343[[#This Row],[DEU]]-VLOOKUP($U$1,A:D,4,))/VLOOKUP($U$1,A:D,4,))*100)+100</f>
        <v/>
      </c>
      <c r="K123" s="86">
        <f>(((Table134567891011121314151617343[[#This Row],[ESP]]-VLOOKUP($U$1,A:E,5,))/VLOOKUP($U$1,A:E,5,))*100)+100</f>
        <v/>
      </c>
      <c r="L123" s="86">
        <f>(((Table134567891011121314151617343[[#This Row],[EA19]]-VLOOKUP($U$1,A:F,6,))/VLOOKUP($U$1,A:F,6,))*100)+100</f>
        <v/>
      </c>
      <c r="M123" s="86">
        <f>(((Table134567891011121314151617343[[#This Row],[GBR]]-VLOOKUP($U$1,A:G,7,))/VLOOKUP($U$1,A:G,7,))*100)+100</f>
        <v/>
      </c>
      <c r="N123" s="86">
        <f>VLOOKUP(A123,Database!$A:$AS,MATCH($N$1,Database!$A$1:$AS$1,0),FALSE)</f>
        <v/>
      </c>
      <c r="O123" s="86">
        <f>(((Table134567891011121314151617343[[#This Row],[USA]]-VLOOKUP($U$1,A:N,14,))/VLOOKUP($U$1,A:N,14,))*100)+100</f>
        <v/>
      </c>
      <c r="P123" s="86">
        <f>VLOOKUP(A123,Database!$A:$AS,MATCH($P$1,Database!$A$1:$AS$1,0),FALSE)</f>
        <v/>
      </c>
      <c r="Q123" s="86">
        <f>(((Table134567891011121314151617343[[#This Row],[JPN]]-VLOOKUP($U$1,A:Q,16,))/VLOOKUP($U$1,A:Q,16,))*100)+100</f>
        <v/>
      </c>
    </row>
    <row r="124" customFormat="1" s="94">
      <c r="A124" s="22" t="n">
        <v>36586</v>
      </c>
      <c r="B124" s="86">
        <f>VLOOKUP(A124,Database!$A:$AS,MATCH($B$1,Database!$A$1:$AS$1,0),FALSE)</f>
        <v/>
      </c>
      <c r="C124" s="86">
        <f>VLOOKUP(A124,Database!$A:$AS,MATCH($C$1,Database!$A$1:$AS$1,0),FALSE)</f>
        <v/>
      </c>
      <c r="D124" s="86">
        <f>VLOOKUP(A124,Database!$A:$AS,MATCH($D$1,Database!$A$1:$AS$1,0),FALSE)</f>
        <v/>
      </c>
      <c r="E124" s="86">
        <f>VLOOKUP(A124,Database!$A:$AS,MATCH($E$1,Database!$A$1:$AS$1,0),FALSE)</f>
        <v/>
      </c>
      <c r="F124" s="86">
        <f>VLOOKUP(A124,Database!$A:$AS,MATCH($F$1,Database!$A$1:$AS$1,0),FALSE)</f>
        <v/>
      </c>
      <c r="G124" s="86">
        <f>VLOOKUP(A124,Database!$A:$AS,MATCH($G$1,Database!$A$1:$AS$1,0),FALSE)</f>
        <v/>
      </c>
      <c r="H124" s="86">
        <f>(((Table134567891011121314151617343[[#This Row],[ITA]]-VLOOKUP($U$1,A:B,2,))/VLOOKUP($U$1,A:B,2,))*100)+100</f>
        <v/>
      </c>
      <c r="I124" s="86">
        <f>(((Table134567891011121314151617343[[#This Row],[FRA]]-VLOOKUP($U$1,A:C,3,))/VLOOKUP($U$1,A:C,3,))*100)+100</f>
        <v/>
      </c>
      <c r="J124" s="86">
        <f>(((Table134567891011121314151617343[[#This Row],[DEU]]-VLOOKUP($U$1,A:D,4,))/VLOOKUP($U$1,A:D,4,))*100)+100</f>
        <v/>
      </c>
      <c r="K124" s="86">
        <f>(((Table134567891011121314151617343[[#This Row],[ESP]]-VLOOKUP($U$1,A:E,5,))/VLOOKUP($U$1,A:E,5,))*100)+100</f>
        <v/>
      </c>
      <c r="L124" s="86">
        <f>(((Table134567891011121314151617343[[#This Row],[EA19]]-VLOOKUP($U$1,A:F,6,))/VLOOKUP($U$1,A:F,6,))*100)+100</f>
        <v/>
      </c>
      <c r="M124" s="86">
        <f>(((Table134567891011121314151617343[[#This Row],[GBR]]-VLOOKUP($U$1,A:G,7,))/VLOOKUP($U$1,A:G,7,))*100)+100</f>
        <v/>
      </c>
      <c r="N124" s="86">
        <f>VLOOKUP(A124,Database!$A:$AS,MATCH($N$1,Database!$A$1:$AS$1,0),FALSE)</f>
        <v/>
      </c>
      <c r="O124" s="86">
        <f>(((Table134567891011121314151617343[[#This Row],[USA]]-VLOOKUP($U$1,A:N,14,))/VLOOKUP($U$1,A:N,14,))*100)+100</f>
        <v/>
      </c>
      <c r="P124" s="86">
        <f>VLOOKUP(A124,Database!$A:$AS,MATCH($P$1,Database!$A$1:$AS$1,0),FALSE)</f>
        <v/>
      </c>
      <c r="Q124" s="86">
        <f>(((Table134567891011121314151617343[[#This Row],[JPN]]-VLOOKUP($U$1,A:Q,16,))/VLOOKUP($U$1,A:Q,16,))*100)+100</f>
        <v/>
      </c>
    </row>
    <row r="125" customFormat="1" s="94">
      <c r="A125" s="22" t="n">
        <v>36617</v>
      </c>
      <c r="B125" s="86">
        <f>VLOOKUP(A125,Database!$A:$AS,MATCH($B$1,Database!$A$1:$AS$1,0),FALSE)</f>
        <v/>
      </c>
      <c r="C125" s="86">
        <f>VLOOKUP(A125,Database!$A:$AS,MATCH($C$1,Database!$A$1:$AS$1,0),FALSE)</f>
        <v/>
      </c>
      <c r="D125" s="86">
        <f>VLOOKUP(A125,Database!$A:$AS,MATCH($D$1,Database!$A$1:$AS$1,0),FALSE)</f>
        <v/>
      </c>
      <c r="E125" s="86">
        <f>VLOOKUP(A125,Database!$A:$AS,MATCH($E$1,Database!$A$1:$AS$1,0),FALSE)</f>
        <v/>
      </c>
      <c r="F125" s="86">
        <f>VLOOKUP(A125,Database!$A:$AS,MATCH($F$1,Database!$A$1:$AS$1,0),FALSE)</f>
        <v/>
      </c>
      <c r="G125" s="86">
        <f>VLOOKUP(A125,Database!$A:$AS,MATCH($G$1,Database!$A$1:$AS$1,0),FALSE)</f>
        <v/>
      </c>
      <c r="H125" s="86">
        <f>(((Table134567891011121314151617343[[#This Row],[ITA]]-VLOOKUP($U$1,A:B,2,))/VLOOKUP($U$1,A:B,2,))*100)+100</f>
        <v/>
      </c>
      <c r="I125" s="86">
        <f>(((Table134567891011121314151617343[[#This Row],[FRA]]-VLOOKUP($U$1,A:C,3,))/VLOOKUP($U$1,A:C,3,))*100)+100</f>
        <v/>
      </c>
      <c r="J125" s="86">
        <f>(((Table134567891011121314151617343[[#This Row],[DEU]]-VLOOKUP($U$1,A:D,4,))/VLOOKUP($U$1,A:D,4,))*100)+100</f>
        <v/>
      </c>
      <c r="K125" s="86">
        <f>(((Table134567891011121314151617343[[#This Row],[ESP]]-VLOOKUP($U$1,A:E,5,))/VLOOKUP($U$1,A:E,5,))*100)+100</f>
        <v/>
      </c>
      <c r="L125" s="86">
        <f>(((Table134567891011121314151617343[[#This Row],[EA19]]-VLOOKUP($U$1,A:F,6,))/VLOOKUP($U$1,A:F,6,))*100)+100</f>
        <v/>
      </c>
      <c r="M125" s="86">
        <f>(((Table134567891011121314151617343[[#This Row],[GBR]]-VLOOKUP($U$1,A:G,7,))/VLOOKUP($U$1,A:G,7,))*100)+100</f>
        <v/>
      </c>
      <c r="N125" s="86">
        <f>VLOOKUP(A125,Database!$A:$AS,MATCH($N$1,Database!$A$1:$AS$1,0),FALSE)</f>
        <v/>
      </c>
      <c r="O125" s="86">
        <f>(((Table134567891011121314151617343[[#This Row],[USA]]-VLOOKUP($U$1,A:N,14,))/VLOOKUP($U$1,A:N,14,))*100)+100</f>
        <v/>
      </c>
      <c r="P125" s="86">
        <f>VLOOKUP(A125,Database!$A:$AS,MATCH($P$1,Database!$A$1:$AS$1,0),FALSE)</f>
        <v/>
      </c>
      <c r="Q125" s="86">
        <f>(((Table134567891011121314151617343[[#This Row],[JPN]]-VLOOKUP($U$1,A:Q,16,))/VLOOKUP($U$1,A:Q,16,))*100)+100</f>
        <v/>
      </c>
    </row>
    <row r="126" customFormat="1" s="94">
      <c r="A126" s="22" t="n">
        <v>36647</v>
      </c>
      <c r="B126" s="86">
        <f>VLOOKUP(A126,Database!$A:$AS,MATCH($B$1,Database!$A$1:$AS$1,0),FALSE)</f>
        <v/>
      </c>
      <c r="C126" s="86">
        <f>VLOOKUP(A126,Database!$A:$AS,MATCH($C$1,Database!$A$1:$AS$1,0),FALSE)</f>
        <v/>
      </c>
      <c r="D126" s="86">
        <f>VLOOKUP(A126,Database!$A:$AS,MATCH($D$1,Database!$A$1:$AS$1,0),FALSE)</f>
        <v/>
      </c>
      <c r="E126" s="86">
        <f>VLOOKUP(A126,Database!$A:$AS,MATCH($E$1,Database!$A$1:$AS$1,0),FALSE)</f>
        <v/>
      </c>
      <c r="F126" s="86">
        <f>VLOOKUP(A126,Database!$A:$AS,MATCH($F$1,Database!$A$1:$AS$1,0),FALSE)</f>
        <v/>
      </c>
      <c r="G126" s="86">
        <f>VLOOKUP(A126,Database!$A:$AS,MATCH($G$1,Database!$A$1:$AS$1,0),FALSE)</f>
        <v/>
      </c>
      <c r="H126" s="86">
        <f>(((Table134567891011121314151617343[[#This Row],[ITA]]-VLOOKUP($U$1,A:B,2,))/VLOOKUP($U$1,A:B,2,))*100)+100</f>
        <v/>
      </c>
      <c r="I126" s="86">
        <f>(((Table134567891011121314151617343[[#This Row],[FRA]]-VLOOKUP($U$1,A:C,3,))/VLOOKUP($U$1,A:C,3,))*100)+100</f>
        <v/>
      </c>
      <c r="J126" s="86">
        <f>(((Table134567891011121314151617343[[#This Row],[DEU]]-VLOOKUP($U$1,A:D,4,))/VLOOKUP($U$1,A:D,4,))*100)+100</f>
        <v/>
      </c>
      <c r="K126" s="86">
        <f>(((Table134567891011121314151617343[[#This Row],[ESP]]-VLOOKUP($U$1,A:E,5,))/VLOOKUP($U$1,A:E,5,))*100)+100</f>
        <v/>
      </c>
      <c r="L126" s="86">
        <f>(((Table134567891011121314151617343[[#This Row],[EA19]]-VLOOKUP($U$1,A:F,6,))/VLOOKUP($U$1,A:F,6,))*100)+100</f>
        <v/>
      </c>
      <c r="M126" s="86">
        <f>(((Table134567891011121314151617343[[#This Row],[GBR]]-VLOOKUP($U$1,A:G,7,))/VLOOKUP($U$1,A:G,7,))*100)+100</f>
        <v/>
      </c>
      <c r="N126" s="86">
        <f>VLOOKUP(A126,Database!$A:$AS,MATCH($N$1,Database!$A$1:$AS$1,0),FALSE)</f>
        <v/>
      </c>
      <c r="O126" s="86">
        <f>(((Table134567891011121314151617343[[#This Row],[USA]]-VLOOKUP($U$1,A:N,14,))/VLOOKUP($U$1,A:N,14,))*100)+100</f>
        <v/>
      </c>
      <c r="P126" s="86">
        <f>VLOOKUP(A126,Database!$A:$AS,MATCH($P$1,Database!$A$1:$AS$1,0),FALSE)</f>
        <v/>
      </c>
      <c r="Q126" s="86">
        <f>(((Table134567891011121314151617343[[#This Row],[JPN]]-VLOOKUP($U$1,A:Q,16,))/VLOOKUP($U$1,A:Q,16,))*100)+100</f>
        <v/>
      </c>
    </row>
    <row r="127" customFormat="1" s="94">
      <c r="A127" s="22" t="n">
        <v>36678</v>
      </c>
      <c r="B127" s="86">
        <f>VLOOKUP(A127,Database!$A:$AS,MATCH($B$1,Database!$A$1:$AS$1,0),FALSE)</f>
        <v/>
      </c>
      <c r="C127" s="86">
        <f>VLOOKUP(A127,Database!$A:$AS,MATCH($C$1,Database!$A$1:$AS$1,0),FALSE)</f>
        <v/>
      </c>
      <c r="D127" s="86">
        <f>VLOOKUP(A127,Database!$A:$AS,MATCH($D$1,Database!$A$1:$AS$1,0),FALSE)</f>
        <v/>
      </c>
      <c r="E127" s="86">
        <f>VLOOKUP(A127,Database!$A:$AS,MATCH($E$1,Database!$A$1:$AS$1,0),FALSE)</f>
        <v/>
      </c>
      <c r="F127" s="86">
        <f>VLOOKUP(A127,Database!$A:$AS,MATCH($F$1,Database!$A$1:$AS$1,0),FALSE)</f>
        <v/>
      </c>
      <c r="G127" s="86">
        <f>VLOOKUP(A127,Database!$A:$AS,MATCH($G$1,Database!$A$1:$AS$1,0),FALSE)</f>
        <v/>
      </c>
      <c r="H127" s="86">
        <f>(((Table134567891011121314151617343[[#This Row],[ITA]]-VLOOKUP($U$1,A:B,2,))/VLOOKUP($U$1,A:B,2,))*100)+100</f>
        <v/>
      </c>
      <c r="I127" s="86">
        <f>(((Table134567891011121314151617343[[#This Row],[FRA]]-VLOOKUP($U$1,A:C,3,))/VLOOKUP($U$1,A:C,3,))*100)+100</f>
        <v/>
      </c>
      <c r="J127" s="86">
        <f>(((Table134567891011121314151617343[[#This Row],[DEU]]-VLOOKUP($U$1,A:D,4,))/VLOOKUP($U$1,A:D,4,))*100)+100</f>
        <v/>
      </c>
      <c r="K127" s="86">
        <f>(((Table134567891011121314151617343[[#This Row],[ESP]]-VLOOKUP($U$1,A:E,5,))/VLOOKUP($U$1,A:E,5,))*100)+100</f>
        <v/>
      </c>
      <c r="L127" s="86">
        <f>(((Table134567891011121314151617343[[#This Row],[EA19]]-VLOOKUP($U$1,A:F,6,))/VLOOKUP($U$1,A:F,6,))*100)+100</f>
        <v/>
      </c>
      <c r="M127" s="86">
        <f>(((Table134567891011121314151617343[[#This Row],[GBR]]-VLOOKUP($U$1,A:G,7,))/VLOOKUP($U$1,A:G,7,))*100)+100</f>
        <v/>
      </c>
      <c r="N127" s="86">
        <f>VLOOKUP(A127,Database!$A:$AS,MATCH($N$1,Database!$A$1:$AS$1,0),FALSE)</f>
        <v/>
      </c>
      <c r="O127" s="86">
        <f>(((Table134567891011121314151617343[[#This Row],[USA]]-VLOOKUP($U$1,A:N,14,))/VLOOKUP($U$1,A:N,14,))*100)+100</f>
        <v/>
      </c>
      <c r="P127" s="86">
        <f>VLOOKUP(A127,Database!$A:$AS,MATCH($P$1,Database!$A$1:$AS$1,0),FALSE)</f>
        <v/>
      </c>
      <c r="Q127" s="86">
        <f>(((Table134567891011121314151617343[[#This Row],[JPN]]-VLOOKUP($U$1,A:Q,16,))/VLOOKUP($U$1,A:Q,16,))*100)+100</f>
        <v/>
      </c>
    </row>
    <row r="128" customFormat="1" s="94">
      <c r="A128" s="22" t="n">
        <v>36708</v>
      </c>
      <c r="B128" s="86">
        <f>VLOOKUP(A128,Database!$A:$AS,MATCH($B$1,Database!$A$1:$AS$1,0),FALSE)</f>
        <v/>
      </c>
      <c r="C128" s="86">
        <f>VLOOKUP(A128,Database!$A:$AS,MATCH($C$1,Database!$A$1:$AS$1,0),FALSE)</f>
        <v/>
      </c>
      <c r="D128" s="86">
        <f>VLOOKUP(A128,Database!$A:$AS,MATCH($D$1,Database!$A$1:$AS$1,0),FALSE)</f>
        <v/>
      </c>
      <c r="E128" s="86">
        <f>VLOOKUP(A128,Database!$A:$AS,MATCH($E$1,Database!$A$1:$AS$1,0),FALSE)</f>
        <v/>
      </c>
      <c r="F128" s="86">
        <f>VLOOKUP(A128,Database!$A:$AS,MATCH($F$1,Database!$A$1:$AS$1,0),FALSE)</f>
        <v/>
      </c>
      <c r="G128" s="86">
        <f>VLOOKUP(A128,Database!$A:$AS,MATCH($G$1,Database!$A$1:$AS$1,0),FALSE)</f>
        <v/>
      </c>
      <c r="H128" s="86">
        <f>(((Table134567891011121314151617343[[#This Row],[ITA]]-VLOOKUP($U$1,A:B,2,))/VLOOKUP($U$1,A:B,2,))*100)+100</f>
        <v/>
      </c>
      <c r="I128" s="86">
        <f>(((Table134567891011121314151617343[[#This Row],[FRA]]-VLOOKUP($U$1,A:C,3,))/VLOOKUP($U$1,A:C,3,))*100)+100</f>
        <v/>
      </c>
      <c r="J128" s="86">
        <f>(((Table134567891011121314151617343[[#This Row],[DEU]]-VLOOKUP($U$1,A:D,4,))/VLOOKUP($U$1,A:D,4,))*100)+100</f>
        <v/>
      </c>
      <c r="K128" s="86">
        <f>(((Table134567891011121314151617343[[#This Row],[ESP]]-VLOOKUP($U$1,A:E,5,))/VLOOKUP($U$1,A:E,5,))*100)+100</f>
        <v/>
      </c>
      <c r="L128" s="86">
        <f>(((Table134567891011121314151617343[[#This Row],[EA19]]-VLOOKUP($U$1,A:F,6,))/VLOOKUP($U$1,A:F,6,))*100)+100</f>
        <v/>
      </c>
      <c r="M128" s="86">
        <f>(((Table134567891011121314151617343[[#This Row],[GBR]]-VLOOKUP($U$1,A:G,7,))/VLOOKUP($U$1,A:G,7,))*100)+100</f>
        <v/>
      </c>
      <c r="N128" s="86">
        <f>VLOOKUP(A128,Database!$A:$AS,MATCH($N$1,Database!$A$1:$AS$1,0),FALSE)</f>
        <v/>
      </c>
      <c r="O128" s="86">
        <f>(((Table134567891011121314151617343[[#This Row],[USA]]-VLOOKUP($U$1,A:N,14,))/VLOOKUP($U$1,A:N,14,))*100)+100</f>
        <v/>
      </c>
      <c r="P128" s="86">
        <f>VLOOKUP(A128,Database!$A:$AS,MATCH($P$1,Database!$A$1:$AS$1,0),FALSE)</f>
        <v/>
      </c>
      <c r="Q128" s="86">
        <f>(((Table134567891011121314151617343[[#This Row],[JPN]]-VLOOKUP($U$1,A:Q,16,))/VLOOKUP($U$1,A:Q,16,))*100)+100</f>
        <v/>
      </c>
    </row>
    <row r="129" customFormat="1" s="94">
      <c r="A129" s="22" t="n">
        <v>36739</v>
      </c>
      <c r="B129" s="86">
        <f>VLOOKUP(A129,Database!$A:$AS,MATCH($B$1,Database!$A$1:$AS$1,0),FALSE)</f>
        <v/>
      </c>
      <c r="C129" s="86">
        <f>VLOOKUP(A129,Database!$A:$AS,MATCH($C$1,Database!$A$1:$AS$1,0),FALSE)</f>
        <v/>
      </c>
      <c r="D129" s="86">
        <f>VLOOKUP(A129,Database!$A:$AS,MATCH($D$1,Database!$A$1:$AS$1,0),FALSE)</f>
        <v/>
      </c>
      <c r="E129" s="86">
        <f>VLOOKUP(A129,Database!$A:$AS,MATCH($E$1,Database!$A$1:$AS$1,0),FALSE)</f>
        <v/>
      </c>
      <c r="F129" s="86">
        <f>VLOOKUP(A129,Database!$A:$AS,MATCH($F$1,Database!$A$1:$AS$1,0),FALSE)</f>
        <v/>
      </c>
      <c r="G129" s="86">
        <f>VLOOKUP(A129,Database!$A:$AS,MATCH($G$1,Database!$A$1:$AS$1,0),FALSE)</f>
        <v/>
      </c>
      <c r="H129" s="86">
        <f>(((Table134567891011121314151617343[[#This Row],[ITA]]-VLOOKUP($U$1,A:B,2,))/VLOOKUP($U$1,A:B,2,))*100)+100</f>
        <v/>
      </c>
      <c r="I129" s="86">
        <f>(((Table134567891011121314151617343[[#This Row],[FRA]]-VLOOKUP($U$1,A:C,3,))/VLOOKUP($U$1,A:C,3,))*100)+100</f>
        <v/>
      </c>
      <c r="J129" s="86">
        <f>(((Table134567891011121314151617343[[#This Row],[DEU]]-VLOOKUP($U$1,A:D,4,))/VLOOKUP($U$1,A:D,4,))*100)+100</f>
        <v/>
      </c>
      <c r="K129" s="86">
        <f>(((Table134567891011121314151617343[[#This Row],[ESP]]-VLOOKUP($U$1,A:E,5,))/VLOOKUP($U$1,A:E,5,))*100)+100</f>
        <v/>
      </c>
      <c r="L129" s="86">
        <f>(((Table134567891011121314151617343[[#This Row],[EA19]]-VLOOKUP($U$1,A:F,6,))/VLOOKUP($U$1,A:F,6,))*100)+100</f>
        <v/>
      </c>
      <c r="M129" s="86">
        <f>(((Table134567891011121314151617343[[#This Row],[GBR]]-VLOOKUP($U$1,A:G,7,))/VLOOKUP($U$1,A:G,7,))*100)+100</f>
        <v/>
      </c>
      <c r="N129" s="86">
        <f>VLOOKUP(A129,Database!$A:$AS,MATCH($N$1,Database!$A$1:$AS$1,0),FALSE)</f>
        <v/>
      </c>
      <c r="O129" s="86">
        <f>(((Table134567891011121314151617343[[#This Row],[USA]]-VLOOKUP($U$1,A:N,14,))/VLOOKUP($U$1,A:N,14,))*100)+100</f>
        <v/>
      </c>
      <c r="P129" s="86">
        <f>VLOOKUP(A129,Database!$A:$AS,MATCH($P$1,Database!$A$1:$AS$1,0),FALSE)</f>
        <v/>
      </c>
      <c r="Q129" s="86">
        <f>(((Table134567891011121314151617343[[#This Row],[JPN]]-VLOOKUP($U$1,A:Q,16,))/VLOOKUP($U$1,A:Q,16,))*100)+100</f>
        <v/>
      </c>
    </row>
    <row r="130" customFormat="1" s="94">
      <c r="A130" s="22" t="n">
        <v>36770</v>
      </c>
      <c r="B130" s="86">
        <f>VLOOKUP(A130,Database!$A:$AS,MATCH($B$1,Database!$A$1:$AS$1,0),FALSE)</f>
        <v/>
      </c>
      <c r="C130" s="86">
        <f>VLOOKUP(A130,Database!$A:$AS,MATCH($C$1,Database!$A$1:$AS$1,0),FALSE)</f>
        <v/>
      </c>
      <c r="D130" s="86">
        <f>VLOOKUP(A130,Database!$A:$AS,MATCH($D$1,Database!$A$1:$AS$1,0),FALSE)</f>
        <v/>
      </c>
      <c r="E130" s="86">
        <f>VLOOKUP(A130,Database!$A:$AS,MATCH($E$1,Database!$A$1:$AS$1,0),FALSE)</f>
        <v/>
      </c>
      <c r="F130" s="86">
        <f>VLOOKUP(A130,Database!$A:$AS,MATCH($F$1,Database!$A$1:$AS$1,0),FALSE)</f>
        <v/>
      </c>
      <c r="G130" s="86">
        <f>VLOOKUP(A130,Database!$A:$AS,MATCH($G$1,Database!$A$1:$AS$1,0),FALSE)</f>
        <v/>
      </c>
      <c r="H130" s="86">
        <f>(((Table134567891011121314151617343[[#This Row],[ITA]]-VLOOKUP($U$1,A:B,2,))/VLOOKUP($U$1,A:B,2,))*100)+100</f>
        <v/>
      </c>
      <c r="I130" s="86">
        <f>(((Table134567891011121314151617343[[#This Row],[FRA]]-VLOOKUP($U$1,A:C,3,))/VLOOKUP($U$1,A:C,3,))*100)+100</f>
        <v/>
      </c>
      <c r="J130" s="86">
        <f>(((Table134567891011121314151617343[[#This Row],[DEU]]-VLOOKUP($U$1,A:D,4,))/VLOOKUP($U$1,A:D,4,))*100)+100</f>
        <v/>
      </c>
      <c r="K130" s="86">
        <f>(((Table134567891011121314151617343[[#This Row],[ESP]]-VLOOKUP($U$1,A:E,5,))/VLOOKUP($U$1,A:E,5,))*100)+100</f>
        <v/>
      </c>
      <c r="L130" s="86">
        <f>(((Table134567891011121314151617343[[#This Row],[EA19]]-VLOOKUP($U$1,A:F,6,))/VLOOKUP($U$1,A:F,6,))*100)+100</f>
        <v/>
      </c>
      <c r="M130" s="86">
        <f>(((Table134567891011121314151617343[[#This Row],[GBR]]-VLOOKUP($U$1,A:G,7,))/VLOOKUP($U$1,A:G,7,))*100)+100</f>
        <v/>
      </c>
      <c r="N130" s="86">
        <f>VLOOKUP(A130,Database!$A:$AS,MATCH($N$1,Database!$A$1:$AS$1,0),FALSE)</f>
        <v/>
      </c>
      <c r="O130" s="86">
        <f>(((Table134567891011121314151617343[[#This Row],[USA]]-VLOOKUP($U$1,A:N,14,))/VLOOKUP($U$1,A:N,14,))*100)+100</f>
        <v/>
      </c>
      <c r="P130" s="86">
        <f>VLOOKUP(A130,Database!$A:$AS,MATCH($P$1,Database!$A$1:$AS$1,0),FALSE)</f>
        <v/>
      </c>
      <c r="Q130" s="86">
        <f>(((Table134567891011121314151617343[[#This Row],[JPN]]-VLOOKUP($U$1,A:Q,16,))/VLOOKUP($U$1,A:Q,16,))*100)+100</f>
        <v/>
      </c>
    </row>
    <row r="131" customFormat="1" s="94">
      <c r="A131" s="22" t="n">
        <v>36800</v>
      </c>
      <c r="B131" s="86">
        <f>VLOOKUP(A131,Database!$A:$AS,MATCH($B$1,Database!$A$1:$AS$1,0),FALSE)</f>
        <v/>
      </c>
      <c r="C131" s="86">
        <f>VLOOKUP(A131,Database!$A:$AS,MATCH($C$1,Database!$A$1:$AS$1,0),FALSE)</f>
        <v/>
      </c>
      <c r="D131" s="86">
        <f>VLOOKUP(A131,Database!$A:$AS,MATCH($D$1,Database!$A$1:$AS$1,0),FALSE)</f>
        <v/>
      </c>
      <c r="E131" s="86">
        <f>VLOOKUP(A131,Database!$A:$AS,MATCH($E$1,Database!$A$1:$AS$1,0),FALSE)</f>
        <v/>
      </c>
      <c r="F131" s="86">
        <f>VLOOKUP(A131,Database!$A:$AS,MATCH($F$1,Database!$A$1:$AS$1,0),FALSE)</f>
        <v/>
      </c>
      <c r="G131" s="86">
        <f>VLOOKUP(A131,Database!$A:$AS,MATCH($G$1,Database!$A$1:$AS$1,0),FALSE)</f>
        <v/>
      </c>
      <c r="H131" s="86">
        <f>(((Table134567891011121314151617343[[#This Row],[ITA]]-VLOOKUP($U$1,A:B,2,))/VLOOKUP($U$1,A:B,2,))*100)+100</f>
        <v/>
      </c>
      <c r="I131" s="86">
        <f>(((Table134567891011121314151617343[[#This Row],[FRA]]-VLOOKUP($U$1,A:C,3,))/VLOOKUP($U$1,A:C,3,))*100)+100</f>
        <v/>
      </c>
      <c r="J131" s="86">
        <f>(((Table134567891011121314151617343[[#This Row],[DEU]]-VLOOKUP($U$1,A:D,4,))/VLOOKUP($U$1,A:D,4,))*100)+100</f>
        <v/>
      </c>
      <c r="K131" s="86">
        <f>(((Table134567891011121314151617343[[#This Row],[ESP]]-VLOOKUP($U$1,A:E,5,))/VLOOKUP($U$1,A:E,5,))*100)+100</f>
        <v/>
      </c>
      <c r="L131" s="86">
        <f>(((Table134567891011121314151617343[[#This Row],[EA19]]-VLOOKUP($U$1,A:F,6,))/VLOOKUP($U$1,A:F,6,))*100)+100</f>
        <v/>
      </c>
      <c r="M131" s="86">
        <f>(((Table134567891011121314151617343[[#This Row],[GBR]]-VLOOKUP($U$1,A:G,7,))/VLOOKUP($U$1,A:G,7,))*100)+100</f>
        <v/>
      </c>
      <c r="N131" s="86">
        <f>VLOOKUP(A131,Database!$A:$AS,MATCH($N$1,Database!$A$1:$AS$1,0),FALSE)</f>
        <v/>
      </c>
      <c r="O131" s="86">
        <f>(((Table134567891011121314151617343[[#This Row],[USA]]-VLOOKUP($U$1,A:N,14,))/VLOOKUP($U$1,A:N,14,))*100)+100</f>
        <v/>
      </c>
      <c r="P131" s="86">
        <f>VLOOKUP(A131,Database!$A:$AS,MATCH($P$1,Database!$A$1:$AS$1,0),FALSE)</f>
        <v/>
      </c>
      <c r="Q131" s="86">
        <f>(((Table134567891011121314151617343[[#This Row],[JPN]]-VLOOKUP($U$1,A:Q,16,))/VLOOKUP($U$1,A:Q,16,))*100)+100</f>
        <v/>
      </c>
    </row>
    <row r="132" customFormat="1" s="94">
      <c r="A132" s="22" t="n">
        <v>36831</v>
      </c>
      <c r="B132" s="86">
        <f>VLOOKUP(A132,Database!$A:$AS,MATCH($B$1,Database!$A$1:$AS$1,0),FALSE)</f>
        <v/>
      </c>
      <c r="C132" s="86">
        <f>VLOOKUP(A132,Database!$A:$AS,MATCH($C$1,Database!$A$1:$AS$1,0),FALSE)</f>
        <v/>
      </c>
      <c r="D132" s="86">
        <f>VLOOKUP(A132,Database!$A:$AS,MATCH($D$1,Database!$A$1:$AS$1,0),FALSE)</f>
        <v/>
      </c>
      <c r="E132" s="86">
        <f>VLOOKUP(A132,Database!$A:$AS,MATCH($E$1,Database!$A$1:$AS$1,0),FALSE)</f>
        <v/>
      </c>
      <c r="F132" s="86">
        <f>VLOOKUP(A132,Database!$A:$AS,MATCH($F$1,Database!$A$1:$AS$1,0),FALSE)</f>
        <v/>
      </c>
      <c r="G132" s="86">
        <f>VLOOKUP(A132,Database!$A:$AS,MATCH($G$1,Database!$A$1:$AS$1,0),FALSE)</f>
        <v/>
      </c>
      <c r="H132" s="86">
        <f>(((Table134567891011121314151617343[[#This Row],[ITA]]-VLOOKUP($U$1,A:B,2,))/VLOOKUP($U$1,A:B,2,))*100)+100</f>
        <v/>
      </c>
      <c r="I132" s="86">
        <f>(((Table134567891011121314151617343[[#This Row],[FRA]]-VLOOKUP($U$1,A:C,3,))/VLOOKUP($U$1,A:C,3,))*100)+100</f>
        <v/>
      </c>
      <c r="J132" s="86">
        <f>(((Table134567891011121314151617343[[#This Row],[DEU]]-VLOOKUP($U$1,A:D,4,))/VLOOKUP($U$1,A:D,4,))*100)+100</f>
        <v/>
      </c>
      <c r="K132" s="86">
        <f>(((Table134567891011121314151617343[[#This Row],[ESP]]-VLOOKUP($U$1,A:E,5,))/VLOOKUP($U$1,A:E,5,))*100)+100</f>
        <v/>
      </c>
      <c r="L132" s="86">
        <f>(((Table134567891011121314151617343[[#This Row],[EA19]]-VLOOKUP($U$1,A:F,6,))/VLOOKUP($U$1,A:F,6,))*100)+100</f>
        <v/>
      </c>
      <c r="M132" s="86">
        <f>(((Table134567891011121314151617343[[#This Row],[GBR]]-VLOOKUP($U$1,A:G,7,))/VLOOKUP($U$1,A:G,7,))*100)+100</f>
        <v/>
      </c>
      <c r="N132" s="86">
        <f>VLOOKUP(A132,Database!$A:$AS,MATCH($N$1,Database!$A$1:$AS$1,0),FALSE)</f>
        <v/>
      </c>
      <c r="O132" s="86">
        <f>(((Table134567891011121314151617343[[#This Row],[USA]]-VLOOKUP($U$1,A:N,14,))/VLOOKUP($U$1,A:N,14,))*100)+100</f>
        <v/>
      </c>
      <c r="P132" s="86">
        <f>VLOOKUP(A132,Database!$A:$AS,MATCH($P$1,Database!$A$1:$AS$1,0),FALSE)</f>
        <v/>
      </c>
      <c r="Q132" s="86">
        <f>(((Table134567891011121314151617343[[#This Row],[JPN]]-VLOOKUP($U$1,A:Q,16,))/VLOOKUP($U$1,A:Q,16,))*100)+100</f>
        <v/>
      </c>
    </row>
    <row r="133" customFormat="1" s="94">
      <c r="A133" s="22" t="n">
        <v>36861</v>
      </c>
      <c r="B133" s="86">
        <f>VLOOKUP(A133,Database!$A:$AS,MATCH($B$1,Database!$A$1:$AS$1,0),FALSE)</f>
        <v/>
      </c>
      <c r="C133" s="86">
        <f>VLOOKUP(A133,Database!$A:$AS,MATCH($C$1,Database!$A$1:$AS$1,0),FALSE)</f>
        <v/>
      </c>
      <c r="D133" s="86">
        <f>VLOOKUP(A133,Database!$A:$AS,MATCH($D$1,Database!$A$1:$AS$1,0),FALSE)</f>
        <v/>
      </c>
      <c r="E133" s="86">
        <f>VLOOKUP(A133,Database!$A:$AS,MATCH($E$1,Database!$A$1:$AS$1,0),FALSE)</f>
        <v/>
      </c>
      <c r="F133" s="86">
        <f>VLOOKUP(A133,Database!$A:$AS,MATCH($F$1,Database!$A$1:$AS$1,0),FALSE)</f>
        <v/>
      </c>
      <c r="G133" s="86">
        <f>VLOOKUP(A133,Database!$A:$AS,MATCH($G$1,Database!$A$1:$AS$1,0),FALSE)</f>
        <v/>
      </c>
      <c r="H133" s="86">
        <f>(((Table134567891011121314151617343[[#This Row],[ITA]]-VLOOKUP($U$1,A:B,2,))/VLOOKUP($U$1,A:B,2,))*100)+100</f>
        <v/>
      </c>
      <c r="I133" s="86">
        <f>(((Table134567891011121314151617343[[#This Row],[FRA]]-VLOOKUP($U$1,A:C,3,))/VLOOKUP($U$1,A:C,3,))*100)+100</f>
        <v/>
      </c>
      <c r="J133" s="86">
        <f>(((Table134567891011121314151617343[[#This Row],[DEU]]-VLOOKUP($U$1,A:D,4,))/VLOOKUP($U$1,A:D,4,))*100)+100</f>
        <v/>
      </c>
      <c r="K133" s="86">
        <f>(((Table134567891011121314151617343[[#This Row],[ESP]]-VLOOKUP($U$1,A:E,5,))/VLOOKUP($U$1,A:E,5,))*100)+100</f>
        <v/>
      </c>
      <c r="L133" s="86">
        <f>(((Table134567891011121314151617343[[#This Row],[EA19]]-VLOOKUP($U$1,A:F,6,))/VLOOKUP($U$1,A:F,6,))*100)+100</f>
        <v/>
      </c>
      <c r="M133" s="86">
        <f>(((Table134567891011121314151617343[[#This Row],[GBR]]-VLOOKUP($U$1,A:G,7,))/VLOOKUP($U$1,A:G,7,))*100)+100</f>
        <v/>
      </c>
      <c r="N133" s="86">
        <f>VLOOKUP(A133,Database!$A:$AS,MATCH($N$1,Database!$A$1:$AS$1,0),FALSE)</f>
        <v/>
      </c>
      <c r="O133" s="86">
        <f>(((Table134567891011121314151617343[[#This Row],[USA]]-VLOOKUP($U$1,A:N,14,))/VLOOKUP($U$1,A:N,14,))*100)+100</f>
        <v/>
      </c>
      <c r="P133" s="86">
        <f>VLOOKUP(A133,Database!$A:$AS,MATCH($P$1,Database!$A$1:$AS$1,0),FALSE)</f>
        <v/>
      </c>
      <c r="Q133" s="86">
        <f>(((Table134567891011121314151617343[[#This Row],[JPN]]-VLOOKUP($U$1,A:Q,16,))/VLOOKUP($U$1,A:Q,16,))*100)+100</f>
        <v/>
      </c>
    </row>
    <row r="134" customFormat="1" s="94">
      <c r="A134" s="22" t="n">
        <v>36892</v>
      </c>
      <c r="B134" s="86">
        <f>VLOOKUP(A134,Database!$A:$AS,MATCH($B$1,Database!$A$1:$AS$1,0),FALSE)</f>
        <v/>
      </c>
      <c r="C134" s="86">
        <f>VLOOKUP(A134,Database!$A:$AS,MATCH($C$1,Database!$A$1:$AS$1,0),FALSE)</f>
        <v/>
      </c>
      <c r="D134" s="86">
        <f>VLOOKUP(A134,Database!$A:$AS,MATCH($D$1,Database!$A$1:$AS$1,0),FALSE)</f>
        <v/>
      </c>
      <c r="E134" s="86">
        <f>VLOOKUP(A134,Database!$A:$AS,MATCH($E$1,Database!$A$1:$AS$1,0),FALSE)</f>
        <v/>
      </c>
      <c r="F134" s="86">
        <f>VLOOKUP(A134,Database!$A:$AS,MATCH($F$1,Database!$A$1:$AS$1,0),FALSE)</f>
        <v/>
      </c>
      <c r="G134" s="86">
        <f>VLOOKUP(A134,Database!$A:$AS,MATCH($G$1,Database!$A$1:$AS$1,0),FALSE)</f>
        <v/>
      </c>
      <c r="H134" s="86">
        <f>(((Table134567891011121314151617343[[#This Row],[ITA]]-VLOOKUP($U$1,A:B,2,))/VLOOKUP($U$1,A:B,2,))*100)+100</f>
        <v/>
      </c>
      <c r="I134" s="86">
        <f>(((Table134567891011121314151617343[[#This Row],[FRA]]-VLOOKUP($U$1,A:C,3,))/VLOOKUP($U$1,A:C,3,))*100)+100</f>
        <v/>
      </c>
      <c r="J134" s="86">
        <f>(((Table134567891011121314151617343[[#This Row],[DEU]]-VLOOKUP($U$1,A:D,4,))/VLOOKUP($U$1,A:D,4,))*100)+100</f>
        <v/>
      </c>
      <c r="K134" s="86">
        <f>(((Table134567891011121314151617343[[#This Row],[ESP]]-VLOOKUP($U$1,A:E,5,))/VLOOKUP($U$1,A:E,5,))*100)+100</f>
        <v/>
      </c>
      <c r="L134" s="86">
        <f>(((Table134567891011121314151617343[[#This Row],[EA19]]-VLOOKUP($U$1,A:F,6,))/VLOOKUP($U$1,A:F,6,))*100)+100</f>
        <v/>
      </c>
      <c r="M134" s="86">
        <f>(((Table134567891011121314151617343[[#This Row],[GBR]]-VLOOKUP($U$1,A:G,7,))/VLOOKUP($U$1,A:G,7,))*100)+100</f>
        <v/>
      </c>
      <c r="N134" s="86">
        <f>VLOOKUP(A134,Database!$A:$AS,MATCH($N$1,Database!$A$1:$AS$1,0),FALSE)</f>
        <v/>
      </c>
      <c r="O134" s="86">
        <f>(((Table134567891011121314151617343[[#This Row],[USA]]-VLOOKUP($U$1,A:N,14,))/VLOOKUP($U$1,A:N,14,))*100)+100</f>
        <v/>
      </c>
      <c r="P134" s="86">
        <f>VLOOKUP(A134,Database!$A:$AS,MATCH($P$1,Database!$A$1:$AS$1,0),FALSE)</f>
        <v/>
      </c>
      <c r="Q134" s="86">
        <f>(((Table134567891011121314151617343[[#This Row],[JPN]]-VLOOKUP($U$1,A:Q,16,))/VLOOKUP($U$1,A:Q,16,))*100)+100</f>
        <v/>
      </c>
    </row>
    <row r="135" customFormat="1" s="94">
      <c r="A135" s="22" t="n">
        <v>36923</v>
      </c>
      <c r="B135" s="86">
        <f>VLOOKUP(A135,Database!$A:$AS,MATCH($B$1,Database!$A$1:$AS$1,0),FALSE)</f>
        <v/>
      </c>
      <c r="C135" s="86">
        <f>VLOOKUP(A135,Database!$A:$AS,MATCH($C$1,Database!$A$1:$AS$1,0),FALSE)</f>
        <v/>
      </c>
      <c r="D135" s="86">
        <f>VLOOKUP(A135,Database!$A:$AS,MATCH($D$1,Database!$A$1:$AS$1,0),FALSE)</f>
        <v/>
      </c>
      <c r="E135" s="86">
        <f>VLOOKUP(A135,Database!$A:$AS,MATCH($E$1,Database!$A$1:$AS$1,0),FALSE)</f>
        <v/>
      </c>
      <c r="F135" s="86">
        <f>VLOOKUP(A135,Database!$A:$AS,MATCH($F$1,Database!$A$1:$AS$1,0),FALSE)</f>
        <v/>
      </c>
      <c r="G135" s="86">
        <f>VLOOKUP(A135,Database!$A:$AS,MATCH($G$1,Database!$A$1:$AS$1,0),FALSE)</f>
        <v/>
      </c>
      <c r="H135" s="86">
        <f>(((Table134567891011121314151617343[[#This Row],[ITA]]-VLOOKUP($U$1,A:B,2,))/VLOOKUP($U$1,A:B,2,))*100)+100</f>
        <v/>
      </c>
      <c r="I135" s="86">
        <f>(((Table134567891011121314151617343[[#This Row],[FRA]]-VLOOKUP($U$1,A:C,3,))/VLOOKUP($U$1,A:C,3,))*100)+100</f>
        <v/>
      </c>
      <c r="J135" s="86">
        <f>(((Table134567891011121314151617343[[#This Row],[DEU]]-VLOOKUP($U$1,A:D,4,))/VLOOKUP($U$1,A:D,4,))*100)+100</f>
        <v/>
      </c>
      <c r="K135" s="86">
        <f>(((Table134567891011121314151617343[[#This Row],[ESP]]-VLOOKUP($U$1,A:E,5,))/VLOOKUP($U$1,A:E,5,))*100)+100</f>
        <v/>
      </c>
      <c r="L135" s="86">
        <f>(((Table134567891011121314151617343[[#This Row],[EA19]]-VLOOKUP($U$1,A:F,6,))/VLOOKUP($U$1,A:F,6,))*100)+100</f>
        <v/>
      </c>
      <c r="M135" s="86">
        <f>(((Table134567891011121314151617343[[#This Row],[GBR]]-VLOOKUP($U$1,A:G,7,))/VLOOKUP($U$1,A:G,7,))*100)+100</f>
        <v/>
      </c>
      <c r="N135" s="86">
        <f>VLOOKUP(A135,Database!$A:$AS,MATCH($N$1,Database!$A$1:$AS$1,0),FALSE)</f>
        <v/>
      </c>
      <c r="O135" s="86">
        <f>(((Table134567891011121314151617343[[#This Row],[USA]]-VLOOKUP($U$1,A:N,14,))/VLOOKUP($U$1,A:N,14,))*100)+100</f>
        <v/>
      </c>
      <c r="P135" s="86">
        <f>VLOOKUP(A135,Database!$A:$AS,MATCH($P$1,Database!$A$1:$AS$1,0),FALSE)</f>
        <v/>
      </c>
      <c r="Q135" s="86">
        <f>(((Table134567891011121314151617343[[#This Row],[JPN]]-VLOOKUP($U$1,A:Q,16,))/VLOOKUP($U$1,A:Q,16,))*100)+100</f>
        <v/>
      </c>
    </row>
    <row r="136" customFormat="1" s="94">
      <c r="A136" s="22" t="n">
        <v>36951</v>
      </c>
      <c r="B136" s="86">
        <f>VLOOKUP(A136,Database!$A:$AS,MATCH($B$1,Database!$A$1:$AS$1,0),FALSE)</f>
        <v/>
      </c>
      <c r="C136" s="86">
        <f>VLOOKUP(A136,Database!$A:$AS,MATCH($C$1,Database!$A$1:$AS$1,0),FALSE)</f>
        <v/>
      </c>
      <c r="D136" s="86">
        <f>VLOOKUP(A136,Database!$A:$AS,MATCH($D$1,Database!$A$1:$AS$1,0),FALSE)</f>
        <v/>
      </c>
      <c r="E136" s="86">
        <f>VLOOKUP(A136,Database!$A:$AS,MATCH($E$1,Database!$A$1:$AS$1,0),FALSE)</f>
        <v/>
      </c>
      <c r="F136" s="86">
        <f>VLOOKUP(A136,Database!$A:$AS,MATCH($F$1,Database!$A$1:$AS$1,0),FALSE)</f>
        <v/>
      </c>
      <c r="G136" s="86">
        <f>VLOOKUP(A136,Database!$A:$AS,MATCH($G$1,Database!$A$1:$AS$1,0),FALSE)</f>
        <v/>
      </c>
      <c r="H136" s="86">
        <f>(((Table134567891011121314151617343[[#This Row],[ITA]]-VLOOKUP($U$1,A:B,2,))/VLOOKUP($U$1,A:B,2,))*100)+100</f>
        <v/>
      </c>
      <c r="I136" s="86">
        <f>(((Table134567891011121314151617343[[#This Row],[FRA]]-VLOOKUP($U$1,A:C,3,))/VLOOKUP($U$1,A:C,3,))*100)+100</f>
        <v/>
      </c>
      <c r="J136" s="86">
        <f>(((Table134567891011121314151617343[[#This Row],[DEU]]-VLOOKUP($U$1,A:D,4,))/VLOOKUP($U$1,A:D,4,))*100)+100</f>
        <v/>
      </c>
      <c r="K136" s="86">
        <f>(((Table134567891011121314151617343[[#This Row],[ESP]]-VLOOKUP($U$1,A:E,5,))/VLOOKUP($U$1,A:E,5,))*100)+100</f>
        <v/>
      </c>
      <c r="L136" s="86">
        <f>(((Table134567891011121314151617343[[#This Row],[EA19]]-VLOOKUP($U$1,A:F,6,))/VLOOKUP($U$1,A:F,6,))*100)+100</f>
        <v/>
      </c>
      <c r="M136" s="86">
        <f>(((Table134567891011121314151617343[[#This Row],[GBR]]-VLOOKUP($U$1,A:G,7,))/VLOOKUP($U$1,A:G,7,))*100)+100</f>
        <v/>
      </c>
      <c r="N136" s="86">
        <f>VLOOKUP(A136,Database!$A:$AS,MATCH($N$1,Database!$A$1:$AS$1,0),FALSE)</f>
        <v/>
      </c>
      <c r="O136" s="86">
        <f>(((Table134567891011121314151617343[[#This Row],[USA]]-VLOOKUP($U$1,A:N,14,))/VLOOKUP($U$1,A:N,14,))*100)+100</f>
        <v/>
      </c>
      <c r="P136" s="86">
        <f>VLOOKUP(A136,Database!$A:$AS,MATCH($P$1,Database!$A$1:$AS$1,0),FALSE)</f>
        <v/>
      </c>
      <c r="Q136" s="86">
        <f>(((Table134567891011121314151617343[[#This Row],[JPN]]-VLOOKUP($U$1,A:Q,16,))/VLOOKUP($U$1,A:Q,16,))*100)+100</f>
        <v/>
      </c>
    </row>
    <row r="137" customFormat="1" s="94">
      <c r="A137" s="22" t="n">
        <v>36982</v>
      </c>
      <c r="B137" s="86">
        <f>VLOOKUP(A137,Database!$A:$AS,MATCH($B$1,Database!$A$1:$AS$1,0),FALSE)</f>
        <v/>
      </c>
      <c r="C137" s="86">
        <f>VLOOKUP(A137,Database!$A:$AS,MATCH($C$1,Database!$A$1:$AS$1,0),FALSE)</f>
        <v/>
      </c>
      <c r="D137" s="86">
        <f>VLOOKUP(A137,Database!$A:$AS,MATCH($D$1,Database!$A$1:$AS$1,0),FALSE)</f>
        <v/>
      </c>
      <c r="E137" s="86">
        <f>VLOOKUP(A137,Database!$A:$AS,MATCH($E$1,Database!$A$1:$AS$1,0),FALSE)</f>
        <v/>
      </c>
      <c r="F137" s="86">
        <f>VLOOKUP(A137,Database!$A:$AS,MATCH($F$1,Database!$A$1:$AS$1,0),FALSE)</f>
        <v/>
      </c>
      <c r="G137" s="86">
        <f>VLOOKUP(A137,Database!$A:$AS,MATCH($G$1,Database!$A$1:$AS$1,0),FALSE)</f>
        <v/>
      </c>
      <c r="H137" s="86">
        <f>(((Table134567891011121314151617343[[#This Row],[ITA]]-VLOOKUP($U$1,A:B,2,))/VLOOKUP($U$1,A:B,2,))*100)+100</f>
        <v/>
      </c>
      <c r="I137" s="86">
        <f>(((Table134567891011121314151617343[[#This Row],[FRA]]-VLOOKUP($U$1,A:C,3,))/VLOOKUP($U$1,A:C,3,))*100)+100</f>
        <v/>
      </c>
      <c r="J137" s="86">
        <f>(((Table134567891011121314151617343[[#This Row],[DEU]]-VLOOKUP($U$1,A:D,4,))/VLOOKUP($U$1,A:D,4,))*100)+100</f>
        <v/>
      </c>
      <c r="K137" s="86">
        <f>(((Table134567891011121314151617343[[#This Row],[ESP]]-VLOOKUP($U$1,A:E,5,))/VLOOKUP($U$1,A:E,5,))*100)+100</f>
        <v/>
      </c>
      <c r="L137" s="86">
        <f>(((Table134567891011121314151617343[[#This Row],[EA19]]-VLOOKUP($U$1,A:F,6,))/VLOOKUP($U$1,A:F,6,))*100)+100</f>
        <v/>
      </c>
      <c r="M137" s="86">
        <f>(((Table134567891011121314151617343[[#This Row],[GBR]]-VLOOKUP($U$1,A:G,7,))/VLOOKUP($U$1,A:G,7,))*100)+100</f>
        <v/>
      </c>
      <c r="N137" s="86">
        <f>VLOOKUP(A137,Database!$A:$AS,MATCH($N$1,Database!$A$1:$AS$1,0),FALSE)</f>
        <v/>
      </c>
      <c r="O137" s="86">
        <f>(((Table134567891011121314151617343[[#This Row],[USA]]-VLOOKUP($U$1,A:N,14,))/VLOOKUP($U$1,A:N,14,))*100)+100</f>
        <v/>
      </c>
      <c r="P137" s="86">
        <f>VLOOKUP(A137,Database!$A:$AS,MATCH($P$1,Database!$A$1:$AS$1,0),FALSE)</f>
        <v/>
      </c>
      <c r="Q137" s="86">
        <f>(((Table134567891011121314151617343[[#This Row],[JPN]]-VLOOKUP($U$1,A:Q,16,))/VLOOKUP($U$1,A:Q,16,))*100)+100</f>
        <v/>
      </c>
    </row>
    <row r="138" customFormat="1" s="94">
      <c r="A138" s="22" t="n">
        <v>37012</v>
      </c>
      <c r="B138" s="86">
        <f>VLOOKUP(A138,Database!$A:$AS,MATCH($B$1,Database!$A$1:$AS$1,0),FALSE)</f>
        <v/>
      </c>
      <c r="C138" s="86">
        <f>VLOOKUP(A138,Database!$A:$AS,MATCH($C$1,Database!$A$1:$AS$1,0),FALSE)</f>
        <v/>
      </c>
      <c r="D138" s="86">
        <f>VLOOKUP(A138,Database!$A:$AS,MATCH($D$1,Database!$A$1:$AS$1,0),FALSE)</f>
        <v/>
      </c>
      <c r="E138" s="86">
        <f>VLOOKUP(A138,Database!$A:$AS,MATCH($E$1,Database!$A$1:$AS$1,0),FALSE)</f>
        <v/>
      </c>
      <c r="F138" s="86">
        <f>VLOOKUP(A138,Database!$A:$AS,MATCH($F$1,Database!$A$1:$AS$1,0),FALSE)</f>
        <v/>
      </c>
      <c r="G138" s="86">
        <f>VLOOKUP(A138,Database!$A:$AS,MATCH($G$1,Database!$A$1:$AS$1,0),FALSE)</f>
        <v/>
      </c>
      <c r="H138" s="86">
        <f>(((Table134567891011121314151617343[[#This Row],[ITA]]-VLOOKUP($U$1,A:B,2,))/VLOOKUP($U$1,A:B,2,))*100)+100</f>
        <v/>
      </c>
      <c r="I138" s="86">
        <f>(((Table134567891011121314151617343[[#This Row],[FRA]]-VLOOKUP($U$1,A:C,3,))/VLOOKUP($U$1,A:C,3,))*100)+100</f>
        <v/>
      </c>
      <c r="J138" s="86">
        <f>(((Table134567891011121314151617343[[#This Row],[DEU]]-VLOOKUP($U$1,A:D,4,))/VLOOKUP($U$1,A:D,4,))*100)+100</f>
        <v/>
      </c>
      <c r="K138" s="86">
        <f>(((Table134567891011121314151617343[[#This Row],[ESP]]-VLOOKUP($U$1,A:E,5,))/VLOOKUP($U$1,A:E,5,))*100)+100</f>
        <v/>
      </c>
      <c r="L138" s="86">
        <f>(((Table134567891011121314151617343[[#This Row],[EA19]]-VLOOKUP($U$1,A:F,6,))/VLOOKUP($U$1,A:F,6,))*100)+100</f>
        <v/>
      </c>
      <c r="M138" s="86">
        <f>(((Table134567891011121314151617343[[#This Row],[GBR]]-VLOOKUP($U$1,A:G,7,))/VLOOKUP($U$1,A:G,7,))*100)+100</f>
        <v/>
      </c>
      <c r="N138" s="86">
        <f>VLOOKUP(A138,Database!$A:$AS,MATCH($N$1,Database!$A$1:$AS$1,0),FALSE)</f>
        <v/>
      </c>
      <c r="O138" s="86">
        <f>(((Table134567891011121314151617343[[#This Row],[USA]]-VLOOKUP($U$1,A:N,14,))/VLOOKUP($U$1,A:N,14,))*100)+100</f>
        <v/>
      </c>
      <c r="P138" s="86">
        <f>VLOOKUP(A138,Database!$A:$AS,MATCH($P$1,Database!$A$1:$AS$1,0),FALSE)</f>
        <v/>
      </c>
      <c r="Q138" s="86">
        <f>(((Table134567891011121314151617343[[#This Row],[JPN]]-VLOOKUP($U$1,A:Q,16,))/VLOOKUP($U$1,A:Q,16,))*100)+100</f>
        <v/>
      </c>
    </row>
    <row r="139" customFormat="1" s="94">
      <c r="A139" s="22" t="n">
        <v>37043</v>
      </c>
      <c r="B139" s="86">
        <f>VLOOKUP(A139,Database!$A:$AS,MATCH($B$1,Database!$A$1:$AS$1,0),FALSE)</f>
        <v/>
      </c>
      <c r="C139" s="86">
        <f>VLOOKUP(A139,Database!$A:$AS,MATCH($C$1,Database!$A$1:$AS$1,0),FALSE)</f>
        <v/>
      </c>
      <c r="D139" s="86">
        <f>VLOOKUP(A139,Database!$A:$AS,MATCH($D$1,Database!$A$1:$AS$1,0),FALSE)</f>
        <v/>
      </c>
      <c r="E139" s="86">
        <f>VLOOKUP(A139,Database!$A:$AS,MATCH($E$1,Database!$A$1:$AS$1,0),FALSE)</f>
        <v/>
      </c>
      <c r="F139" s="86">
        <f>VLOOKUP(A139,Database!$A:$AS,MATCH($F$1,Database!$A$1:$AS$1,0),FALSE)</f>
        <v/>
      </c>
      <c r="G139" s="86">
        <f>VLOOKUP(A139,Database!$A:$AS,MATCH($G$1,Database!$A$1:$AS$1,0),FALSE)</f>
        <v/>
      </c>
      <c r="H139" s="86">
        <f>(((Table134567891011121314151617343[[#This Row],[ITA]]-VLOOKUP($U$1,A:B,2,))/VLOOKUP($U$1,A:B,2,))*100)+100</f>
        <v/>
      </c>
      <c r="I139" s="86">
        <f>(((Table134567891011121314151617343[[#This Row],[FRA]]-VLOOKUP($U$1,A:C,3,))/VLOOKUP($U$1,A:C,3,))*100)+100</f>
        <v/>
      </c>
      <c r="J139" s="86">
        <f>(((Table134567891011121314151617343[[#This Row],[DEU]]-VLOOKUP($U$1,A:D,4,))/VLOOKUP($U$1,A:D,4,))*100)+100</f>
        <v/>
      </c>
      <c r="K139" s="86">
        <f>(((Table134567891011121314151617343[[#This Row],[ESP]]-VLOOKUP($U$1,A:E,5,))/VLOOKUP($U$1,A:E,5,))*100)+100</f>
        <v/>
      </c>
      <c r="L139" s="86">
        <f>(((Table134567891011121314151617343[[#This Row],[EA19]]-VLOOKUP($U$1,A:F,6,))/VLOOKUP($U$1,A:F,6,))*100)+100</f>
        <v/>
      </c>
      <c r="M139" s="86">
        <f>(((Table134567891011121314151617343[[#This Row],[GBR]]-VLOOKUP($U$1,A:G,7,))/VLOOKUP($U$1,A:G,7,))*100)+100</f>
        <v/>
      </c>
      <c r="N139" s="86">
        <f>VLOOKUP(A139,Database!$A:$AS,MATCH($N$1,Database!$A$1:$AS$1,0),FALSE)</f>
        <v/>
      </c>
      <c r="O139" s="86">
        <f>(((Table134567891011121314151617343[[#This Row],[USA]]-VLOOKUP($U$1,A:N,14,))/VLOOKUP($U$1,A:N,14,))*100)+100</f>
        <v/>
      </c>
      <c r="P139" s="86">
        <f>VLOOKUP(A139,Database!$A:$AS,MATCH($P$1,Database!$A$1:$AS$1,0),FALSE)</f>
        <v/>
      </c>
      <c r="Q139" s="86">
        <f>(((Table134567891011121314151617343[[#This Row],[JPN]]-VLOOKUP($U$1,A:Q,16,))/VLOOKUP($U$1,A:Q,16,))*100)+100</f>
        <v/>
      </c>
    </row>
    <row r="140" customFormat="1" s="94">
      <c r="A140" s="22" t="n">
        <v>37073</v>
      </c>
      <c r="B140" s="86">
        <f>VLOOKUP(A140,Database!$A:$AS,MATCH($B$1,Database!$A$1:$AS$1,0),FALSE)</f>
        <v/>
      </c>
      <c r="C140" s="86">
        <f>VLOOKUP(A140,Database!$A:$AS,MATCH($C$1,Database!$A$1:$AS$1,0),FALSE)</f>
        <v/>
      </c>
      <c r="D140" s="86">
        <f>VLOOKUP(A140,Database!$A:$AS,MATCH($D$1,Database!$A$1:$AS$1,0),FALSE)</f>
        <v/>
      </c>
      <c r="E140" s="86">
        <f>VLOOKUP(A140,Database!$A:$AS,MATCH($E$1,Database!$A$1:$AS$1,0),FALSE)</f>
        <v/>
      </c>
      <c r="F140" s="86">
        <f>VLOOKUP(A140,Database!$A:$AS,MATCH($F$1,Database!$A$1:$AS$1,0),FALSE)</f>
        <v/>
      </c>
      <c r="G140" s="86">
        <f>VLOOKUP(A140,Database!$A:$AS,MATCH($G$1,Database!$A$1:$AS$1,0),FALSE)</f>
        <v/>
      </c>
      <c r="H140" s="86">
        <f>(((Table134567891011121314151617343[[#This Row],[ITA]]-VLOOKUP($U$1,A:B,2,))/VLOOKUP($U$1,A:B,2,))*100)+100</f>
        <v/>
      </c>
      <c r="I140" s="86">
        <f>(((Table134567891011121314151617343[[#This Row],[FRA]]-VLOOKUP($U$1,A:C,3,))/VLOOKUP($U$1,A:C,3,))*100)+100</f>
        <v/>
      </c>
      <c r="J140" s="86">
        <f>(((Table134567891011121314151617343[[#This Row],[DEU]]-VLOOKUP($U$1,A:D,4,))/VLOOKUP($U$1,A:D,4,))*100)+100</f>
        <v/>
      </c>
      <c r="K140" s="86">
        <f>(((Table134567891011121314151617343[[#This Row],[ESP]]-VLOOKUP($U$1,A:E,5,))/VLOOKUP($U$1,A:E,5,))*100)+100</f>
        <v/>
      </c>
      <c r="L140" s="86">
        <f>(((Table134567891011121314151617343[[#This Row],[EA19]]-VLOOKUP($U$1,A:F,6,))/VLOOKUP($U$1,A:F,6,))*100)+100</f>
        <v/>
      </c>
      <c r="M140" s="86">
        <f>(((Table134567891011121314151617343[[#This Row],[GBR]]-VLOOKUP($U$1,A:G,7,))/VLOOKUP($U$1,A:G,7,))*100)+100</f>
        <v/>
      </c>
      <c r="N140" s="86">
        <f>VLOOKUP(A140,Database!$A:$AS,MATCH($N$1,Database!$A$1:$AS$1,0),FALSE)</f>
        <v/>
      </c>
      <c r="O140" s="86">
        <f>(((Table134567891011121314151617343[[#This Row],[USA]]-VLOOKUP($U$1,A:N,14,))/VLOOKUP($U$1,A:N,14,))*100)+100</f>
        <v/>
      </c>
      <c r="P140" s="86">
        <f>VLOOKUP(A140,Database!$A:$AS,MATCH($P$1,Database!$A$1:$AS$1,0),FALSE)</f>
        <v/>
      </c>
      <c r="Q140" s="86">
        <f>(((Table134567891011121314151617343[[#This Row],[JPN]]-VLOOKUP($U$1,A:Q,16,))/VLOOKUP($U$1,A:Q,16,))*100)+100</f>
        <v/>
      </c>
    </row>
    <row r="141" customFormat="1" s="94">
      <c r="A141" s="22" t="n">
        <v>37104</v>
      </c>
      <c r="B141" s="86">
        <f>VLOOKUP(A141,Database!$A:$AS,MATCH($B$1,Database!$A$1:$AS$1,0),FALSE)</f>
        <v/>
      </c>
      <c r="C141" s="86">
        <f>VLOOKUP(A141,Database!$A:$AS,MATCH($C$1,Database!$A$1:$AS$1,0),FALSE)</f>
        <v/>
      </c>
      <c r="D141" s="86">
        <f>VLOOKUP(A141,Database!$A:$AS,MATCH($D$1,Database!$A$1:$AS$1,0),FALSE)</f>
        <v/>
      </c>
      <c r="E141" s="86">
        <f>VLOOKUP(A141,Database!$A:$AS,MATCH($E$1,Database!$A$1:$AS$1,0),FALSE)</f>
        <v/>
      </c>
      <c r="F141" s="86">
        <f>VLOOKUP(A141,Database!$A:$AS,MATCH($F$1,Database!$A$1:$AS$1,0),FALSE)</f>
        <v/>
      </c>
      <c r="G141" s="86">
        <f>VLOOKUP(A141,Database!$A:$AS,MATCH($G$1,Database!$A$1:$AS$1,0),FALSE)</f>
        <v/>
      </c>
      <c r="H141" s="86">
        <f>(((Table134567891011121314151617343[[#This Row],[ITA]]-VLOOKUP($U$1,A:B,2,))/VLOOKUP($U$1,A:B,2,))*100)+100</f>
        <v/>
      </c>
      <c r="I141" s="86">
        <f>(((Table134567891011121314151617343[[#This Row],[FRA]]-VLOOKUP($U$1,A:C,3,))/VLOOKUP($U$1,A:C,3,))*100)+100</f>
        <v/>
      </c>
      <c r="J141" s="86">
        <f>(((Table134567891011121314151617343[[#This Row],[DEU]]-VLOOKUP($U$1,A:D,4,))/VLOOKUP($U$1,A:D,4,))*100)+100</f>
        <v/>
      </c>
      <c r="K141" s="86">
        <f>(((Table134567891011121314151617343[[#This Row],[ESP]]-VLOOKUP($U$1,A:E,5,))/VLOOKUP($U$1,A:E,5,))*100)+100</f>
        <v/>
      </c>
      <c r="L141" s="86">
        <f>(((Table134567891011121314151617343[[#This Row],[EA19]]-VLOOKUP($U$1,A:F,6,))/VLOOKUP($U$1,A:F,6,))*100)+100</f>
        <v/>
      </c>
      <c r="M141" s="86">
        <f>(((Table134567891011121314151617343[[#This Row],[GBR]]-VLOOKUP($U$1,A:G,7,))/VLOOKUP($U$1,A:G,7,))*100)+100</f>
        <v/>
      </c>
      <c r="N141" s="86">
        <f>VLOOKUP(A141,Database!$A:$AS,MATCH($N$1,Database!$A$1:$AS$1,0),FALSE)</f>
        <v/>
      </c>
      <c r="O141" s="86">
        <f>(((Table134567891011121314151617343[[#This Row],[USA]]-VLOOKUP($U$1,A:N,14,))/VLOOKUP($U$1,A:N,14,))*100)+100</f>
        <v/>
      </c>
      <c r="P141" s="86">
        <f>VLOOKUP(A141,Database!$A:$AS,MATCH($P$1,Database!$A$1:$AS$1,0),FALSE)</f>
        <v/>
      </c>
      <c r="Q141" s="86">
        <f>(((Table134567891011121314151617343[[#This Row],[JPN]]-VLOOKUP($U$1,A:Q,16,))/VLOOKUP($U$1,A:Q,16,))*100)+100</f>
        <v/>
      </c>
    </row>
    <row r="142" customFormat="1" s="94">
      <c r="A142" s="22" t="n">
        <v>37135</v>
      </c>
      <c r="B142" s="86">
        <f>VLOOKUP(A142,Database!$A:$AS,MATCH($B$1,Database!$A$1:$AS$1,0),FALSE)</f>
        <v/>
      </c>
      <c r="C142" s="86">
        <f>VLOOKUP(A142,Database!$A:$AS,MATCH($C$1,Database!$A$1:$AS$1,0),FALSE)</f>
        <v/>
      </c>
      <c r="D142" s="86">
        <f>VLOOKUP(A142,Database!$A:$AS,MATCH($D$1,Database!$A$1:$AS$1,0),FALSE)</f>
        <v/>
      </c>
      <c r="E142" s="86">
        <f>VLOOKUP(A142,Database!$A:$AS,MATCH($E$1,Database!$A$1:$AS$1,0),FALSE)</f>
        <v/>
      </c>
      <c r="F142" s="86">
        <f>VLOOKUP(A142,Database!$A:$AS,MATCH($F$1,Database!$A$1:$AS$1,0),FALSE)</f>
        <v/>
      </c>
      <c r="G142" s="86">
        <f>VLOOKUP(A142,Database!$A:$AS,MATCH($G$1,Database!$A$1:$AS$1,0),FALSE)</f>
        <v/>
      </c>
      <c r="H142" s="86">
        <f>(((Table134567891011121314151617343[[#This Row],[ITA]]-VLOOKUP($U$1,A:B,2,))/VLOOKUP($U$1,A:B,2,))*100)+100</f>
        <v/>
      </c>
      <c r="I142" s="86">
        <f>(((Table134567891011121314151617343[[#This Row],[FRA]]-VLOOKUP($U$1,A:C,3,))/VLOOKUP($U$1,A:C,3,))*100)+100</f>
        <v/>
      </c>
      <c r="J142" s="86">
        <f>(((Table134567891011121314151617343[[#This Row],[DEU]]-VLOOKUP($U$1,A:D,4,))/VLOOKUP($U$1,A:D,4,))*100)+100</f>
        <v/>
      </c>
      <c r="K142" s="86">
        <f>(((Table134567891011121314151617343[[#This Row],[ESP]]-VLOOKUP($U$1,A:E,5,))/VLOOKUP($U$1,A:E,5,))*100)+100</f>
        <v/>
      </c>
      <c r="L142" s="86">
        <f>(((Table134567891011121314151617343[[#This Row],[EA19]]-VLOOKUP($U$1,A:F,6,))/VLOOKUP($U$1,A:F,6,))*100)+100</f>
        <v/>
      </c>
      <c r="M142" s="86">
        <f>(((Table134567891011121314151617343[[#This Row],[GBR]]-VLOOKUP($U$1,A:G,7,))/VLOOKUP($U$1,A:G,7,))*100)+100</f>
        <v/>
      </c>
      <c r="N142" s="86">
        <f>VLOOKUP(A142,Database!$A:$AS,MATCH($N$1,Database!$A$1:$AS$1,0),FALSE)</f>
        <v/>
      </c>
      <c r="O142" s="86">
        <f>(((Table134567891011121314151617343[[#This Row],[USA]]-VLOOKUP($U$1,A:N,14,))/VLOOKUP($U$1,A:N,14,))*100)+100</f>
        <v/>
      </c>
      <c r="P142" s="86">
        <f>VLOOKUP(A142,Database!$A:$AS,MATCH($P$1,Database!$A$1:$AS$1,0),FALSE)</f>
        <v/>
      </c>
      <c r="Q142" s="86">
        <f>(((Table134567891011121314151617343[[#This Row],[JPN]]-VLOOKUP($U$1,A:Q,16,))/VLOOKUP($U$1,A:Q,16,))*100)+100</f>
        <v/>
      </c>
    </row>
    <row r="143" customFormat="1" s="94">
      <c r="A143" s="22" t="n">
        <v>37165</v>
      </c>
      <c r="B143" s="86">
        <f>VLOOKUP(A143,Database!$A:$AS,MATCH($B$1,Database!$A$1:$AS$1,0),FALSE)</f>
        <v/>
      </c>
      <c r="C143" s="86">
        <f>VLOOKUP(A143,Database!$A:$AS,MATCH($C$1,Database!$A$1:$AS$1,0),FALSE)</f>
        <v/>
      </c>
      <c r="D143" s="86">
        <f>VLOOKUP(A143,Database!$A:$AS,MATCH($D$1,Database!$A$1:$AS$1,0),FALSE)</f>
        <v/>
      </c>
      <c r="E143" s="86">
        <f>VLOOKUP(A143,Database!$A:$AS,MATCH($E$1,Database!$A$1:$AS$1,0),FALSE)</f>
        <v/>
      </c>
      <c r="F143" s="86">
        <f>VLOOKUP(A143,Database!$A:$AS,MATCH($F$1,Database!$A$1:$AS$1,0),FALSE)</f>
        <v/>
      </c>
      <c r="G143" s="86">
        <f>VLOOKUP(A143,Database!$A:$AS,MATCH($G$1,Database!$A$1:$AS$1,0),FALSE)</f>
        <v/>
      </c>
      <c r="H143" s="86">
        <f>(((Table134567891011121314151617343[[#This Row],[ITA]]-VLOOKUP($U$1,A:B,2,))/VLOOKUP($U$1,A:B,2,))*100)+100</f>
        <v/>
      </c>
      <c r="I143" s="86">
        <f>(((Table134567891011121314151617343[[#This Row],[FRA]]-VLOOKUP($U$1,A:C,3,))/VLOOKUP($U$1,A:C,3,))*100)+100</f>
        <v/>
      </c>
      <c r="J143" s="86">
        <f>(((Table134567891011121314151617343[[#This Row],[DEU]]-VLOOKUP($U$1,A:D,4,))/VLOOKUP($U$1,A:D,4,))*100)+100</f>
        <v/>
      </c>
      <c r="K143" s="86">
        <f>(((Table134567891011121314151617343[[#This Row],[ESP]]-VLOOKUP($U$1,A:E,5,))/VLOOKUP($U$1,A:E,5,))*100)+100</f>
        <v/>
      </c>
      <c r="L143" s="86">
        <f>(((Table134567891011121314151617343[[#This Row],[EA19]]-VLOOKUP($U$1,A:F,6,))/VLOOKUP($U$1,A:F,6,))*100)+100</f>
        <v/>
      </c>
      <c r="M143" s="86">
        <f>(((Table134567891011121314151617343[[#This Row],[GBR]]-VLOOKUP($U$1,A:G,7,))/VLOOKUP($U$1,A:G,7,))*100)+100</f>
        <v/>
      </c>
      <c r="N143" s="86">
        <f>VLOOKUP(A143,Database!$A:$AS,MATCH($N$1,Database!$A$1:$AS$1,0),FALSE)</f>
        <v/>
      </c>
      <c r="O143" s="86">
        <f>(((Table134567891011121314151617343[[#This Row],[USA]]-VLOOKUP($U$1,A:N,14,))/VLOOKUP($U$1,A:N,14,))*100)+100</f>
        <v/>
      </c>
      <c r="P143" s="86">
        <f>VLOOKUP(A143,Database!$A:$AS,MATCH($P$1,Database!$A$1:$AS$1,0),FALSE)</f>
        <v/>
      </c>
      <c r="Q143" s="86">
        <f>(((Table134567891011121314151617343[[#This Row],[JPN]]-VLOOKUP($U$1,A:Q,16,))/VLOOKUP($U$1,A:Q,16,))*100)+100</f>
        <v/>
      </c>
    </row>
    <row r="144" customFormat="1" s="94">
      <c r="A144" s="22" t="n">
        <v>37196</v>
      </c>
      <c r="B144" s="86">
        <f>VLOOKUP(A144,Database!$A:$AS,MATCH($B$1,Database!$A$1:$AS$1,0),FALSE)</f>
        <v/>
      </c>
      <c r="C144" s="86">
        <f>VLOOKUP(A144,Database!$A:$AS,MATCH($C$1,Database!$A$1:$AS$1,0),FALSE)</f>
        <v/>
      </c>
      <c r="D144" s="86">
        <f>VLOOKUP(A144,Database!$A:$AS,MATCH($D$1,Database!$A$1:$AS$1,0),FALSE)</f>
        <v/>
      </c>
      <c r="E144" s="86">
        <f>VLOOKUP(A144,Database!$A:$AS,MATCH($E$1,Database!$A$1:$AS$1,0),FALSE)</f>
        <v/>
      </c>
      <c r="F144" s="86">
        <f>VLOOKUP(A144,Database!$A:$AS,MATCH($F$1,Database!$A$1:$AS$1,0),FALSE)</f>
        <v/>
      </c>
      <c r="G144" s="86">
        <f>VLOOKUP(A144,Database!$A:$AS,MATCH($G$1,Database!$A$1:$AS$1,0),FALSE)</f>
        <v/>
      </c>
      <c r="H144" s="86">
        <f>(((Table134567891011121314151617343[[#This Row],[ITA]]-VLOOKUP($U$1,A:B,2,))/VLOOKUP($U$1,A:B,2,))*100)+100</f>
        <v/>
      </c>
      <c r="I144" s="86">
        <f>(((Table134567891011121314151617343[[#This Row],[FRA]]-VLOOKUP($U$1,A:C,3,))/VLOOKUP($U$1,A:C,3,))*100)+100</f>
        <v/>
      </c>
      <c r="J144" s="86">
        <f>(((Table134567891011121314151617343[[#This Row],[DEU]]-VLOOKUP($U$1,A:D,4,))/VLOOKUP($U$1,A:D,4,))*100)+100</f>
        <v/>
      </c>
      <c r="K144" s="86">
        <f>(((Table134567891011121314151617343[[#This Row],[ESP]]-VLOOKUP($U$1,A:E,5,))/VLOOKUP($U$1,A:E,5,))*100)+100</f>
        <v/>
      </c>
      <c r="L144" s="86">
        <f>(((Table134567891011121314151617343[[#This Row],[EA19]]-VLOOKUP($U$1,A:F,6,))/VLOOKUP($U$1,A:F,6,))*100)+100</f>
        <v/>
      </c>
      <c r="M144" s="86">
        <f>(((Table134567891011121314151617343[[#This Row],[GBR]]-VLOOKUP($U$1,A:G,7,))/VLOOKUP($U$1,A:G,7,))*100)+100</f>
        <v/>
      </c>
      <c r="N144" s="86">
        <f>VLOOKUP(A144,Database!$A:$AS,MATCH($N$1,Database!$A$1:$AS$1,0),FALSE)</f>
        <v/>
      </c>
      <c r="O144" s="86">
        <f>(((Table134567891011121314151617343[[#This Row],[USA]]-VLOOKUP($U$1,A:N,14,))/VLOOKUP($U$1,A:N,14,))*100)+100</f>
        <v/>
      </c>
      <c r="P144" s="86">
        <f>VLOOKUP(A144,Database!$A:$AS,MATCH($P$1,Database!$A$1:$AS$1,0),FALSE)</f>
        <v/>
      </c>
      <c r="Q144" s="86">
        <f>(((Table134567891011121314151617343[[#This Row],[JPN]]-VLOOKUP($U$1,A:Q,16,))/VLOOKUP($U$1,A:Q,16,))*100)+100</f>
        <v/>
      </c>
    </row>
    <row r="145" customFormat="1" s="94">
      <c r="A145" s="22" t="n">
        <v>37226</v>
      </c>
      <c r="B145" s="86">
        <f>VLOOKUP(A145,Database!$A:$AS,MATCH($B$1,Database!$A$1:$AS$1,0),FALSE)</f>
        <v/>
      </c>
      <c r="C145" s="86">
        <f>VLOOKUP(A145,Database!$A:$AS,MATCH($C$1,Database!$A$1:$AS$1,0),FALSE)</f>
        <v/>
      </c>
      <c r="D145" s="86">
        <f>VLOOKUP(A145,Database!$A:$AS,MATCH($D$1,Database!$A$1:$AS$1,0),FALSE)</f>
        <v/>
      </c>
      <c r="E145" s="86">
        <f>VLOOKUP(A145,Database!$A:$AS,MATCH($E$1,Database!$A$1:$AS$1,0),FALSE)</f>
        <v/>
      </c>
      <c r="F145" s="86">
        <f>VLOOKUP(A145,Database!$A:$AS,MATCH($F$1,Database!$A$1:$AS$1,0),FALSE)</f>
        <v/>
      </c>
      <c r="G145" s="86">
        <f>VLOOKUP(A145,Database!$A:$AS,MATCH($G$1,Database!$A$1:$AS$1,0),FALSE)</f>
        <v/>
      </c>
      <c r="H145" s="86">
        <f>(((Table134567891011121314151617343[[#This Row],[ITA]]-VLOOKUP($U$1,A:B,2,))/VLOOKUP($U$1,A:B,2,))*100)+100</f>
        <v/>
      </c>
      <c r="I145" s="86">
        <f>(((Table134567891011121314151617343[[#This Row],[FRA]]-VLOOKUP($U$1,A:C,3,))/VLOOKUP($U$1,A:C,3,))*100)+100</f>
        <v/>
      </c>
      <c r="J145" s="86">
        <f>(((Table134567891011121314151617343[[#This Row],[DEU]]-VLOOKUP($U$1,A:D,4,))/VLOOKUP($U$1,A:D,4,))*100)+100</f>
        <v/>
      </c>
      <c r="K145" s="86">
        <f>(((Table134567891011121314151617343[[#This Row],[ESP]]-VLOOKUP($U$1,A:E,5,))/VLOOKUP($U$1,A:E,5,))*100)+100</f>
        <v/>
      </c>
      <c r="L145" s="86">
        <f>(((Table134567891011121314151617343[[#This Row],[EA19]]-VLOOKUP($U$1,A:F,6,))/VLOOKUP($U$1,A:F,6,))*100)+100</f>
        <v/>
      </c>
      <c r="M145" s="86">
        <f>(((Table134567891011121314151617343[[#This Row],[GBR]]-VLOOKUP($U$1,A:G,7,))/VLOOKUP($U$1,A:G,7,))*100)+100</f>
        <v/>
      </c>
      <c r="N145" s="86">
        <f>VLOOKUP(A145,Database!$A:$AS,MATCH($N$1,Database!$A$1:$AS$1,0),FALSE)</f>
        <v/>
      </c>
      <c r="O145" s="86">
        <f>(((Table134567891011121314151617343[[#This Row],[USA]]-VLOOKUP($U$1,A:N,14,))/VLOOKUP($U$1,A:N,14,))*100)+100</f>
        <v/>
      </c>
      <c r="P145" s="86">
        <f>VLOOKUP(A145,Database!$A:$AS,MATCH($P$1,Database!$A$1:$AS$1,0),FALSE)</f>
        <v/>
      </c>
      <c r="Q145" s="86">
        <f>(((Table134567891011121314151617343[[#This Row],[JPN]]-VLOOKUP($U$1,A:Q,16,))/VLOOKUP($U$1,A:Q,16,))*100)+100</f>
        <v/>
      </c>
    </row>
    <row r="146" customFormat="1" s="94">
      <c r="A146" s="22" t="n">
        <v>37257</v>
      </c>
      <c r="B146" s="86">
        <f>VLOOKUP(A146,Database!$A:$AS,MATCH($B$1,Database!$A$1:$AS$1,0),FALSE)</f>
        <v/>
      </c>
      <c r="C146" s="86">
        <f>VLOOKUP(A146,Database!$A:$AS,MATCH($C$1,Database!$A$1:$AS$1,0),FALSE)</f>
        <v/>
      </c>
      <c r="D146" s="86">
        <f>VLOOKUP(A146,Database!$A:$AS,MATCH($D$1,Database!$A$1:$AS$1,0),FALSE)</f>
        <v/>
      </c>
      <c r="E146" s="86">
        <f>VLOOKUP(A146,Database!$A:$AS,MATCH($E$1,Database!$A$1:$AS$1,0),FALSE)</f>
        <v/>
      </c>
      <c r="F146" s="86">
        <f>VLOOKUP(A146,Database!$A:$AS,MATCH($F$1,Database!$A$1:$AS$1,0),FALSE)</f>
        <v/>
      </c>
      <c r="G146" s="86">
        <f>VLOOKUP(A146,Database!$A:$AS,MATCH($G$1,Database!$A$1:$AS$1,0),FALSE)</f>
        <v/>
      </c>
      <c r="H146" s="86">
        <f>(((Table134567891011121314151617343[[#This Row],[ITA]]-VLOOKUP($U$1,A:B,2,))/VLOOKUP($U$1,A:B,2,))*100)+100</f>
        <v/>
      </c>
      <c r="I146" s="86">
        <f>(((Table134567891011121314151617343[[#This Row],[FRA]]-VLOOKUP($U$1,A:C,3,))/VLOOKUP($U$1,A:C,3,))*100)+100</f>
        <v/>
      </c>
      <c r="J146" s="86">
        <f>(((Table134567891011121314151617343[[#This Row],[DEU]]-VLOOKUP($U$1,A:D,4,))/VLOOKUP($U$1,A:D,4,))*100)+100</f>
        <v/>
      </c>
      <c r="K146" s="86">
        <f>(((Table134567891011121314151617343[[#This Row],[ESP]]-VLOOKUP($U$1,A:E,5,))/VLOOKUP($U$1,A:E,5,))*100)+100</f>
        <v/>
      </c>
      <c r="L146" s="86">
        <f>(((Table134567891011121314151617343[[#This Row],[EA19]]-VLOOKUP($U$1,A:F,6,))/VLOOKUP($U$1,A:F,6,))*100)+100</f>
        <v/>
      </c>
      <c r="M146" s="86">
        <f>(((Table134567891011121314151617343[[#This Row],[GBR]]-VLOOKUP($U$1,A:G,7,))/VLOOKUP($U$1,A:G,7,))*100)+100</f>
        <v/>
      </c>
      <c r="N146" s="86">
        <f>VLOOKUP(A146,Database!$A:$AS,MATCH($N$1,Database!$A$1:$AS$1,0),FALSE)</f>
        <v/>
      </c>
      <c r="O146" s="86">
        <f>(((Table134567891011121314151617343[[#This Row],[USA]]-VLOOKUP($U$1,A:N,14,))/VLOOKUP($U$1,A:N,14,))*100)+100</f>
        <v/>
      </c>
      <c r="P146" s="86">
        <f>VLOOKUP(A146,Database!$A:$AS,MATCH($P$1,Database!$A$1:$AS$1,0),FALSE)</f>
        <v/>
      </c>
      <c r="Q146" s="86">
        <f>(((Table134567891011121314151617343[[#This Row],[JPN]]-VLOOKUP($U$1,A:Q,16,))/VLOOKUP($U$1,A:Q,16,))*100)+100</f>
        <v/>
      </c>
    </row>
    <row r="147" customFormat="1" s="94">
      <c r="A147" s="22" t="n">
        <v>37288</v>
      </c>
      <c r="B147" s="86">
        <f>VLOOKUP(A147,Database!$A:$AS,MATCH($B$1,Database!$A$1:$AS$1,0),FALSE)</f>
        <v/>
      </c>
      <c r="C147" s="86">
        <f>VLOOKUP(A147,Database!$A:$AS,MATCH($C$1,Database!$A$1:$AS$1,0),FALSE)</f>
        <v/>
      </c>
      <c r="D147" s="86">
        <f>VLOOKUP(A147,Database!$A:$AS,MATCH($D$1,Database!$A$1:$AS$1,0),FALSE)</f>
        <v/>
      </c>
      <c r="E147" s="86">
        <f>VLOOKUP(A147,Database!$A:$AS,MATCH($E$1,Database!$A$1:$AS$1,0),FALSE)</f>
        <v/>
      </c>
      <c r="F147" s="86">
        <f>VLOOKUP(A147,Database!$A:$AS,MATCH($F$1,Database!$A$1:$AS$1,0),FALSE)</f>
        <v/>
      </c>
      <c r="G147" s="86">
        <f>VLOOKUP(A147,Database!$A:$AS,MATCH($G$1,Database!$A$1:$AS$1,0),FALSE)</f>
        <v/>
      </c>
      <c r="H147" s="86">
        <f>(((Table134567891011121314151617343[[#This Row],[ITA]]-VLOOKUP($U$1,A:B,2,))/VLOOKUP($U$1,A:B,2,))*100)+100</f>
        <v/>
      </c>
      <c r="I147" s="86">
        <f>(((Table134567891011121314151617343[[#This Row],[FRA]]-VLOOKUP($U$1,A:C,3,))/VLOOKUP($U$1,A:C,3,))*100)+100</f>
        <v/>
      </c>
      <c r="J147" s="86">
        <f>(((Table134567891011121314151617343[[#This Row],[DEU]]-VLOOKUP($U$1,A:D,4,))/VLOOKUP($U$1,A:D,4,))*100)+100</f>
        <v/>
      </c>
      <c r="K147" s="86">
        <f>(((Table134567891011121314151617343[[#This Row],[ESP]]-VLOOKUP($U$1,A:E,5,))/VLOOKUP($U$1,A:E,5,))*100)+100</f>
        <v/>
      </c>
      <c r="L147" s="86">
        <f>(((Table134567891011121314151617343[[#This Row],[EA19]]-VLOOKUP($U$1,A:F,6,))/VLOOKUP($U$1,A:F,6,))*100)+100</f>
        <v/>
      </c>
      <c r="M147" s="86">
        <f>(((Table134567891011121314151617343[[#This Row],[GBR]]-VLOOKUP($U$1,A:G,7,))/VLOOKUP($U$1,A:G,7,))*100)+100</f>
        <v/>
      </c>
      <c r="N147" s="86">
        <f>VLOOKUP(A147,Database!$A:$AS,MATCH($N$1,Database!$A$1:$AS$1,0),FALSE)</f>
        <v/>
      </c>
      <c r="O147" s="86">
        <f>(((Table134567891011121314151617343[[#This Row],[USA]]-VLOOKUP($U$1,A:N,14,))/VLOOKUP($U$1,A:N,14,))*100)+100</f>
        <v/>
      </c>
      <c r="P147" s="86">
        <f>VLOOKUP(A147,Database!$A:$AS,MATCH($P$1,Database!$A$1:$AS$1,0),FALSE)</f>
        <v/>
      </c>
      <c r="Q147" s="86">
        <f>(((Table134567891011121314151617343[[#This Row],[JPN]]-VLOOKUP($U$1,A:Q,16,))/VLOOKUP($U$1,A:Q,16,))*100)+100</f>
        <v/>
      </c>
    </row>
    <row r="148" customFormat="1" s="94">
      <c r="A148" s="22" t="n">
        <v>37316</v>
      </c>
      <c r="B148" s="86">
        <f>VLOOKUP(A148,Database!$A:$AS,MATCH($B$1,Database!$A$1:$AS$1,0),FALSE)</f>
        <v/>
      </c>
      <c r="C148" s="86">
        <f>VLOOKUP(A148,Database!$A:$AS,MATCH($C$1,Database!$A$1:$AS$1,0),FALSE)</f>
        <v/>
      </c>
      <c r="D148" s="86">
        <f>VLOOKUP(A148,Database!$A:$AS,MATCH($D$1,Database!$A$1:$AS$1,0),FALSE)</f>
        <v/>
      </c>
      <c r="E148" s="86">
        <f>VLOOKUP(A148,Database!$A:$AS,MATCH($E$1,Database!$A$1:$AS$1,0),FALSE)</f>
        <v/>
      </c>
      <c r="F148" s="86">
        <f>VLOOKUP(A148,Database!$A:$AS,MATCH($F$1,Database!$A$1:$AS$1,0),FALSE)</f>
        <v/>
      </c>
      <c r="G148" s="86">
        <f>VLOOKUP(A148,Database!$A:$AS,MATCH($G$1,Database!$A$1:$AS$1,0),FALSE)</f>
        <v/>
      </c>
      <c r="H148" s="86">
        <f>(((Table134567891011121314151617343[[#This Row],[ITA]]-VLOOKUP($U$1,A:B,2,))/VLOOKUP($U$1,A:B,2,))*100)+100</f>
        <v/>
      </c>
      <c r="I148" s="86">
        <f>(((Table134567891011121314151617343[[#This Row],[FRA]]-VLOOKUP($U$1,A:C,3,))/VLOOKUP($U$1,A:C,3,))*100)+100</f>
        <v/>
      </c>
      <c r="J148" s="86">
        <f>(((Table134567891011121314151617343[[#This Row],[DEU]]-VLOOKUP($U$1,A:D,4,))/VLOOKUP($U$1,A:D,4,))*100)+100</f>
        <v/>
      </c>
      <c r="K148" s="86">
        <f>(((Table134567891011121314151617343[[#This Row],[ESP]]-VLOOKUP($U$1,A:E,5,))/VLOOKUP($U$1,A:E,5,))*100)+100</f>
        <v/>
      </c>
      <c r="L148" s="86">
        <f>(((Table134567891011121314151617343[[#This Row],[EA19]]-VLOOKUP($U$1,A:F,6,))/VLOOKUP($U$1,A:F,6,))*100)+100</f>
        <v/>
      </c>
      <c r="M148" s="86">
        <f>(((Table134567891011121314151617343[[#This Row],[GBR]]-VLOOKUP($U$1,A:G,7,))/VLOOKUP($U$1,A:G,7,))*100)+100</f>
        <v/>
      </c>
      <c r="N148" s="86">
        <f>VLOOKUP(A148,Database!$A:$AS,MATCH($N$1,Database!$A$1:$AS$1,0),FALSE)</f>
        <v/>
      </c>
      <c r="O148" s="86">
        <f>(((Table134567891011121314151617343[[#This Row],[USA]]-VLOOKUP($U$1,A:N,14,))/VLOOKUP($U$1,A:N,14,))*100)+100</f>
        <v/>
      </c>
      <c r="P148" s="86">
        <f>VLOOKUP(A148,Database!$A:$AS,MATCH($P$1,Database!$A$1:$AS$1,0),FALSE)</f>
        <v/>
      </c>
      <c r="Q148" s="86">
        <f>(((Table134567891011121314151617343[[#This Row],[JPN]]-VLOOKUP($U$1,A:Q,16,))/VLOOKUP($U$1,A:Q,16,))*100)+100</f>
        <v/>
      </c>
    </row>
    <row r="149" customFormat="1" s="94">
      <c r="A149" s="22" t="n">
        <v>37347</v>
      </c>
      <c r="B149" s="86">
        <f>VLOOKUP(A149,Database!$A:$AS,MATCH($B$1,Database!$A$1:$AS$1,0),FALSE)</f>
        <v/>
      </c>
      <c r="C149" s="86">
        <f>VLOOKUP(A149,Database!$A:$AS,MATCH($C$1,Database!$A$1:$AS$1,0),FALSE)</f>
        <v/>
      </c>
      <c r="D149" s="86">
        <f>VLOOKUP(A149,Database!$A:$AS,MATCH($D$1,Database!$A$1:$AS$1,0),FALSE)</f>
        <v/>
      </c>
      <c r="E149" s="86">
        <f>VLOOKUP(A149,Database!$A:$AS,MATCH($E$1,Database!$A$1:$AS$1,0),FALSE)</f>
        <v/>
      </c>
      <c r="F149" s="86">
        <f>VLOOKUP(A149,Database!$A:$AS,MATCH($F$1,Database!$A$1:$AS$1,0),FALSE)</f>
        <v/>
      </c>
      <c r="G149" s="86">
        <f>VLOOKUP(A149,Database!$A:$AS,MATCH($G$1,Database!$A$1:$AS$1,0),FALSE)</f>
        <v/>
      </c>
      <c r="H149" s="86">
        <f>(((Table134567891011121314151617343[[#This Row],[ITA]]-VLOOKUP($U$1,A:B,2,))/VLOOKUP($U$1,A:B,2,))*100)+100</f>
        <v/>
      </c>
      <c r="I149" s="86">
        <f>(((Table134567891011121314151617343[[#This Row],[FRA]]-VLOOKUP($U$1,A:C,3,))/VLOOKUP($U$1,A:C,3,))*100)+100</f>
        <v/>
      </c>
      <c r="J149" s="86">
        <f>(((Table134567891011121314151617343[[#This Row],[DEU]]-VLOOKUP($U$1,A:D,4,))/VLOOKUP($U$1,A:D,4,))*100)+100</f>
        <v/>
      </c>
      <c r="K149" s="86">
        <f>(((Table134567891011121314151617343[[#This Row],[ESP]]-VLOOKUP($U$1,A:E,5,))/VLOOKUP($U$1,A:E,5,))*100)+100</f>
        <v/>
      </c>
      <c r="L149" s="86">
        <f>(((Table134567891011121314151617343[[#This Row],[EA19]]-VLOOKUP($U$1,A:F,6,))/VLOOKUP($U$1,A:F,6,))*100)+100</f>
        <v/>
      </c>
      <c r="M149" s="86">
        <f>(((Table134567891011121314151617343[[#This Row],[GBR]]-VLOOKUP($U$1,A:G,7,))/VLOOKUP($U$1,A:G,7,))*100)+100</f>
        <v/>
      </c>
      <c r="N149" s="86">
        <f>VLOOKUP(A149,Database!$A:$AS,MATCH($N$1,Database!$A$1:$AS$1,0),FALSE)</f>
        <v/>
      </c>
      <c r="O149" s="86">
        <f>(((Table134567891011121314151617343[[#This Row],[USA]]-VLOOKUP($U$1,A:N,14,))/VLOOKUP($U$1,A:N,14,))*100)+100</f>
        <v/>
      </c>
      <c r="P149" s="86">
        <f>VLOOKUP(A149,Database!$A:$AS,MATCH($P$1,Database!$A$1:$AS$1,0),FALSE)</f>
        <v/>
      </c>
      <c r="Q149" s="86">
        <f>(((Table134567891011121314151617343[[#This Row],[JPN]]-VLOOKUP($U$1,A:Q,16,))/VLOOKUP($U$1,A:Q,16,))*100)+100</f>
        <v/>
      </c>
    </row>
    <row r="150" customFormat="1" s="94">
      <c r="A150" s="22" t="n">
        <v>37377</v>
      </c>
      <c r="B150" s="86">
        <f>VLOOKUP(A150,Database!$A:$AS,MATCH($B$1,Database!$A$1:$AS$1,0),FALSE)</f>
        <v/>
      </c>
      <c r="C150" s="86">
        <f>VLOOKUP(A150,Database!$A:$AS,MATCH($C$1,Database!$A$1:$AS$1,0),FALSE)</f>
        <v/>
      </c>
      <c r="D150" s="86">
        <f>VLOOKUP(A150,Database!$A:$AS,MATCH($D$1,Database!$A$1:$AS$1,0),FALSE)</f>
        <v/>
      </c>
      <c r="E150" s="86">
        <f>VLOOKUP(A150,Database!$A:$AS,MATCH($E$1,Database!$A$1:$AS$1,0),FALSE)</f>
        <v/>
      </c>
      <c r="F150" s="86">
        <f>VLOOKUP(A150,Database!$A:$AS,MATCH($F$1,Database!$A$1:$AS$1,0),FALSE)</f>
        <v/>
      </c>
      <c r="G150" s="86">
        <f>VLOOKUP(A150,Database!$A:$AS,MATCH($G$1,Database!$A$1:$AS$1,0),FALSE)</f>
        <v/>
      </c>
      <c r="H150" s="86">
        <f>(((Table134567891011121314151617343[[#This Row],[ITA]]-VLOOKUP($U$1,A:B,2,))/VLOOKUP($U$1,A:B,2,))*100)+100</f>
        <v/>
      </c>
      <c r="I150" s="86">
        <f>(((Table134567891011121314151617343[[#This Row],[FRA]]-VLOOKUP($U$1,A:C,3,))/VLOOKUP($U$1,A:C,3,))*100)+100</f>
        <v/>
      </c>
      <c r="J150" s="86">
        <f>(((Table134567891011121314151617343[[#This Row],[DEU]]-VLOOKUP($U$1,A:D,4,))/VLOOKUP($U$1,A:D,4,))*100)+100</f>
        <v/>
      </c>
      <c r="K150" s="86">
        <f>(((Table134567891011121314151617343[[#This Row],[ESP]]-VLOOKUP($U$1,A:E,5,))/VLOOKUP($U$1,A:E,5,))*100)+100</f>
        <v/>
      </c>
      <c r="L150" s="86">
        <f>(((Table134567891011121314151617343[[#This Row],[EA19]]-VLOOKUP($U$1,A:F,6,))/VLOOKUP($U$1,A:F,6,))*100)+100</f>
        <v/>
      </c>
      <c r="M150" s="86">
        <f>(((Table134567891011121314151617343[[#This Row],[GBR]]-VLOOKUP($U$1,A:G,7,))/VLOOKUP($U$1,A:G,7,))*100)+100</f>
        <v/>
      </c>
      <c r="N150" s="86">
        <f>VLOOKUP(A150,Database!$A:$AS,MATCH($N$1,Database!$A$1:$AS$1,0),FALSE)</f>
        <v/>
      </c>
      <c r="O150" s="86">
        <f>(((Table134567891011121314151617343[[#This Row],[USA]]-VLOOKUP($U$1,A:N,14,))/VLOOKUP($U$1,A:N,14,))*100)+100</f>
        <v/>
      </c>
      <c r="P150" s="86">
        <f>VLOOKUP(A150,Database!$A:$AS,MATCH($P$1,Database!$A$1:$AS$1,0),FALSE)</f>
        <v/>
      </c>
      <c r="Q150" s="86">
        <f>(((Table134567891011121314151617343[[#This Row],[JPN]]-VLOOKUP($U$1,A:Q,16,))/VLOOKUP($U$1,A:Q,16,))*100)+100</f>
        <v/>
      </c>
    </row>
    <row r="151" customFormat="1" s="94">
      <c r="A151" s="22" t="n">
        <v>37408</v>
      </c>
      <c r="B151" s="86">
        <f>VLOOKUP(A151,Database!$A:$AS,MATCH($B$1,Database!$A$1:$AS$1,0),FALSE)</f>
        <v/>
      </c>
      <c r="C151" s="86">
        <f>VLOOKUP(A151,Database!$A:$AS,MATCH($C$1,Database!$A$1:$AS$1,0),FALSE)</f>
        <v/>
      </c>
      <c r="D151" s="86">
        <f>VLOOKUP(A151,Database!$A:$AS,MATCH($D$1,Database!$A$1:$AS$1,0),FALSE)</f>
        <v/>
      </c>
      <c r="E151" s="86">
        <f>VLOOKUP(A151,Database!$A:$AS,MATCH($E$1,Database!$A$1:$AS$1,0),FALSE)</f>
        <v/>
      </c>
      <c r="F151" s="86">
        <f>VLOOKUP(A151,Database!$A:$AS,MATCH($F$1,Database!$A$1:$AS$1,0),FALSE)</f>
        <v/>
      </c>
      <c r="G151" s="86">
        <f>VLOOKUP(A151,Database!$A:$AS,MATCH($G$1,Database!$A$1:$AS$1,0),FALSE)</f>
        <v/>
      </c>
      <c r="H151" s="86">
        <f>(((Table134567891011121314151617343[[#This Row],[ITA]]-VLOOKUP($U$1,A:B,2,))/VLOOKUP($U$1,A:B,2,))*100)+100</f>
        <v/>
      </c>
      <c r="I151" s="86">
        <f>(((Table134567891011121314151617343[[#This Row],[FRA]]-VLOOKUP($U$1,A:C,3,))/VLOOKUP($U$1,A:C,3,))*100)+100</f>
        <v/>
      </c>
      <c r="J151" s="86">
        <f>(((Table134567891011121314151617343[[#This Row],[DEU]]-VLOOKUP($U$1,A:D,4,))/VLOOKUP($U$1,A:D,4,))*100)+100</f>
        <v/>
      </c>
      <c r="K151" s="86">
        <f>(((Table134567891011121314151617343[[#This Row],[ESP]]-VLOOKUP($U$1,A:E,5,))/VLOOKUP($U$1,A:E,5,))*100)+100</f>
        <v/>
      </c>
      <c r="L151" s="86">
        <f>(((Table134567891011121314151617343[[#This Row],[EA19]]-VLOOKUP($U$1,A:F,6,))/VLOOKUP($U$1,A:F,6,))*100)+100</f>
        <v/>
      </c>
      <c r="M151" s="86">
        <f>(((Table134567891011121314151617343[[#This Row],[GBR]]-VLOOKUP($U$1,A:G,7,))/VLOOKUP($U$1,A:G,7,))*100)+100</f>
        <v/>
      </c>
      <c r="N151" s="86">
        <f>VLOOKUP(A151,Database!$A:$AS,MATCH($N$1,Database!$A$1:$AS$1,0),FALSE)</f>
        <v/>
      </c>
      <c r="O151" s="86">
        <f>(((Table134567891011121314151617343[[#This Row],[USA]]-VLOOKUP($U$1,A:N,14,))/VLOOKUP($U$1,A:N,14,))*100)+100</f>
        <v/>
      </c>
      <c r="P151" s="86">
        <f>VLOOKUP(A151,Database!$A:$AS,MATCH($P$1,Database!$A$1:$AS$1,0),FALSE)</f>
        <v/>
      </c>
      <c r="Q151" s="86">
        <f>(((Table134567891011121314151617343[[#This Row],[JPN]]-VLOOKUP($U$1,A:Q,16,))/VLOOKUP($U$1,A:Q,16,))*100)+100</f>
        <v/>
      </c>
    </row>
    <row r="152" customFormat="1" s="94">
      <c r="A152" s="22" t="n">
        <v>37438</v>
      </c>
      <c r="B152" s="86">
        <f>VLOOKUP(A152,Database!$A:$AS,MATCH($B$1,Database!$A$1:$AS$1,0),FALSE)</f>
        <v/>
      </c>
      <c r="C152" s="86">
        <f>VLOOKUP(A152,Database!$A:$AS,MATCH($C$1,Database!$A$1:$AS$1,0),FALSE)</f>
        <v/>
      </c>
      <c r="D152" s="86">
        <f>VLOOKUP(A152,Database!$A:$AS,MATCH($D$1,Database!$A$1:$AS$1,0),FALSE)</f>
        <v/>
      </c>
      <c r="E152" s="86">
        <f>VLOOKUP(A152,Database!$A:$AS,MATCH($E$1,Database!$A$1:$AS$1,0),FALSE)</f>
        <v/>
      </c>
      <c r="F152" s="86">
        <f>VLOOKUP(A152,Database!$A:$AS,MATCH($F$1,Database!$A$1:$AS$1,0),FALSE)</f>
        <v/>
      </c>
      <c r="G152" s="86">
        <f>VLOOKUP(A152,Database!$A:$AS,MATCH($G$1,Database!$A$1:$AS$1,0),FALSE)</f>
        <v/>
      </c>
      <c r="H152" s="86">
        <f>(((Table134567891011121314151617343[[#This Row],[ITA]]-VLOOKUP($U$1,A:B,2,))/VLOOKUP($U$1,A:B,2,))*100)+100</f>
        <v/>
      </c>
      <c r="I152" s="86">
        <f>(((Table134567891011121314151617343[[#This Row],[FRA]]-VLOOKUP($U$1,A:C,3,))/VLOOKUP($U$1,A:C,3,))*100)+100</f>
        <v/>
      </c>
      <c r="J152" s="86">
        <f>(((Table134567891011121314151617343[[#This Row],[DEU]]-VLOOKUP($U$1,A:D,4,))/VLOOKUP($U$1,A:D,4,))*100)+100</f>
        <v/>
      </c>
      <c r="K152" s="86">
        <f>(((Table134567891011121314151617343[[#This Row],[ESP]]-VLOOKUP($U$1,A:E,5,))/VLOOKUP($U$1,A:E,5,))*100)+100</f>
        <v/>
      </c>
      <c r="L152" s="86">
        <f>(((Table134567891011121314151617343[[#This Row],[EA19]]-VLOOKUP($U$1,A:F,6,))/VLOOKUP($U$1,A:F,6,))*100)+100</f>
        <v/>
      </c>
      <c r="M152" s="86">
        <f>(((Table134567891011121314151617343[[#This Row],[GBR]]-VLOOKUP($U$1,A:G,7,))/VLOOKUP($U$1,A:G,7,))*100)+100</f>
        <v/>
      </c>
      <c r="N152" s="86">
        <f>VLOOKUP(A152,Database!$A:$AS,MATCH($N$1,Database!$A$1:$AS$1,0),FALSE)</f>
        <v/>
      </c>
      <c r="O152" s="86">
        <f>(((Table134567891011121314151617343[[#This Row],[USA]]-VLOOKUP($U$1,A:N,14,))/VLOOKUP($U$1,A:N,14,))*100)+100</f>
        <v/>
      </c>
      <c r="P152" s="86">
        <f>VLOOKUP(A152,Database!$A:$AS,MATCH($P$1,Database!$A$1:$AS$1,0),FALSE)</f>
        <v/>
      </c>
      <c r="Q152" s="86">
        <f>(((Table134567891011121314151617343[[#This Row],[JPN]]-VLOOKUP($U$1,A:Q,16,))/VLOOKUP($U$1,A:Q,16,))*100)+100</f>
        <v/>
      </c>
    </row>
    <row r="153" customFormat="1" s="94">
      <c r="A153" s="22" t="n">
        <v>37469</v>
      </c>
      <c r="B153" s="86">
        <f>VLOOKUP(A153,Database!$A:$AS,MATCH($B$1,Database!$A$1:$AS$1,0),FALSE)</f>
        <v/>
      </c>
      <c r="C153" s="86">
        <f>VLOOKUP(A153,Database!$A:$AS,MATCH($C$1,Database!$A$1:$AS$1,0),FALSE)</f>
        <v/>
      </c>
      <c r="D153" s="86">
        <f>VLOOKUP(A153,Database!$A:$AS,MATCH($D$1,Database!$A$1:$AS$1,0),FALSE)</f>
        <v/>
      </c>
      <c r="E153" s="86">
        <f>VLOOKUP(A153,Database!$A:$AS,MATCH($E$1,Database!$A$1:$AS$1,0),FALSE)</f>
        <v/>
      </c>
      <c r="F153" s="86">
        <f>VLOOKUP(A153,Database!$A:$AS,MATCH($F$1,Database!$A$1:$AS$1,0),FALSE)</f>
        <v/>
      </c>
      <c r="G153" s="86">
        <f>VLOOKUP(A153,Database!$A:$AS,MATCH($G$1,Database!$A$1:$AS$1,0),FALSE)</f>
        <v/>
      </c>
      <c r="H153" s="86">
        <f>(((Table134567891011121314151617343[[#This Row],[ITA]]-VLOOKUP($U$1,A:B,2,))/VLOOKUP($U$1,A:B,2,))*100)+100</f>
        <v/>
      </c>
      <c r="I153" s="86">
        <f>(((Table134567891011121314151617343[[#This Row],[FRA]]-VLOOKUP($U$1,A:C,3,))/VLOOKUP($U$1,A:C,3,))*100)+100</f>
        <v/>
      </c>
      <c r="J153" s="86">
        <f>(((Table134567891011121314151617343[[#This Row],[DEU]]-VLOOKUP($U$1,A:D,4,))/VLOOKUP($U$1,A:D,4,))*100)+100</f>
        <v/>
      </c>
      <c r="K153" s="86">
        <f>(((Table134567891011121314151617343[[#This Row],[ESP]]-VLOOKUP($U$1,A:E,5,))/VLOOKUP($U$1,A:E,5,))*100)+100</f>
        <v/>
      </c>
      <c r="L153" s="86">
        <f>(((Table134567891011121314151617343[[#This Row],[EA19]]-VLOOKUP($U$1,A:F,6,))/VLOOKUP($U$1,A:F,6,))*100)+100</f>
        <v/>
      </c>
      <c r="M153" s="86">
        <f>(((Table134567891011121314151617343[[#This Row],[GBR]]-VLOOKUP($U$1,A:G,7,))/VLOOKUP($U$1,A:G,7,))*100)+100</f>
        <v/>
      </c>
      <c r="N153" s="86">
        <f>VLOOKUP(A153,Database!$A:$AS,MATCH($N$1,Database!$A$1:$AS$1,0),FALSE)</f>
        <v/>
      </c>
      <c r="O153" s="86">
        <f>(((Table134567891011121314151617343[[#This Row],[USA]]-VLOOKUP($U$1,A:N,14,))/VLOOKUP($U$1,A:N,14,))*100)+100</f>
        <v/>
      </c>
      <c r="P153" s="86">
        <f>VLOOKUP(A153,Database!$A:$AS,MATCH($P$1,Database!$A$1:$AS$1,0),FALSE)</f>
        <v/>
      </c>
      <c r="Q153" s="86">
        <f>(((Table134567891011121314151617343[[#This Row],[JPN]]-VLOOKUP($U$1,A:Q,16,))/VLOOKUP($U$1,A:Q,16,))*100)+100</f>
        <v/>
      </c>
    </row>
    <row r="154" customFormat="1" s="94">
      <c r="A154" s="22" t="n">
        <v>37500</v>
      </c>
      <c r="B154" s="86">
        <f>VLOOKUP(A154,Database!$A:$AS,MATCH($B$1,Database!$A$1:$AS$1,0),FALSE)</f>
        <v/>
      </c>
      <c r="C154" s="86">
        <f>VLOOKUP(A154,Database!$A:$AS,MATCH($C$1,Database!$A$1:$AS$1,0),FALSE)</f>
        <v/>
      </c>
      <c r="D154" s="86">
        <f>VLOOKUP(A154,Database!$A:$AS,MATCH($D$1,Database!$A$1:$AS$1,0),FALSE)</f>
        <v/>
      </c>
      <c r="E154" s="86">
        <f>VLOOKUP(A154,Database!$A:$AS,MATCH($E$1,Database!$A$1:$AS$1,0),FALSE)</f>
        <v/>
      </c>
      <c r="F154" s="86">
        <f>VLOOKUP(A154,Database!$A:$AS,MATCH($F$1,Database!$A$1:$AS$1,0),FALSE)</f>
        <v/>
      </c>
      <c r="G154" s="86">
        <f>VLOOKUP(A154,Database!$A:$AS,MATCH($G$1,Database!$A$1:$AS$1,0),FALSE)</f>
        <v/>
      </c>
      <c r="H154" s="86">
        <f>(((Table134567891011121314151617343[[#This Row],[ITA]]-VLOOKUP($U$1,A:B,2,))/VLOOKUP($U$1,A:B,2,))*100)+100</f>
        <v/>
      </c>
      <c r="I154" s="86">
        <f>(((Table134567891011121314151617343[[#This Row],[FRA]]-VLOOKUP($U$1,A:C,3,))/VLOOKUP($U$1,A:C,3,))*100)+100</f>
        <v/>
      </c>
      <c r="J154" s="86">
        <f>(((Table134567891011121314151617343[[#This Row],[DEU]]-VLOOKUP($U$1,A:D,4,))/VLOOKUP($U$1,A:D,4,))*100)+100</f>
        <v/>
      </c>
      <c r="K154" s="86">
        <f>(((Table134567891011121314151617343[[#This Row],[ESP]]-VLOOKUP($U$1,A:E,5,))/VLOOKUP($U$1,A:E,5,))*100)+100</f>
        <v/>
      </c>
      <c r="L154" s="86">
        <f>(((Table134567891011121314151617343[[#This Row],[EA19]]-VLOOKUP($U$1,A:F,6,))/VLOOKUP($U$1,A:F,6,))*100)+100</f>
        <v/>
      </c>
      <c r="M154" s="86">
        <f>(((Table134567891011121314151617343[[#This Row],[GBR]]-VLOOKUP($U$1,A:G,7,))/VLOOKUP($U$1,A:G,7,))*100)+100</f>
        <v/>
      </c>
      <c r="N154" s="86">
        <f>VLOOKUP(A154,Database!$A:$AS,MATCH($N$1,Database!$A$1:$AS$1,0),FALSE)</f>
        <v/>
      </c>
      <c r="O154" s="86">
        <f>(((Table134567891011121314151617343[[#This Row],[USA]]-VLOOKUP($U$1,A:N,14,))/VLOOKUP($U$1,A:N,14,))*100)+100</f>
        <v/>
      </c>
      <c r="P154" s="86">
        <f>VLOOKUP(A154,Database!$A:$AS,MATCH($P$1,Database!$A$1:$AS$1,0),FALSE)</f>
        <v/>
      </c>
      <c r="Q154" s="86">
        <f>(((Table134567891011121314151617343[[#This Row],[JPN]]-VLOOKUP($U$1,A:Q,16,))/VLOOKUP($U$1,A:Q,16,))*100)+100</f>
        <v/>
      </c>
    </row>
    <row r="155" customFormat="1" s="94">
      <c r="A155" s="22" t="n">
        <v>37530</v>
      </c>
      <c r="B155" s="86">
        <f>VLOOKUP(A155,Database!$A:$AS,MATCH($B$1,Database!$A$1:$AS$1,0),FALSE)</f>
        <v/>
      </c>
      <c r="C155" s="86">
        <f>VLOOKUP(A155,Database!$A:$AS,MATCH($C$1,Database!$A$1:$AS$1,0),FALSE)</f>
        <v/>
      </c>
      <c r="D155" s="86">
        <f>VLOOKUP(A155,Database!$A:$AS,MATCH($D$1,Database!$A$1:$AS$1,0),FALSE)</f>
        <v/>
      </c>
      <c r="E155" s="86">
        <f>VLOOKUP(A155,Database!$A:$AS,MATCH($E$1,Database!$A$1:$AS$1,0),FALSE)</f>
        <v/>
      </c>
      <c r="F155" s="86">
        <f>VLOOKUP(A155,Database!$A:$AS,MATCH($F$1,Database!$A$1:$AS$1,0),FALSE)</f>
        <v/>
      </c>
      <c r="G155" s="86">
        <f>VLOOKUP(A155,Database!$A:$AS,MATCH($G$1,Database!$A$1:$AS$1,0),FALSE)</f>
        <v/>
      </c>
      <c r="H155" s="86">
        <f>(((Table134567891011121314151617343[[#This Row],[ITA]]-VLOOKUP($U$1,A:B,2,))/VLOOKUP($U$1,A:B,2,))*100)+100</f>
        <v/>
      </c>
      <c r="I155" s="86">
        <f>(((Table134567891011121314151617343[[#This Row],[FRA]]-VLOOKUP($U$1,A:C,3,))/VLOOKUP($U$1,A:C,3,))*100)+100</f>
        <v/>
      </c>
      <c r="J155" s="86">
        <f>(((Table134567891011121314151617343[[#This Row],[DEU]]-VLOOKUP($U$1,A:D,4,))/VLOOKUP($U$1,A:D,4,))*100)+100</f>
        <v/>
      </c>
      <c r="K155" s="86">
        <f>(((Table134567891011121314151617343[[#This Row],[ESP]]-VLOOKUP($U$1,A:E,5,))/VLOOKUP($U$1,A:E,5,))*100)+100</f>
        <v/>
      </c>
      <c r="L155" s="86">
        <f>(((Table134567891011121314151617343[[#This Row],[EA19]]-VLOOKUP($U$1,A:F,6,))/VLOOKUP($U$1,A:F,6,))*100)+100</f>
        <v/>
      </c>
      <c r="M155" s="86">
        <f>(((Table134567891011121314151617343[[#This Row],[GBR]]-VLOOKUP($U$1,A:G,7,))/VLOOKUP($U$1,A:G,7,))*100)+100</f>
        <v/>
      </c>
      <c r="N155" s="86">
        <f>VLOOKUP(A155,Database!$A:$AS,MATCH($N$1,Database!$A$1:$AS$1,0),FALSE)</f>
        <v/>
      </c>
      <c r="O155" s="86">
        <f>(((Table134567891011121314151617343[[#This Row],[USA]]-VLOOKUP($U$1,A:N,14,))/VLOOKUP($U$1,A:N,14,))*100)+100</f>
        <v/>
      </c>
      <c r="P155" s="86">
        <f>VLOOKUP(A155,Database!$A:$AS,MATCH($P$1,Database!$A$1:$AS$1,0),FALSE)</f>
        <v/>
      </c>
      <c r="Q155" s="86">
        <f>(((Table134567891011121314151617343[[#This Row],[JPN]]-VLOOKUP($U$1,A:Q,16,))/VLOOKUP($U$1,A:Q,16,))*100)+100</f>
        <v/>
      </c>
    </row>
    <row r="156" customFormat="1" s="94">
      <c r="A156" s="22" t="n">
        <v>37561</v>
      </c>
      <c r="B156" s="86">
        <f>VLOOKUP(A156,Database!$A:$AS,MATCH($B$1,Database!$A$1:$AS$1,0),FALSE)</f>
        <v/>
      </c>
      <c r="C156" s="86">
        <f>VLOOKUP(A156,Database!$A:$AS,MATCH($C$1,Database!$A$1:$AS$1,0),FALSE)</f>
        <v/>
      </c>
      <c r="D156" s="86">
        <f>VLOOKUP(A156,Database!$A:$AS,MATCH($D$1,Database!$A$1:$AS$1,0),FALSE)</f>
        <v/>
      </c>
      <c r="E156" s="86">
        <f>VLOOKUP(A156,Database!$A:$AS,MATCH($E$1,Database!$A$1:$AS$1,0),FALSE)</f>
        <v/>
      </c>
      <c r="F156" s="86">
        <f>VLOOKUP(A156,Database!$A:$AS,MATCH($F$1,Database!$A$1:$AS$1,0),FALSE)</f>
        <v/>
      </c>
      <c r="G156" s="86">
        <f>VLOOKUP(A156,Database!$A:$AS,MATCH($G$1,Database!$A$1:$AS$1,0),FALSE)</f>
        <v/>
      </c>
      <c r="H156" s="86">
        <f>(((Table134567891011121314151617343[[#This Row],[ITA]]-VLOOKUP($U$1,A:B,2,))/VLOOKUP($U$1,A:B,2,))*100)+100</f>
        <v/>
      </c>
      <c r="I156" s="86">
        <f>(((Table134567891011121314151617343[[#This Row],[FRA]]-VLOOKUP($U$1,A:C,3,))/VLOOKUP($U$1,A:C,3,))*100)+100</f>
        <v/>
      </c>
      <c r="J156" s="86">
        <f>(((Table134567891011121314151617343[[#This Row],[DEU]]-VLOOKUP($U$1,A:D,4,))/VLOOKUP($U$1,A:D,4,))*100)+100</f>
        <v/>
      </c>
      <c r="K156" s="86">
        <f>(((Table134567891011121314151617343[[#This Row],[ESP]]-VLOOKUP($U$1,A:E,5,))/VLOOKUP($U$1,A:E,5,))*100)+100</f>
        <v/>
      </c>
      <c r="L156" s="86">
        <f>(((Table134567891011121314151617343[[#This Row],[EA19]]-VLOOKUP($U$1,A:F,6,))/VLOOKUP($U$1,A:F,6,))*100)+100</f>
        <v/>
      </c>
      <c r="M156" s="86">
        <f>(((Table134567891011121314151617343[[#This Row],[GBR]]-VLOOKUP($U$1,A:G,7,))/VLOOKUP($U$1,A:G,7,))*100)+100</f>
        <v/>
      </c>
      <c r="N156" s="86">
        <f>VLOOKUP(A156,Database!$A:$AS,MATCH($N$1,Database!$A$1:$AS$1,0),FALSE)</f>
        <v/>
      </c>
      <c r="O156" s="86">
        <f>(((Table134567891011121314151617343[[#This Row],[USA]]-VLOOKUP($U$1,A:N,14,))/VLOOKUP($U$1,A:N,14,))*100)+100</f>
        <v/>
      </c>
      <c r="P156" s="86">
        <f>VLOOKUP(A156,Database!$A:$AS,MATCH($P$1,Database!$A$1:$AS$1,0),FALSE)</f>
        <v/>
      </c>
      <c r="Q156" s="86">
        <f>(((Table134567891011121314151617343[[#This Row],[JPN]]-VLOOKUP($U$1,A:Q,16,))/VLOOKUP($U$1,A:Q,16,))*100)+100</f>
        <v/>
      </c>
    </row>
    <row r="157" customFormat="1" s="94">
      <c r="A157" s="22" t="n">
        <v>37591</v>
      </c>
      <c r="B157" s="86">
        <f>VLOOKUP(A157,Database!$A:$AS,MATCH($B$1,Database!$A$1:$AS$1,0),FALSE)</f>
        <v/>
      </c>
      <c r="C157" s="86">
        <f>VLOOKUP(A157,Database!$A:$AS,MATCH($C$1,Database!$A$1:$AS$1,0),FALSE)</f>
        <v/>
      </c>
      <c r="D157" s="86">
        <f>VLOOKUP(A157,Database!$A:$AS,MATCH($D$1,Database!$A$1:$AS$1,0),FALSE)</f>
        <v/>
      </c>
      <c r="E157" s="86">
        <f>VLOOKUP(A157,Database!$A:$AS,MATCH($E$1,Database!$A$1:$AS$1,0),FALSE)</f>
        <v/>
      </c>
      <c r="F157" s="86">
        <f>VLOOKUP(A157,Database!$A:$AS,MATCH($F$1,Database!$A$1:$AS$1,0),FALSE)</f>
        <v/>
      </c>
      <c r="G157" s="86">
        <f>VLOOKUP(A157,Database!$A:$AS,MATCH($G$1,Database!$A$1:$AS$1,0),FALSE)</f>
        <v/>
      </c>
      <c r="H157" s="86">
        <f>(((Table134567891011121314151617343[[#This Row],[ITA]]-VLOOKUP($U$1,A:B,2,))/VLOOKUP($U$1,A:B,2,))*100)+100</f>
        <v/>
      </c>
      <c r="I157" s="86">
        <f>(((Table134567891011121314151617343[[#This Row],[FRA]]-VLOOKUP($U$1,A:C,3,))/VLOOKUP($U$1,A:C,3,))*100)+100</f>
        <v/>
      </c>
      <c r="J157" s="86">
        <f>(((Table134567891011121314151617343[[#This Row],[DEU]]-VLOOKUP($U$1,A:D,4,))/VLOOKUP($U$1,A:D,4,))*100)+100</f>
        <v/>
      </c>
      <c r="K157" s="86">
        <f>(((Table134567891011121314151617343[[#This Row],[ESP]]-VLOOKUP($U$1,A:E,5,))/VLOOKUP($U$1,A:E,5,))*100)+100</f>
        <v/>
      </c>
      <c r="L157" s="86">
        <f>(((Table134567891011121314151617343[[#This Row],[EA19]]-VLOOKUP($U$1,A:F,6,))/VLOOKUP($U$1,A:F,6,))*100)+100</f>
        <v/>
      </c>
      <c r="M157" s="86">
        <f>(((Table134567891011121314151617343[[#This Row],[GBR]]-VLOOKUP($U$1,A:G,7,))/VLOOKUP($U$1,A:G,7,))*100)+100</f>
        <v/>
      </c>
      <c r="N157" s="86">
        <f>VLOOKUP(A157,Database!$A:$AS,MATCH($N$1,Database!$A$1:$AS$1,0),FALSE)</f>
        <v/>
      </c>
      <c r="O157" s="86">
        <f>(((Table134567891011121314151617343[[#This Row],[USA]]-VLOOKUP($U$1,A:N,14,))/VLOOKUP($U$1,A:N,14,))*100)+100</f>
        <v/>
      </c>
      <c r="P157" s="86">
        <f>VLOOKUP(A157,Database!$A:$AS,MATCH($P$1,Database!$A$1:$AS$1,0),FALSE)</f>
        <v/>
      </c>
      <c r="Q157" s="86">
        <f>(((Table134567891011121314151617343[[#This Row],[JPN]]-VLOOKUP($U$1,A:Q,16,))/VLOOKUP($U$1,A:Q,16,))*100)+100</f>
        <v/>
      </c>
    </row>
    <row r="158" customFormat="1" s="94">
      <c r="A158" s="22" t="n">
        <v>37622</v>
      </c>
      <c r="B158" s="86">
        <f>VLOOKUP(A158,Database!$A:$AS,MATCH($B$1,Database!$A$1:$AS$1,0),FALSE)</f>
        <v/>
      </c>
      <c r="C158" s="86">
        <f>VLOOKUP(A158,Database!$A:$AS,MATCH($C$1,Database!$A$1:$AS$1,0),FALSE)</f>
        <v/>
      </c>
      <c r="D158" s="86">
        <f>VLOOKUP(A158,Database!$A:$AS,MATCH($D$1,Database!$A$1:$AS$1,0),FALSE)</f>
        <v/>
      </c>
      <c r="E158" s="86">
        <f>VLOOKUP(A158,Database!$A:$AS,MATCH($E$1,Database!$A$1:$AS$1,0),FALSE)</f>
        <v/>
      </c>
      <c r="F158" s="86">
        <f>VLOOKUP(A158,Database!$A:$AS,MATCH($F$1,Database!$A$1:$AS$1,0),FALSE)</f>
        <v/>
      </c>
      <c r="G158" s="86">
        <f>VLOOKUP(A158,Database!$A:$AS,MATCH($G$1,Database!$A$1:$AS$1,0),FALSE)</f>
        <v/>
      </c>
      <c r="H158" s="86">
        <f>(((Table134567891011121314151617343[[#This Row],[ITA]]-VLOOKUP($U$1,A:B,2,))/VLOOKUP($U$1,A:B,2,))*100)+100</f>
        <v/>
      </c>
      <c r="I158" s="86">
        <f>(((Table134567891011121314151617343[[#This Row],[FRA]]-VLOOKUP($U$1,A:C,3,))/VLOOKUP($U$1,A:C,3,))*100)+100</f>
        <v/>
      </c>
      <c r="J158" s="86">
        <f>(((Table134567891011121314151617343[[#This Row],[DEU]]-VLOOKUP($U$1,A:D,4,))/VLOOKUP($U$1,A:D,4,))*100)+100</f>
        <v/>
      </c>
      <c r="K158" s="86">
        <f>(((Table134567891011121314151617343[[#This Row],[ESP]]-VLOOKUP($U$1,A:E,5,))/VLOOKUP($U$1,A:E,5,))*100)+100</f>
        <v/>
      </c>
      <c r="L158" s="86">
        <f>(((Table134567891011121314151617343[[#This Row],[EA19]]-VLOOKUP($U$1,A:F,6,))/VLOOKUP($U$1,A:F,6,))*100)+100</f>
        <v/>
      </c>
      <c r="M158" s="86">
        <f>(((Table134567891011121314151617343[[#This Row],[GBR]]-VLOOKUP($U$1,A:G,7,))/VLOOKUP($U$1,A:G,7,))*100)+100</f>
        <v/>
      </c>
      <c r="N158" s="86">
        <f>VLOOKUP(A158,Database!$A:$AS,MATCH($N$1,Database!$A$1:$AS$1,0),FALSE)</f>
        <v/>
      </c>
      <c r="O158" s="86">
        <f>(((Table134567891011121314151617343[[#This Row],[USA]]-VLOOKUP($U$1,A:N,14,))/VLOOKUP($U$1,A:N,14,))*100)+100</f>
        <v/>
      </c>
      <c r="P158" s="86">
        <f>VLOOKUP(A158,Database!$A:$AS,MATCH($P$1,Database!$A$1:$AS$1,0),FALSE)</f>
        <v/>
      </c>
      <c r="Q158" s="86">
        <f>(((Table134567891011121314151617343[[#This Row],[JPN]]-VLOOKUP($U$1,A:Q,16,))/VLOOKUP($U$1,A:Q,16,))*100)+100</f>
        <v/>
      </c>
    </row>
    <row r="159" customFormat="1" s="94">
      <c r="A159" s="22" t="n">
        <v>37653</v>
      </c>
      <c r="B159" s="86">
        <f>VLOOKUP(A159,Database!$A:$AS,MATCH($B$1,Database!$A$1:$AS$1,0),FALSE)</f>
        <v/>
      </c>
      <c r="C159" s="86">
        <f>VLOOKUP(A159,Database!$A:$AS,MATCH($C$1,Database!$A$1:$AS$1,0),FALSE)</f>
        <v/>
      </c>
      <c r="D159" s="86">
        <f>VLOOKUP(A159,Database!$A:$AS,MATCH($D$1,Database!$A$1:$AS$1,0),FALSE)</f>
        <v/>
      </c>
      <c r="E159" s="86">
        <f>VLOOKUP(A159,Database!$A:$AS,MATCH($E$1,Database!$A$1:$AS$1,0),FALSE)</f>
        <v/>
      </c>
      <c r="F159" s="86">
        <f>VLOOKUP(A159,Database!$A:$AS,MATCH($F$1,Database!$A$1:$AS$1,0),FALSE)</f>
        <v/>
      </c>
      <c r="G159" s="86">
        <f>VLOOKUP(A159,Database!$A:$AS,MATCH($G$1,Database!$A$1:$AS$1,0),FALSE)</f>
        <v/>
      </c>
      <c r="H159" s="86">
        <f>(((Table134567891011121314151617343[[#This Row],[ITA]]-VLOOKUP($U$1,A:B,2,))/VLOOKUP($U$1,A:B,2,))*100)+100</f>
        <v/>
      </c>
      <c r="I159" s="86">
        <f>(((Table134567891011121314151617343[[#This Row],[FRA]]-VLOOKUP($U$1,A:C,3,))/VLOOKUP($U$1,A:C,3,))*100)+100</f>
        <v/>
      </c>
      <c r="J159" s="86">
        <f>(((Table134567891011121314151617343[[#This Row],[DEU]]-VLOOKUP($U$1,A:D,4,))/VLOOKUP($U$1,A:D,4,))*100)+100</f>
        <v/>
      </c>
      <c r="K159" s="86">
        <f>(((Table134567891011121314151617343[[#This Row],[ESP]]-VLOOKUP($U$1,A:E,5,))/VLOOKUP($U$1,A:E,5,))*100)+100</f>
        <v/>
      </c>
      <c r="L159" s="86">
        <f>(((Table134567891011121314151617343[[#This Row],[EA19]]-VLOOKUP($U$1,A:F,6,))/VLOOKUP($U$1,A:F,6,))*100)+100</f>
        <v/>
      </c>
      <c r="M159" s="86">
        <f>(((Table134567891011121314151617343[[#This Row],[GBR]]-VLOOKUP($U$1,A:G,7,))/VLOOKUP($U$1,A:G,7,))*100)+100</f>
        <v/>
      </c>
      <c r="N159" s="86">
        <f>VLOOKUP(A159,Database!$A:$AS,MATCH($N$1,Database!$A$1:$AS$1,0),FALSE)</f>
        <v/>
      </c>
      <c r="O159" s="86">
        <f>(((Table134567891011121314151617343[[#This Row],[USA]]-VLOOKUP($U$1,A:N,14,))/VLOOKUP($U$1,A:N,14,))*100)+100</f>
        <v/>
      </c>
      <c r="P159" s="86">
        <f>VLOOKUP(A159,Database!$A:$AS,MATCH($P$1,Database!$A$1:$AS$1,0),FALSE)</f>
        <v/>
      </c>
      <c r="Q159" s="86">
        <f>(((Table134567891011121314151617343[[#This Row],[JPN]]-VLOOKUP($U$1,A:Q,16,))/VLOOKUP($U$1,A:Q,16,))*100)+100</f>
        <v/>
      </c>
    </row>
    <row r="160" customFormat="1" s="94">
      <c r="A160" s="22" t="n">
        <v>37681</v>
      </c>
      <c r="B160" s="86">
        <f>VLOOKUP(A160,Database!$A:$AS,MATCH($B$1,Database!$A$1:$AS$1,0),FALSE)</f>
        <v/>
      </c>
      <c r="C160" s="86">
        <f>VLOOKUP(A160,Database!$A:$AS,MATCH($C$1,Database!$A$1:$AS$1,0),FALSE)</f>
        <v/>
      </c>
      <c r="D160" s="86">
        <f>VLOOKUP(A160,Database!$A:$AS,MATCH($D$1,Database!$A$1:$AS$1,0),FALSE)</f>
        <v/>
      </c>
      <c r="E160" s="86">
        <f>VLOOKUP(A160,Database!$A:$AS,MATCH($E$1,Database!$A$1:$AS$1,0),FALSE)</f>
        <v/>
      </c>
      <c r="F160" s="86">
        <f>VLOOKUP(A160,Database!$A:$AS,MATCH($F$1,Database!$A$1:$AS$1,0),FALSE)</f>
        <v/>
      </c>
      <c r="G160" s="86">
        <f>VLOOKUP(A160,Database!$A:$AS,MATCH($G$1,Database!$A$1:$AS$1,0),FALSE)</f>
        <v/>
      </c>
      <c r="H160" s="86">
        <f>(((Table134567891011121314151617343[[#This Row],[ITA]]-VLOOKUP($U$1,A:B,2,))/VLOOKUP($U$1,A:B,2,))*100)+100</f>
        <v/>
      </c>
      <c r="I160" s="86">
        <f>(((Table134567891011121314151617343[[#This Row],[FRA]]-VLOOKUP($U$1,A:C,3,))/VLOOKUP($U$1,A:C,3,))*100)+100</f>
        <v/>
      </c>
      <c r="J160" s="86">
        <f>(((Table134567891011121314151617343[[#This Row],[DEU]]-VLOOKUP($U$1,A:D,4,))/VLOOKUP($U$1,A:D,4,))*100)+100</f>
        <v/>
      </c>
      <c r="K160" s="86">
        <f>(((Table134567891011121314151617343[[#This Row],[ESP]]-VLOOKUP($U$1,A:E,5,))/VLOOKUP($U$1,A:E,5,))*100)+100</f>
        <v/>
      </c>
      <c r="L160" s="86">
        <f>(((Table134567891011121314151617343[[#This Row],[EA19]]-VLOOKUP($U$1,A:F,6,))/VLOOKUP($U$1,A:F,6,))*100)+100</f>
        <v/>
      </c>
      <c r="M160" s="86">
        <f>(((Table134567891011121314151617343[[#This Row],[GBR]]-VLOOKUP($U$1,A:G,7,))/VLOOKUP($U$1,A:G,7,))*100)+100</f>
        <v/>
      </c>
      <c r="N160" s="86">
        <f>VLOOKUP(A160,Database!$A:$AS,MATCH($N$1,Database!$A$1:$AS$1,0),FALSE)</f>
        <v/>
      </c>
      <c r="O160" s="86">
        <f>(((Table134567891011121314151617343[[#This Row],[USA]]-VLOOKUP($U$1,A:N,14,))/VLOOKUP($U$1,A:N,14,))*100)+100</f>
        <v/>
      </c>
      <c r="P160" s="86">
        <f>VLOOKUP(A160,Database!$A:$AS,MATCH($P$1,Database!$A$1:$AS$1,0),FALSE)</f>
        <v/>
      </c>
      <c r="Q160" s="86">
        <f>(((Table134567891011121314151617343[[#This Row],[JPN]]-VLOOKUP($U$1,A:Q,16,))/VLOOKUP($U$1,A:Q,16,))*100)+100</f>
        <v/>
      </c>
    </row>
    <row r="161" customFormat="1" s="94">
      <c r="A161" s="22" t="n">
        <v>37712</v>
      </c>
      <c r="B161" s="86">
        <f>VLOOKUP(A161,Database!$A:$AS,MATCH($B$1,Database!$A$1:$AS$1,0),FALSE)</f>
        <v/>
      </c>
      <c r="C161" s="86">
        <f>VLOOKUP(A161,Database!$A:$AS,MATCH($C$1,Database!$A$1:$AS$1,0),FALSE)</f>
        <v/>
      </c>
      <c r="D161" s="86">
        <f>VLOOKUP(A161,Database!$A:$AS,MATCH($D$1,Database!$A$1:$AS$1,0),FALSE)</f>
        <v/>
      </c>
      <c r="E161" s="86">
        <f>VLOOKUP(A161,Database!$A:$AS,MATCH($E$1,Database!$A$1:$AS$1,0),FALSE)</f>
        <v/>
      </c>
      <c r="F161" s="86">
        <f>VLOOKUP(A161,Database!$A:$AS,MATCH($F$1,Database!$A$1:$AS$1,0),FALSE)</f>
        <v/>
      </c>
      <c r="G161" s="86">
        <f>VLOOKUP(A161,Database!$A:$AS,MATCH($G$1,Database!$A$1:$AS$1,0),FALSE)</f>
        <v/>
      </c>
      <c r="H161" s="86">
        <f>(((Table134567891011121314151617343[[#This Row],[ITA]]-VLOOKUP($U$1,A:B,2,))/VLOOKUP($U$1,A:B,2,))*100)+100</f>
        <v/>
      </c>
      <c r="I161" s="86">
        <f>(((Table134567891011121314151617343[[#This Row],[FRA]]-VLOOKUP($U$1,A:C,3,))/VLOOKUP($U$1,A:C,3,))*100)+100</f>
        <v/>
      </c>
      <c r="J161" s="86">
        <f>(((Table134567891011121314151617343[[#This Row],[DEU]]-VLOOKUP($U$1,A:D,4,))/VLOOKUP($U$1,A:D,4,))*100)+100</f>
        <v/>
      </c>
      <c r="K161" s="86">
        <f>(((Table134567891011121314151617343[[#This Row],[ESP]]-VLOOKUP($U$1,A:E,5,))/VLOOKUP($U$1,A:E,5,))*100)+100</f>
        <v/>
      </c>
      <c r="L161" s="86">
        <f>(((Table134567891011121314151617343[[#This Row],[EA19]]-VLOOKUP($U$1,A:F,6,))/VLOOKUP($U$1,A:F,6,))*100)+100</f>
        <v/>
      </c>
      <c r="M161" s="86">
        <f>(((Table134567891011121314151617343[[#This Row],[GBR]]-VLOOKUP($U$1,A:G,7,))/VLOOKUP($U$1,A:G,7,))*100)+100</f>
        <v/>
      </c>
      <c r="N161" s="86">
        <f>VLOOKUP(A161,Database!$A:$AS,MATCH($N$1,Database!$A$1:$AS$1,0),FALSE)</f>
        <v/>
      </c>
      <c r="O161" s="86">
        <f>(((Table134567891011121314151617343[[#This Row],[USA]]-VLOOKUP($U$1,A:N,14,))/VLOOKUP($U$1,A:N,14,))*100)+100</f>
        <v/>
      </c>
      <c r="P161" s="86">
        <f>VLOOKUP(A161,Database!$A:$AS,MATCH($P$1,Database!$A$1:$AS$1,0),FALSE)</f>
        <v/>
      </c>
      <c r="Q161" s="86">
        <f>(((Table134567891011121314151617343[[#This Row],[JPN]]-VLOOKUP($U$1,A:Q,16,))/VLOOKUP($U$1,A:Q,16,))*100)+100</f>
        <v/>
      </c>
    </row>
    <row r="162" customFormat="1" s="94">
      <c r="A162" s="22" t="n">
        <v>37742</v>
      </c>
      <c r="B162" s="86">
        <f>VLOOKUP(A162,Database!$A:$AS,MATCH($B$1,Database!$A$1:$AS$1,0),FALSE)</f>
        <v/>
      </c>
      <c r="C162" s="86">
        <f>VLOOKUP(A162,Database!$A:$AS,MATCH($C$1,Database!$A$1:$AS$1,0),FALSE)</f>
        <v/>
      </c>
      <c r="D162" s="86">
        <f>VLOOKUP(A162,Database!$A:$AS,MATCH($D$1,Database!$A$1:$AS$1,0),FALSE)</f>
        <v/>
      </c>
      <c r="E162" s="86">
        <f>VLOOKUP(A162,Database!$A:$AS,MATCH($E$1,Database!$A$1:$AS$1,0),FALSE)</f>
        <v/>
      </c>
      <c r="F162" s="86">
        <f>VLOOKUP(A162,Database!$A:$AS,MATCH($F$1,Database!$A$1:$AS$1,0),FALSE)</f>
        <v/>
      </c>
      <c r="G162" s="86">
        <f>VLOOKUP(A162,Database!$A:$AS,MATCH($G$1,Database!$A$1:$AS$1,0),FALSE)</f>
        <v/>
      </c>
      <c r="H162" s="86">
        <f>(((Table134567891011121314151617343[[#This Row],[ITA]]-VLOOKUP($U$1,A:B,2,))/VLOOKUP($U$1,A:B,2,))*100)+100</f>
        <v/>
      </c>
      <c r="I162" s="86">
        <f>(((Table134567891011121314151617343[[#This Row],[FRA]]-VLOOKUP($U$1,A:C,3,))/VLOOKUP($U$1,A:C,3,))*100)+100</f>
        <v/>
      </c>
      <c r="J162" s="86">
        <f>(((Table134567891011121314151617343[[#This Row],[DEU]]-VLOOKUP($U$1,A:D,4,))/VLOOKUP($U$1,A:D,4,))*100)+100</f>
        <v/>
      </c>
      <c r="K162" s="86">
        <f>(((Table134567891011121314151617343[[#This Row],[ESP]]-VLOOKUP($U$1,A:E,5,))/VLOOKUP($U$1,A:E,5,))*100)+100</f>
        <v/>
      </c>
      <c r="L162" s="86">
        <f>(((Table134567891011121314151617343[[#This Row],[EA19]]-VLOOKUP($U$1,A:F,6,))/VLOOKUP($U$1,A:F,6,))*100)+100</f>
        <v/>
      </c>
      <c r="M162" s="86">
        <f>(((Table134567891011121314151617343[[#This Row],[GBR]]-VLOOKUP($U$1,A:G,7,))/VLOOKUP($U$1,A:G,7,))*100)+100</f>
        <v/>
      </c>
      <c r="N162" s="86">
        <f>VLOOKUP(A162,Database!$A:$AS,MATCH($N$1,Database!$A$1:$AS$1,0),FALSE)</f>
        <v/>
      </c>
      <c r="O162" s="86">
        <f>(((Table134567891011121314151617343[[#This Row],[USA]]-VLOOKUP($U$1,A:N,14,))/VLOOKUP($U$1,A:N,14,))*100)+100</f>
        <v/>
      </c>
      <c r="P162" s="86">
        <f>VLOOKUP(A162,Database!$A:$AS,MATCH($P$1,Database!$A$1:$AS$1,0),FALSE)</f>
        <v/>
      </c>
      <c r="Q162" s="86">
        <f>(((Table134567891011121314151617343[[#This Row],[JPN]]-VLOOKUP($U$1,A:Q,16,))/VLOOKUP($U$1,A:Q,16,))*100)+100</f>
        <v/>
      </c>
    </row>
    <row r="163" customFormat="1" s="94">
      <c r="A163" s="22" t="n">
        <v>37773</v>
      </c>
      <c r="B163" s="86">
        <f>VLOOKUP(A163,Database!$A:$AS,MATCH($B$1,Database!$A$1:$AS$1,0),FALSE)</f>
        <v/>
      </c>
      <c r="C163" s="86">
        <f>VLOOKUP(A163,Database!$A:$AS,MATCH($C$1,Database!$A$1:$AS$1,0),FALSE)</f>
        <v/>
      </c>
      <c r="D163" s="86">
        <f>VLOOKUP(A163,Database!$A:$AS,MATCH($D$1,Database!$A$1:$AS$1,0),FALSE)</f>
        <v/>
      </c>
      <c r="E163" s="86">
        <f>VLOOKUP(A163,Database!$A:$AS,MATCH($E$1,Database!$A$1:$AS$1,0),FALSE)</f>
        <v/>
      </c>
      <c r="F163" s="86">
        <f>VLOOKUP(A163,Database!$A:$AS,MATCH($F$1,Database!$A$1:$AS$1,0),FALSE)</f>
        <v/>
      </c>
      <c r="G163" s="86">
        <f>VLOOKUP(A163,Database!$A:$AS,MATCH($G$1,Database!$A$1:$AS$1,0),FALSE)</f>
        <v/>
      </c>
      <c r="H163" s="86">
        <f>(((Table134567891011121314151617343[[#This Row],[ITA]]-VLOOKUP($U$1,A:B,2,))/VLOOKUP($U$1,A:B,2,))*100)+100</f>
        <v/>
      </c>
      <c r="I163" s="86">
        <f>(((Table134567891011121314151617343[[#This Row],[FRA]]-VLOOKUP($U$1,A:C,3,))/VLOOKUP($U$1,A:C,3,))*100)+100</f>
        <v/>
      </c>
      <c r="J163" s="86">
        <f>(((Table134567891011121314151617343[[#This Row],[DEU]]-VLOOKUP($U$1,A:D,4,))/VLOOKUP($U$1,A:D,4,))*100)+100</f>
        <v/>
      </c>
      <c r="K163" s="86">
        <f>(((Table134567891011121314151617343[[#This Row],[ESP]]-VLOOKUP($U$1,A:E,5,))/VLOOKUP($U$1,A:E,5,))*100)+100</f>
        <v/>
      </c>
      <c r="L163" s="86">
        <f>(((Table134567891011121314151617343[[#This Row],[EA19]]-VLOOKUP($U$1,A:F,6,))/VLOOKUP($U$1,A:F,6,))*100)+100</f>
        <v/>
      </c>
      <c r="M163" s="86">
        <f>(((Table134567891011121314151617343[[#This Row],[GBR]]-VLOOKUP($U$1,A:G,7,))/VLOOKUP($U$1,A:G,7,))*100)+100</f>
        <v/>
      </c>
      <c r="N163" s="86">
        <f>VLOOKUP(A163,Database!$A:$AS,MATCH($N$1,Database!$A$1:$AS$1,0),FALSE)</f>
        <v/>
      </c>
      <c r="O163" s="86">
        <f>(((Table134567891011121314151617343[[#This Row],[USA]]-VLOOKUP($U$1,A:N,14,))/VLOOKUP($U$1,A:N,14,))*100)+100</f>
        <v/>
      </c>
      <c r="P163" s="86">
        <f>VLOOKUP(A163,Database!$A:$AS,MATCH($P$1,Database!$A$1:$AS$1,0),FALSE)</f>
        <v/>
      </c>
      <c r="Q163" s="86">
        <f>(((Table134567891011121314151617343[[#This Row],[JPN]]-VLOOKUP($U$1,A:Q,16,))/VLOOKUP($U$1,A:Q,16,))*100)+100</f>
        <v/>
      </c>
    </row>
    <row r="164" customFormat="1" s="94">
      <c r="A164" s="22" t="n">
        <v>37803</v>
      </c>
      <c r="B164" s="86">
        <f>VLOOKUP(A164,Database!$A:$AS,MATCH($B$1,Database!$A$1:$AS$1,0),FALSE)</f>
        <v/>
      </c>
      <c r="C164" s="86">
        <f>VLOOKUP(A164,Database!$A:$AS,MATCH($C$1,Database!$A$1:$AS$1,0),FALSE)</f>
        <v/>
      </c>
      <c r="D164" s="86">
        <f>VLOOKUP(A164,Database!$A:$AS,MATCH($D$1,Database!$A$1:$AS$1,0),FALSE)</f>
        <v/>
      </c>
      <c r="E164" s="86">
        <f>VLOOKUP(A164,Database!$A:$AS,MATCH($E$1,Database!$A$1:$AS$1,0),FALSE)</f>
        <v/>
      </c>
      <c r="F164" s="86">
        <f>VLOOKUP(A164,Database!$A:$AS,MATCH($F$1,Database!$A$1:$AS$1,0),FALSE)</f>
        <v/>
      </c>
      <c r="G164" s="86">
        <f>VLOOKUP(A164,Database!$A:$AS,MATCH($G$1,Database!$A$1:$AS$1,0),FALSE)</f>
        <v/>
      </c>
      <c r="H164" s="86">
        <f>(((Table134567891011121314151617343[[#This Row],[ITA]]-VLOOKUP($U$1,A:B,2,))/VLOOKUP($U$1,A:B,2,))*100)+100</f>
        <v/>
      </c>
      <c r="I164" s="86">
        <f>(((Table134567891011121314151617343[[#This Row],[FRA]]-VLOOKUP($U$1,A:C,3,))/VLOOKUP($U$1,A:C,3,))*100)+100</f>
        <v/>
      </c>
      <c r="J164" s="86">
        <f>(((Table134567891011121314151617343[[#This Row],[DEU]]-VLOOKUP($U$1,A:D,4,))/VLOOKUP($U$1,A:D,4,))*100)+100</f>
        <v/>
      </c>
      <c r="K164" s="86">
        <f>(((Table134567891011121314151617343[[#This Row],[ESP]]-VLOOKUP($U$1,A:E,5,))/VLOOKUP($U$1,A:E,5,))*100)+100</f>
        <v/>
      </c>
      <c r="L164" s="86">
        <f>(((Table134567891011121314151617343[[#This Row],[EA19]]-VLOOKUP($U$1,A:F,6,))/VLOOKUP($U$1,A:F,6,))*100)+100</f>
        <v/>
      </c>
      <c r="M164" s="86">
        <f>(((Table134567891011121314151617343[[#This Row],[GBR]]-VLOOKUP($U$1,A:G,7,))/VLOOKUP($U$1,A:G,7,))*100)+100</f>
        <v/>
      </c>
      <c r="N164" s="86">
        <f>VLOOKUP(A164,Database!$A:$AS,MATCH($N$1,Database!$A$1:$AS$1,0),FALSE)</f>
        <v/>
      </c>
      <c r="O164" s="86">
        <f>(((Table134567891011121314151617343[[#This Row],[USA]]-VLOOKUP($U$1,A:N,14,))/VLOOKUP($U$1,A:N,14,))*100)+100</f>
        <v/>
      </c>
      <c r="P164" s="86">
        <f>VLOOKUP(A164,Database!$A:$AS,MATCH($P$1,Database!$A$1:$AS$1,0),FALSE)</f>
        <v/>
      </c>
      <c r="Q164" s="86">
        <f>(((Table134567891011121314151617343[[#This Row],[JPN]]-VLOOKUP($U$1,A:Q,16,))/VLOOKUP($U$1,A:Q,16,))*100)+100</f>
        <v/>
      </c>
    </row>
    <row r="165" customFormat="1" s="94">
      <c r="A165" s="22" t="n">
        <v>37834</v>
      </c>
      <c r="B165" s="86">
        <f>VLOOKUP(A165,Database!$A:$AS,MATCH($B$1,Database!$A$1:$AS$1,0),FALSE)</f>
        <v/>
      </c>
      <c r="C165" s="86">
        <f>VLOOKUP(A165,Database!$A:$AS,MATCH($C$1,Database!$A$1:$AS$1,0),FALSE)</f>
        <v/>
      </c>
      <c r="D165" s="86">
        <f>VLOOKUP(A165,Database!$A:$AS,MATCH($D$1,Database!$A$1:$AS$1,0),FALSE)</f>
        <v/>
      </c>
      <c r="E165" s="86">
        <f>VLOOKUP(A165,Database!$A:$AS,MATCH($E$1,Database!$A$1:$AS$1,0),FALSE)</f>
        <v/>
      </c>
      <c r="F165" s="86">
        <f>VLOOKUP(A165,Database!$A:$AS,MATCH($F$1,Database!$A$1:$AS$1,0),FALSE)</f>
        <v/>
      </c>
      <c r="G165" s="86">
        <f>VLOOKUP(A165,Database!$A:$AS,MATCH($G$1,Database!$A$1:$AS$1,0),FALSE)</f>
        <v/>
      </c>
      <c r="H165" s="86">
        <f>(((Table134567891011121314151617343[[#This Row],[ITA]]-VLOOKUP($U$1,A:B,2,))/VLOOKUP($U$1,A:B,2,))*100)+100</f>
        <v/>
      </c>
      <c r="I165" s="86">
        <f>(((Table134567891011121314151617343[[#This Row],[FRA]]-VLOOKUP($U$1,A:C,3,))/VLOOKUP($U$1,A:C,3,))*100)+100</f>
        <v/>
      </c>
      <c r="J165" s="86">
        <f>(((Table134567891011121314151617343[[#This Row],[DEU]]-VLOOKUP($U$1,A:D,4,))/VLOOKUP($U$1,A:D,4,))*100)+100</f>
        <v/>
      </c>
      <c r="K165" s="86">
        <f>(((Table134567891011121314151617343[[#This Row],[ESP]]-VLOOKUP($U$1,A:E,5,))/VLOOKUP($U$1,A:E,5,))*100)+100</f>
        <v/>
      </c>
      <c r="L165" s="86">
        <f>(((Table134567891011121314151617343[[#This Row],[EA19]]-VLOOKUP($U$1,A:F,6,))/VLOOKUP($U$1,A:F,6,))*100)+100</f>
        <v/>
      </c>
      <c r="M165" s="86">
        <f>(((Table134567891011121314151617343[[#This Row],[GBR]]-VLOOKUP($U$1,A:G,7,))/VLOOKUP($U$1,A:G,7,))*100)+100</f>
        <v/>
      </c>
      <c r="N165" s="86">
        <f>VLOOKUP(A165,Database!$A:$AS,MATCH($N$1,Database!$A$1:$AS$1,0),FALSE)</f>
        <v/>
      </c>
      <c r="O165" s="86">
        <f>(((Table134567891011121314151617343[[#This Row],[USA]]-VLOOKUP($U$1,A:N,14,))/VLOOKUP($U$1,A:N,14,))*100)+100</f>
        <v/>
      </c>
      <c r="P165" s="86">
        <f>VLOOKUP(A165,Database!$A:$AS,MATCH($P$1,Database!$A$1:$AS$1,0),FALSE)</f>
        <v/>
      </c>
      <c r="Q165" s="86">
        <f>(((Table134567891011121314151617343[[#This Row],[JPN]]-VLOOKUP($U$1,A:Q,16,))/VLOOKUP($U$1,A:Q,16,))*100)+100</f>
        <v/>
      </c>
    </row>
    <row r="166" customFormat="1" s="94">
      <c r="A166" s="22" t="n">
        <v>37865</v>
      </c>
      <c r="B166" s="86">
        <f>VLOOKUP(A166,Database!$A:$AS,MATCH($B$1,Database!$A$1:$AS$1,0),FALSE)</f>
        <v/>
      </c>
      <c r="C166" s="86">
        <f>VLOOKUP(A166,Database!$A:$AS,MATCH($C$1,Database!$A$1:$AS$1,0),FALSE)</f>
        <v/>
      </c>
      <c r="D166" s="86">
        <f>VLOOKUP(A166,Database!$A:$AS,MATCH($D$1,Database!$A$1:$AS$1,0),FALSE)</f>
        <v/>
      </c>
      <c r="E166" s="86">
        <f>VLOOKUP(A166,Database!$A:$AS,MATCH($E$1,Database!$A$1:$AS$1,0),FALSE)</f>
        <v/>
      </c>
      <c r="F166" s="86">
        <f>VLOOKUP(A166,Database!$A:$AS,MATCH($F$1,Database!$A$1:$AS$1,0),FALSE)</f>
        <v/>
      </c>
      <c r="G166" s="86">
        <f>VLOOKUP(A166,Database!$A:$AS,MATCH($G$1,Database!$A$1:$AS$1,0),FALSE)</f>
        <v/>
      </c>
      <c r="H166" s="86">
        <f>(((Table134567891011121314151617343[[#This Row],[ITA]]-VLOOKUP($U$1,A:B,2,))/VLOOKUP($U$1,A:B,2,))*100)+100</f>
        <v/>
      </c>
      <c r="I166" s="86">
        <f>(((Table134567891011121314151617343[[#This Row],[FRA]]-VLOOKUP($U$1,A:C,3,))/VLOOKUP($U$1,A:C,3,))*100)+100</f>
        <v/>
      </c>
      <c r="J166" s="86">
        <f>(((Table134567891011121314151617343[[#This Row],[DEU]]-VLOOKUP($U$1,A:D,4,))/VLOOKUP($U$1,A:D,4,))*100)+100</f>
        <v/>
      </c>
      <c r="K166" s="86">
        <f>(((Table134567891011121314151617343[[#This Row],[ESP]]-VLOOKUP($U$1,A:E,5,))/VLOOKUP($U$1,A:E,5,))*100)+100</f>
        <v/>
      </c>
      <c r="L166" s="86">
        <f>(((Table134567891011121314151617343[[#This Row],[EA19]]-VLOOKUP($U$1,A:F,6,))/VLOOKUP($U$1,A:F,6,))*100)+100</f>
        <v/>
      </c>
      <c r="M166" s="86">
        <f>(((Table134567891011121314151617343[[#This Row],[GBR]]-VLOOKUP($U$1,A:G,7,))/VLOOKUP($U$1,A:G,7,))*100)+100</f>
        <v/>
      </c>
      <c r="N166" s="86">
        <f>VLOOKUP(A166,Database!$A:$AS,MATCH($N$1,Database!$A$1:$AS$1,0),FALSE)</f>
        <v/>
      </c>
      <c r="O166" s="86">
        <f>(((Table134567891011121314151617343[[#This Row],[USA]]-VLOOKUP($U$1,A:N,14,))/VLOOKUP($U$1,A:N,14,))*100)+100</f>
        <v/>
      </c>
      <c r="P166" s="86">
        <f>VLOOKUP(A166,Database!$A:$AS,MATCH($P$1,Database!$A$1:$AS$1,0),FALSE)</f>
        <v/>
      </c>
      <c r="Q166" s="86">
        <f>(((Table134567891011121314151617343[[#This Row],[JPN]]-VLOOKUP($U$1,A:Q,16,))/VLOOKUP($U$1,A:Q,16,))*100)+100</f>
        <v/>
      </c>
    </row>
    <row r="167" customFormat="1" s="94">
      <c r="A167" s="22" t="n">
        <v>37895</v>
      </c>
      <c r="B167" s="86">
        <f>VLOOKUP(A167,Database!$A:$AS,MATCH($B$1,Database!$A$1:$AS$1,0),FALSE)</f>
        <v/>
      </c>
      <c r="C167" s="86">
        <f>VLOOKUP(A167,Database!$A:$AS,MATCH($C$1,Database!$A$1:$AS$1,0),FALSE)</f>
        <v/>
      </c>
      <c r="D167" s="86">
        <f>VLOOKUP(A167,Database!$A:$AS,MATCH($D$1,Database!$A$1:$AS$1,0),FALSE)</f>
        <v/>
      </c>
      <c r="E167" s="86">
        <f>VLOOKUP(A167,Database!$A:$AS,MATCH($E$1,Database!$A$1:$AS$1,0),FALSE)</f>
        <v/>
      </c>
      <c r="F167" s="86">
        <f>VLOOKUP(A167,Database!$A:$AS,MATCH($F$1,Database!$A$1:$AS$1,0),FALSE)</f>
        <v/>
      </c>
      <c r="G167" s="86">
        <f>VLOOKUP(A167,Database!$A:$AS,MATCH($G$1,Database!$A$1:$AS$1,0),FALSE)</f>
        <v/>
      </c>
      <c r="H167" s="86">
        <f>(((Table134567891011121314151617343[[#This Row],[ITA]]-VLOOKUP($U$1,A:B,2,))/VLOOKUP($U$1,A:B,2,))*100)+100</f>
        <v/>
      </c>
      <c r="I167" s="86">
        <f>(((Table134567891011121314151617343[[#This Row],[FRA]]-VLOOKUP($U$1,A:C,3,))/VLOOKUP($U$1,A:C,3,))*100)+100</f>
        <v/>
      </c>
      <c r="J167" s="86">
        <f>(((Table134567891011121314151617343[[#This Row],[DEU]]-VLOOKUP($U$1,A:D,4,))/VLOOKUP($U$1,A:D,4,))*100)+100</f>
        <v/>
      </c>
      <c r="K167" s="86">
        <f>(((Table134567891011121314151617343[[#This Row],[ESP]]-VLOOKUP($U$1,A:E,5,))/VLOOKUP($U$1,A:E,5,))*100)+100</f>
        <v/>
      </c>
      <c r="L167" s="86">
        <f>(((Table134567891011121314151617343[[#This Row],[EA19]]-VLOOKUP($U$1,A:F,6,))/VLOOKUP($U$1,A:F,6,))*100)+100</f>
        <v/>
      </c>
      <c r="M167" s="86">
        <f>(((Table134567891011121314151617343[[#This Row],[GBR]]-VLOOKUP($U$1,A:G,7,))/VLOOKUP($U$1,A:G,7,))*100)+100</f>
        <v/>
      </c>
      <c r="N167" s="86">
        <f>VLOOKUP(A167,Database!$A:$AS,MATCH($N$1,Database!$A$1:$AS$1,0),FALSE)</f>
        <v/>
      </c>
      <c r="O167" s="86">
        <f>(((Table134567891011121314151617343[[#This Row],[USA]]-VLOOKUP($U$1,A:N,14,))/VLOOKUP($U$1,A:N,14,))*100)+100</f>
        <v/>
      </c>
      <c r="P167" s="86">
        <f>VLOOKUP(A167,Database!$A:$AS,MATCH($P$1,Database!$A$1:$AS$1,0),FALSE)</f>
        <v/>
      </c>
      <c r="Q167" s="86">
        <f>(((Table134567891011121314151617343[[#This Row],[JPN]]-VLOOKUP($U$1,A:Q,16,))/VLOOKUP($U$1,A:Q,16,))*100)+100</f>
        <v/>
      </c>
    </row>
    <row r="168" customFormat="1" s="94">
      <c r="A168" s="22" t="n">
        <v>37926</v>
      </c>
      <c r="B168" s="86">
        <f>VLOOKUP(A168,Database!$A:$AS,MATCH($B$1,Database!$A$1:$AS$1,0),FALSE)</f>
        <v/>
      </c>
      <c r="C168" s="86">
        <f>VLOOKUP(A168,Database!$A:$AS,MATCH($C$1,Database!$A$1:$AS$1,0),FALSE)</f>
        <v/>
      </c>
      <c r="D168" s="86">
        <f>VLOOKUP(A168,Database!$A:$AS,MATCH($D$1,Database!$A$1:$AS$1,0),FALSE)</f>
        <v/>
      </c>
      <c r="E168" s="86">
        <f>VLOOKUP(A168,Database!$A:$AS,MATCH($E$1,Database!$A$1:$AS$1,0),FALSE)</f>
        <v/>
      </c>
      <c r="F168" s="86">
        <f>VLOOKUP(A168,Database!$A:$AS,MATCH($F$1,Database!$A$1:$AS$1,0),FALSE)</f>
        <v/>
      </c>
      <c r="G168" s="86">
        <f>VLOOKUP(A168,Database!$A:$AS,MATCH($G$1,Database!$A$1:$AS$1,0),FALSE)</f>
        <v/>
      </c>
      <c r="H168" s="86">
        <f>(((Table134567891011121314151617343[[#This Row],[ITA]]-VLOOKUP($U$1,A:B,2,))/VLOOKUP($U$1,A:B,2,))*100)+100</f>
        <v/>
      </c>
      <c r="I168" s="86">
        <f>(((Table134567891011121314151617343[[#This Row],[FRA]]-VLOOKUP($U$1,A:C,3,))/VLOOKUP($U$1,A:C,3,))*100)+100</f>
        <v/>
      </c>
      <c r="J168" s="86">
        <f>(((Table134567891011121314151617343[[#This Row],[DEU]]-VLOOKUP($U$1,A:D,4,))/VLOOKUP($U$1,A:D,4,))*100)+100</f>
        <v/>
      </c>
      <c r="K168" s="86">
        <f>(((Table134567891011121314151617343[[#This Row],[ESP]]-VLOOKUP($U$1,A:E,5,))/VLOOKUP($U$1,A:E,5,))*100)+100</f>
        <v/>
      </c>
      <c r="L168" s="86">
        <f>(((Table134567891011121314151617343[[#This Row],[EA19]]-VLOOKUP($U$1,A:F,6,))/VLOOKUP($U$1,A:F,6,))*100)+100</f>
        <v/>
      </c>
      <c r="M168" s="86">
        <f>(((Table134567891011121314151617343[[#This Row],[GBR]]-VLOOKUP($U$1,A:G,7,))/VLOOKUP($U$1,A:G,7,))*100)+100</f>
        <v/>
      </c>
      <c r="N168" s="86">
        <f>VLOOKUP(A168,Database!$A:$AS,MATCH($N$1,Database!$A$1:$AS$1,0),FALSE)</f>
        <v/>
      </c>
      <c r="O168" s="86">
        <f>(((Table134567891011121314151617343[[#This Row],[USA]]-VLOOKUP($U$1,A:N,14,))/VLOOKUP($U$1,A:N,14,))*100)+100</f>
        <v/>
      </c>
      <c r="P168" s="86">
        <f>VLOOKUP(A168,Database!$A:$AS,MATCH($P$1,Database!$A$1:$AS$1,0),FALSE)</f>
        <v/>
      </c>
      <c r="Q168" s="86">
        <f>(((Table134567891011121314151617343[[#This Row],[JPN]]-VLOOKUP($U$1,A:Q,16,))/VLOOKUP($U$1,A:Q,16,))*100)+100</f>
        <v/>
      </c>
    </row>
    <row r="169" customFormat="1" s="94">
      <c r="A169" s="22" t="n">
        <v>37956</v>
      </c>
      <c r="B169" s="86">
        <f>VLOOKUP(A169,Database!$A:$AS,MATCH($B$1,Database!$A$1:$AS$1,0),FALSE)</f>
        <v/>
      </c>
      <c r="C169" s="86">
        <f>VLOOKUP(A169,Database!$A:$AS,MATCH($C$1,Database!$A$1:$AS$1,0),FALSE)</f>
        <v/>
      </c>
      <c r="D169" s="86">
        <f>VLOOKUP(A169,Database!$A:$AS,MATCH($D$1,Database!$A$1:$AS$1,0),FALSE)</f>
        <v/>
      </c>
      <c r="E169" s="86">
        <f>VLOOKUP(A169,Database!$A:$AS,MATCH($E$1,Database!$A$1:$AS$1,0),FALSE)</f>
        <v/>
      </c>
      <c r="F169" s="86">
        <f>VLOOKUP(A169,Database!$A:$AS,MATCH($F$1,Database!$A$1:$AS$1,0),FALSE)</f>
        <v/>
      </c>
      <c r="G169" s="86">
        <f>VLOOKUP(A169,Database!$A:$AS,MATCH($G$1,Database!$A$1:$AS$1,0),FALSE)</f>
        <v/>
      </c>
      <c r="H169" s="86">
        <f>(((Table134567891011121314151617343[[#This Row],[ITA]]-VLOOKUP($U$1,A:B,2,))/VLOOKUP($U$1,A:B,2,))*100)+100</f>
        <v/>
      </c>
      <c r="I169" s="86">
        <f>(((Table134567891011121314151617343[[#This Row],[FRA]]-VLOOKUP($U$1,A:C,3,))/VLOOKUP($U$1,A:C,3,))*100)+100</f>
        <v/>
      </c>
      <c r="J169" s="86">
        <f>(((Table134567891011121314151617343[[#This Row],[DEU]]-VLOOKUP($U$1,A:D,4,))/VLOOKUP($U$1,A:D,4,))*100)+100</f>
        <v/>
      </c>
      <c r="K169" s="86">
        <f>(((Table134567891011121314151617343[[#This Row],[ESP]]-VLOOKUP($U$1,A:E,5,))/VLOOKUP($U$1,A:E,5,))*100)+100</f>
        <v/>
      </c>
      <c r="L169" s="86">
        <f>(((Table134567891011121314151617343[[#This Row],[EA19]]-VLOOKUP($U$1,A:F,6,))/VLOOKUP($U$1,A:F,6,))*100)+100</f>
        <v/>
      </c>
      <c r="M169" s="86">
        <f>(((Table134567891011121314151617343[[#This Row],[GBR]]-VLOOKUP($U$1,A:G,7,))/VLOOKUP($U$1,A:G,7,))*100)+100</f>
        <v/>
      </c>
      <c r="N169" s="86">
        <f>VLOOKUP(A169,Database!$A:$AS,MATCH($N$1,Database!$A$1:$AS$1,0),FALSE)</f>
        <v/>
      </c>
      <c r="O169" s="86">
        <f>(((Table134567891011121314151617343[[#This Row],[USA]]-VLOOKUP($U$1,A:N,14,))/VLOOKUP($U$1,A:N,14,))*100)+100</f>
        <v/>
      </c>
      <c r="P169" s="86">
        <f>VLOOKUP(A169,Database!$A:$AS,MATCH($P$1,Database!$A$1:$AS$1,0),FALSE)</f>
        <v/>
      </c>
      <c r="Q169" s="86">
        <f>(((Table134567891011121314151617343[[#This Row],[JPN]]-VLOOKUP($U$1,A:Q,16,))/VLOOKUP($U$1,A:Q,16,))*100)+100</f>
        <v/>
      </c>
    </row>
    <row r="170" customFormat="1" s="94">
      <c r="A170" s="22" t="n">
        <v>37987</v>
      </c>
      <c r="B170" s="86">
        <f>VLOOKUP(A170,Database!$A:$AS,MATCH($B$1,Database!$A$1:$AS$1,0),FALSE)</f>
        <v/>
      </c>
      <c r="C170" s="86">
        <f>VLOOKUP(A170,Database!$A:$AS,MATCH($C$1,Database!$A$1:$AS$1,0),FALSE)</f>
        <v/>
      </c>
      <c r="D170" s="86">
        <f>VLOOKUP(A170,Database!$A:$AS,MATCH($D$1,Database!$A$1:$AS$1,0),FALSE)</f>
        <v/>
      </c>
      <c r="E170" s="86">
        <f>VLOOKUP(A170,Database!$A:$AS,MATCH($E$1,Database!$A$1:$AS$1,0),FALSE)</f>
        <v/>
      </c>
      <c r="F170" s="86">
        <f>VLOOKUP(A170,Database!$A:$AS,MATCH($F$1,Database!$A$1:$AS$1,0),FALSE)</f>
        <v/>
      </c>
      <c r="G170" s="86">
        <f>VLOOKUP(A170,Database!$A:$AS,MATCH($G$1,Database!$A$1:$AS$1,0),FALSE)</f>
        <v/>
      </c>
      <c r="H170" s="86">
        <f>(((Table134567891011121314151617343[[#This Row],[ITA]]-VLOOKUP($U$1,A:B,2,))/VLOOKUP($U$1,A:B,2,))*100)+100</f>
        <v/>
      </c>
      <c r="I170" s="86">
        <f>(((Table134567891011121314151617343[[#This Row],[FRA]]-VLOOKUP($U$1,A:C,3,))/VLOOKUP($U$1,A:C,3,))*100)+100</f>
        <v/>
      </c>
      <c r="J170" s="86">
        <f>(((Table134567891011121314151617343[[#This Row],[DEU]]-VLOOKUP($U$1,A:D,4,))/VLOOKUP($U$1,A:D,4,))*100)+100</f>
        <v/>
      </c>
      <c r="K170" s="86">
        <f>(((Table134567891011121314151617343[[#This Row],[ESP]]-VLOOKUP($U$1,A:E,5,))/VLOOKUP($U$1,A:E,5,))*100)+100</f>
        <v/>
      </c>
      <c r="L170" s="86">
        <f>(((Table134567891011121314151617343[[#This Row],[EA19]]-VLOOKUP($U$1,A:F,6,))/VLOOKUP($U$1,A:F,6,))*100)+100</f>
        <v/>
      </c>
      <c r="M170" s="86">
        <f>(((Table134567891011121314151617343[[#This Row],[GBR]]-VLOOKUP($U$1,A:G,7,))/VLOOKUP($U$1,A:G,7,))*100)+100</f>
        <v/>
      </c>
      <c r="N170" s="86">
        <f>VLOOKUP(A170,Database!$A:$AS,MATCH($N$1,Database!$A$1:$AS$1,0),FALSE)</f>
        <v/>
      </c>
      <c r="O170" s="86">
        <f>(((Table134567891011121314151617343[[#This Row],[USA]]-VLOOKUP($U$1,A:N,14,))/VLOOKUP($U$1,A:N,14,))*100)+100</f>
        <v/>
      </c>
      <c r="P170" s="86">
        <f>VLOOKUP(A170,Database!$A:$AS,MATCH($P$1,Database!$A$1:$AS$1,0),FALSE)</f>
        <v/>
      </c>
      <c r="Q170" s="86">
        <f>(((Table134567891011121314151617343[[#This Row],[JPN]]-VLOOKUP($U$1,A:Q,16,))/VLOOKUP($U$1,A:Q,16,))*100)+100</f>
        <v/>
      </c>
    </row>
    <row r="171" customFormat="1" s="94">
      <c r="A171" s="22" t="n">
        <v>38018</v>
      </c>
      <c r="B171" s="86">
        <f>VLOOKUP(A171,Database!$A:$AS,MATCH($B$1,Database!$A$1:$AS$1,0),FALSE)</f>
        <v/>
      </c>
      <c r="C171" s="86">
        <f>VLOOKUP(A171,Database!$A:$AS,MATCH($C$1,Database!$A$1:$AS$1,0),FALSE)</f>
        <v/>
      </c>
      <c r="D171" s="86">
        <f>VLOOKUP(A171,Database!$A:$AS,MATCH($D$1,Database!$A$1:$AS$1,0),FALSE)</f>
        <v/>
      </c>
      <c r="E171" s="86">
        <f>VLOOKUP(A171,Database!$A:$AS,MATCH($E$1,Database!$A$1:$AS$1,0),FALSE)</f>
        <v/>
      </c>
      <c r="F171" s="86">
        <f>VLOOKUP(A171,Database!$A:$AS,MATCH($F$1,Database!$A$1:$AS$1,0),FALSE)</f>
        <v/>
      </c>
      <c r="G171" s="86">
        <f>VLOOKUP(A171,Database!$A:$AS,MATCH($G$1,Database!$A$1:$AS$1,0),FALSE)</f>
        <v/>
      </c>
      <c r="H171" s="86">
        <f>(((Table134567891011121314151617343[[#This Row],[ITA]]-VLOOKUP($U$1,A:B,2,))/VLOOKUP($U$1,A:B,2,))*100)+100</f>
        <v/>
      </c>
      <c r="I171" s="86">
        <f>(((Table134567891011121314151617343[[#This Row],[FRA]]-VLOOKUP($U$1,A:C,3,))/VLOOKUP($U$1,A:C,3,))*100)+100</f>
        <v/>
      </c>
      <c r="J171" s="86">
        <f>(((Table134567891011121314151617343[[#This Row],[DEU]]-VLOOKUP($U$1,A:D,4,))/VLOOKUP($U$1,A:D,4,))*100)+100</f>
        <v/>
      </c>
      <c r="K171" s="86">
        <f>(((Table134567891011121314151617343[[#This Row],[ESP]]-VLOOKUP($U$1,A:E,5,))/VLOOKUP($U$1,A:E,5,))*100)+100</f>
        <v/>
      </c>
      <c r="L171" s="86">
        <f>(((Table134567891011121314151617343[[#This Row],[EA19]]-VLOOKUP($U$1,A:F,6,))/VLOOKUP($U$1,A:F,6,))*100)+100</f>
        <v/>
      </c>
      <c r="M171" s="86">
        <f>(((Table134567891011121314151617343[[#This Row],[GBR]]-VLOOKUP($U$1,A:G,7,))/VLOOKUP($U$1,A:G,7,))*100)+100</f>
        <v/>
      </c>
      <c r="N171" s="86">
        <f>VLOOKUP(A171,Database!$A:$AS,MATCH($N$1,Database!$A$1:$AS$1,0),FALSE)</f>
        <v/>
      </c>
      <c r="O171" s="86">
        <f>(((Table134567891011121314151617343[[#This Row],[USA]]-VLOOKUP($U$1,A:N,14,))/VLOOKUP($U$1,A:N,14,))*100)+100</f>
        <v/>
      </c>
      <c r="P171" s="86">
        <f>VLOOKUP(A171,Database!$A:$AS,MATCH($P$1,Database!$A$1:$AS$1,0),FALSE)</f>
        <v/>
      </c>
      <c r="Q171" s="86">
        <f>(((Table134567891011121314151617343[[#This Row],[JPN]]-VLOOKUP($U$1,A:Q,16,))/VLOOKUP($U$1,A:Q,16,))*100)+100</f>
        <v/>
      </c>
    </row>
    <row r="172" customFormat="1" s="94">
      <c r="A172" s="22" t="n">
        <v>38047</v>
      </c>
      <c r="B172" s="86">
        <f>VLOOKUP(A172,Database!$A:$AS,MATCH($B$1,Database!$A$1:$AS$1,0),FALSE)</f>
        <v/>
      </c>
      <c r="C172" s="86">
        <f>VLOOKUP(A172,Database!$A:$AS,MATCH($C$1,Database!$A$1:$AS$1,0),FALSE)</f>
        <v/>
      </c>
      <c r="D172" s="86">
        <f>VLOOKUP(A172,Database!$A:$AS,MATCH($D$1,Database!$A$1:$AS$1,0),FALSE)</f>
        <v/>
      </c>
      <c r="E172" s="86">
        <f>VLOOKUP(A172,Database!$A:$AS,MATCH($E$1,Database!$A$1:$AS$1,0),FALSE)</f>
        <v/>
      </c>
      <c r="F172" s="86">
        <f>VLOOKUP(A172,Database!$A:$AS,MATCH($F$1,Database!$A$1:$AS$1,0),FALSE)</f>
        <v/>
      </c>
      <c r="G172" s="86">
        <f>VLOOKUP(A172,Database!$A:$AS,MATCH($G$1,Database!$A$1:$AS$1,0),FALSE)</f>
        <v/>
      </c>
      <c r="H172" s="86">
        <f>(((Table134567891011121314151617343[[#This Row],[ITA]]-VLOOKUP($U$1,A:B,2,))/VLOOKUP($U$1,A:B,2,))*100)+100</f>
        <v/>
      </c>
      <c r="I172" s="86">
        <f>(((Table134567891011121314151617343[[#This Row],[FRA]]-VLOOKUP($U$1,A:C,3,))/VLOOKUP($U$1,A:C,3,))*100)+100</f>
        <v/>
      </c>
      <c r="J172" s="86">
        <f>(((Table134567891011121314151617343[[#This Row],[DEU]]-VLOOKUP($U$1,A:D,4,))/VLOOKUP($U$1,A:D,4,))*100)+100</f>
        <v/>
      </c>
      <c r="K172" s="86">
        <f>(((Table134567891011121314151617343[[#This Row],[ESP]]-VLOOKUP($U$1,A:E,5,))/VLOOKUP($U$1,A:E,5,))*100)+100</f>
        <v/>
      </c>
      <c r="L172" s="86">
        <f>(((Table134567891011121314151617343[[#This Row],[EA19]]-VLOOKUP($U$1,A:F,6,))/VLOOKUP($U$1,A:F,6,))*100)+100</f>
        <v/>
      </c>
      <c r="M172" s="86">
        <f>(((Table134567891011121314151617343[[#This Row],[GBR]]-VLOOKUP($U$1,A:G,7,))/VLOOKUP($U$1,A:G,7,))*100)+100</f>
        <v/>
      </c>
      <c r="N172" s="86">
        <f>VLOOKUP(A172,Database!$A:$AS,MATCH($N$1,Database!$A$1:$AS$1,0),FALSE)</f>
        <v/>
      </c>
      <c r="O172" s="86">
        <f>(((Table134567891011121314151617343[[#This Row],[USA]]-VLOOKUP($U$1,A:N,14,))/VLOOKUP($U$1,A:N,14,))*100)+100</f>
        <v/>
      </c>
      <c r="P172" s="86">
        <f>VLOOKUP(A172,Database!$A:$AS,MATCH($P$1,Database!$A$1:$AS$1,0),FALSE)</f>
        <v/>
      </c>
      <c r="Q172" s="86">
        <f>(((Table134567891011121314151617343[[#This Row],[JPN]]-VLOOKUP($U$1,A:Q,16,))/VLOOKUP($U$1,A:Q,16,))*100)+100</f>
        <v/>
      </c>
    </row>
    <row r="173" customFormat="1" s="94">
      <c r="A173" s="22" t="n">
        <v>38078</v>
      </c>
      <c r="B173" s="86">
        <f>VLOOKUP(A173,Database!$A:$AS,MATCH($B$1,Database!$A$1:$AS$1,0),FALSE)</f>
        <v/>
      </c>
      <c r="C173" s="86">
        <f>VLOOKUP(A173,Database!$A:$AS,MATCH($C$1,Database!$A$1:$AS$1,0),FALSE)</f>
        <v/>
      </c>
      <c r="D173" s="86">
        <f>VLOOKUP(A173,Database!$A:$AS,MATCH($D$1,Database!$A$1:$AS$1,0),FALSE)</f>
        <v/>
      </c>
      <c r="E173" s="86">
        <f>VLOOKUP(A173,Database!$A:$AS,MATCH($E$1,Database!$A$1:$AS$1,0),FALSE)</f>
        <v/>
      </c>
      <c r="F173" s="86">
        <f>VLOOKUP(A173,Database!$A:$AS,MATCH($F$1,Database!$A$1:$AS$1,0),FALSE)</f>
        <v/>
      </c>
      <c r="G173" s="86">
        <f>VLOOKUP(A173,Database!$A:$AS,MATCH($G$1,Database!$A$1:$AS$1,0),FALSE)</f>
        <v/>
      </c>
      <c r="H173" s="86">
        <f>(((Table134567891011121314151617343[[#This Row],[ITA]]-VLOOKUP($U$1,A:B,2,))/VLOOKUP($U$1,A:B,2,))*100)+100</f>
        <v/>
      </c>
      <c r="I173" s="86">
        <f>(((Table134567891011121314151617343[[#This Row],[FRA]]-VLOOKUP($U$1,A:C,3,))/VLOOKUP($U$1,A:C,3,))*100)+100</f>
        <v/>
      </c>
      <c r="J173" s="86">
        <f>(((Table134567891011121314151617343[[#This Row],[DEU]]-VLOOKUP($U$1,A:D,4,))/VLOOKUP($U$1,A:D,4,))*100)+100</f>
        <v/>
      </c>
      <c r="K173" s="86">
        <f>(((Table134567891011121314151617343[[#This Row],[ESP]]-VLOOKUP($U$1,A:E,5,))/VLOOKUP($U$1,A:E,5,))*100)+100</f>
        <v/>
      </c>
      <c r="L173" s="86">
        <f>(((Table134567891011121314151617343[[#This Row],[EA19]]-VLOOKUP($U$1,A:F,6,))/VLOOKUP($U$1,A:F,6,))*100)+100</f>
        <v/>
      </c>
      <c r="M173" s="86">
        <f>(((Table134567891011121314151617343[[#This Row],[GBR]]-VLOOKUP($U$1,A:G,7,))/VLOOKUP($U$1,A:G,7,))*100)+100</f>
        <v/>
      </c>
      <c r="N173" s="86">
        <f>VLOOKUP(A173,Database!$A:$AS,MATCH($N$1,Database!$A$1:$AS$1,0),FALSE)</f>
        <v/>
      </c>
      <c r="O173" s="86">
        <f>(((Table134567891011121314151617343[[#This Row],[USA]]-VLOOKUP($U$1,A:N,14,))/VLOOKUP($U$1,A:N,14,))*100)+100</f>
        <v/>
      </c>
      <c r="P173" s="86">
        <f>VLOOKUP(A173,Database!$A:$AS,MATCH($P$1,Database!$A$1:$AS$1,0),FALSE)</f>
        <v/>
      </c>
      <c r="Q173" s="86">
        <f>(((Table134567891011121314151617343[[#This Row],[JPN]]-VLOOKUP($U$1,A:Q,16,))/VLOOKUP($U$1,A:Q,16,))*100)+100</f>
        <v/>
      </c>
    </row>
    <row r="174" customFormat="1" s="94">
      <c r="A174" s="22" t="n">
        <v>38108</v>
      </c>
      <c r="B174" s="86">
        <f>VLOOKUP(A174,Database!$A:$AS,MATCH($B$1,Database!$A$1:$AS$1,0),FALSE)</f>
        <v/>
      </c>
      <c r="C174" s="86">
        <f>VLOOKUP(A174,Database!$A:$AS,MATCH($C$1,Database!$A$1:$AS$1,0),FALSE)</f>
        <v/>
      </c>
      <c r="D174" s="86">
        <f>VLOOKUP(A174,Database!$A:$AS,MATCH($D$1,Database!$A$1:$AS$1,0),FALSE)</f>
        <v/>
      </c>
      <c r="E174" s="86">
        <f>VLOOKUP(A174,Database!$A:$AS,MATCH($E$1,Database!$A$1:$AS$1,0),FALSE)</f>
        <v/>
      </c>
      <c r="F174" s="86">
        <f>VLOOKUP(A174,Database!$A:$AS,MATCH($F$1,Database!$A$1:$AS$1,0),FALSE)</f>
        <v/>
      </c>
      <c r="G174" s="86">
        <f>VLOOKUP(A174,Database!$A:$AS,MATCH($G$1,Database!$A$1:$AS$1,0),FALSE)</f>
        <v/>
      </c>
      <c r="H174" s="86">
        <f>(((Table134567891011121314151617343[[#This Row],[ITA]]-VLOOKUP($U$1,A:B,2,))/VLOOKUP($U$1,A:B,2,))*100)+100</f>
        <v/>
      </c>
      <c r="I174" s="86">
        <f>(((Table134567891011121314151617343[[#This Row],[FRA]]-VLOOKUP($U$1,A:C,3,))/VLOOKUP($U$1,A:C,3,))*100)+100</f>
        <v/>
      </c>
      <c r="J174" s="86">
        <f>(((Table134567891011121314151617343[[#This Row],[DEU]]-VLOOKUP($U$1,A:D,4,))/VLOOKUP($U$1,A:D,4,))*100)+100</f>
        <v/>
      </c>
      <c r="K174" s="86">
        <f>(((Table134567891011121314151617343[[#This Row],[ESP]]-VLOOKUP($U$1,A:E,5,))/VLOOKUP($U$1,A:E,5,))*100)+100</f>
        <v/>
      </c>
      <c r="L174" s="86">
        <f>(((Table134567891011121314151617343[[#This Row],[EA19]]-VLOOKUP($U$1,A:F,6,))/VLOOKUP($U$1,A:F,6,))*100)+100</f>
        <v/>
      </c>
      <c r="M174" s="86">
        <f>(((Table134567891011121314151617343[[#This Row],[GBR]]-VLOOKUP($U$1,A:G,7,))/VLOOKUP($U$1,A:G,7,))*100)+100</f>
        <v/>
      </c>
      <c r="N174" s="86">
        <f>VLOOKUP(A174,Database!$A:$AS,MATCH($N$1,Database!$A$1:$AS$1,0),FALSE)</f>
        <v/>
      </c>
      <c r="O174" s="86">
        <f>(((Table134567891011121314151617343[[#This Row],[USA]]-VLOOKUP($U$1,A:N,14,))/VLOOKUP($U$1,A:N,14,))*100)+100</f>
        <v/>
      </c>
      <c r="P174" s="86">
        <f>VLOOKUP(A174,Database!$A:$AS,MATCH($P$1,Database!$A$1:$AS$1,0),FALSE)</f>
        <v/>
      </c>
      <c r="Q174" s="86">
        <f>(((Table134567891011121314151617343[[#This Row],[JPN]]-VLOOKUP($U$1,A:Q,16,))/VLOOKUP($U$1,A:Q,16,))*100)+100</f>
        <v/>
      </c>
    </row>
    <row r="175" customFormat="1" s="94">
      <c r="A175" s="22" t="n">
        <v>38139</v>
      </c>
      <c r="B175" s="86">
        <f>VLOOKUP(A175,Database!$A:$AS,MATCH($B$1,Database!$A$1:$AS$1,0),FALSE)</f>
        <v/>
      </c>
      <c r="C175" s="86">
        <f>VLOOKUP(A175,Database!$A:$AS,MATCH($C$1,Database!$A$1:$AS$1,0),FALSE)</f>
        <v/>
      </c>
      <c r="D175" s="86">
        <f>VLOOKUP(A175,Database!$A:$AS,MATCH($D$1,Database!$A$1:$AS$1,0),FALSE)</f>
        <v/>
      </c>
      <c r="E175" s="86">
        <f>VLOOKUP(A175,Database!$A:$AS,MATCH($E$1,Database!$A$1:$AS$1,0),FALSE)</f>
        <v/>
      </c>
      <c r="F175" s="86">
        <f>VLOOKUP(A175,Database!$A:$AS,MATCH($F$1,Database!$A$1:$AS$1,0),FALSE)</f>
        <v/>
      </c>
      <c r="G175" s="86">
        <f>VLOOKUP(A175,Database!$A:$AS,MATCH($G$1,Database!$A$1:$AS$1,0),FALSE)</f>
        <v/>
      </c>
      <c r="H175" s="86">
        <f>(((Table134567891011121314151617343[[#This Row],[ITA]]-VLOOKUP($U$1,A:B,2,))/VLOOKUP($U$1,A:B,2,))*100)+100</f>
        <v/>
      </c>
      <c r="I175" s="86">
        <f>(((Table134567891011121314151617343[[#This Row],[FRA]]-VLOOKUP($U$1,A:C,3,))/VLOOKUP($U$1,A:C,3,))*100)+100</f>
        <v/>
      </c>
      <c r="J175" s="86">
        <f>(((Table134567891011121314151617343[[#This Row],[DEU]]-VLOOKUP($U$1,A:D,4,))/VLOOKUP($U$1,A:D,4,))*100)+100</f>
        <v/>
      </c>
      <c r="K175" s="86">
        <f>(((Table134567891011121314151617343[[#This Row],[ESP]]-VLOOKUP($U$1,A:E,5,))/VLOOKUP($U$1,A:E,5,))*100)+100</f>
        <v/>
      </c>
      <c r="L175" s="86">
        <f>(((Table134567891011121314151617343[[#This Row],[EA19]]-VLOOKUP($U$1,A:F,6,))/VLOOKUP($U$1,A:F,6,))*100)+100</f>
        <v/>
      </c>
      <c r="M175" s="86">
        <f>(((Table134567891011121314151617343[[#This Row],[GBR]]-VLOOKUP($U$1,A:G,7,))/VLOOKUP($U$1,A:G,7,))*100)+100</f>
        <v/>
      </c>
      <c r="N175" s="86">
        <f>VLOOKUP(A175,Database!$A:$AS,MATCH($N$1,Database!$A$1:$AS$1,0),FALSE)</f>
        <v/>
      </c>
      <c r="O175" s="86">
        <f>(((Table134567891011121314151617343[[#This Row],[USA]]-VLOOKUP($U$1,A:N,14,))/VLOOKUP($U$1,A:N,14,))*100)+100</f>
        <v/>
      </c>
      <c r="P175" s="86">
        <f>VLOOKUP(A175,Database!$A:$AS,MATCH($P$1,Database!$A$1:$AS$1,0),FALSE)</f>
        <v/>
      </c>
      <c r="Q175" s="86">
        <f>(((Table134567891011121314151617343[[#This Row],[JPN]]-VLOOKUP($U$1,A:Q,16,))/VLOOKUP($U$1,A:Q,16,))*100)+100</f>
        <v/>
      </c>
    </row>
    <row r="176" customFormat="1" s="94">
      <c r="A176" s="22" t="n">
        <v>38169</v>
      </c>
      <c r="B176" s="86">
        <f>VLOOKUP(A176,Database!$A:$AS,MATCH($B$1,Database!$A$1:$AS$1,0),FALSE)</f>
        <v/>
      </c>
      <c r="C176" s="86">
        <f>VLOOKUP(A176,Database!$A:$AS,MATCH($C$1,Database!$A$1:$AS$1,0),FALSE)</f>
        <v/>
      </c>
      <c r="D176" s="86">
        <f>VLOOKUP(A176,Database!$A:$AS,MATCH($D$1,Database!$A$1:$AS$1,0),FALSE)</f>
        <v/>
      </c>
      <c r="E176" s="86">
        <f>VLOOKUP(A176,Database!$A:$AS,MATCH($E$1,Database!$A$1:$AS$1,0),FALSE)</f>
        <v/>
      </c>
      <c r="F176" s="86">
        <f>VLOOKUP(A176,Database!$A:$AS,MATCH($F$1,Database!$A$1:$AS$1,0),FALSE)</f>
        <v/>
      </c>
      <c r="G176" s="86">
        <f>VLOOKUP(A176,Database!$A:$AS,MATCH($G$1,Database!$A$1:$AS$1,0),FALSE)</f>
        <v/>
      </c>
      <c r="H176" s="86">
        <f>(((Table134567891011121314151617343[[#This Row],[ITA]]-VLOOKUP($U$1,A:B,2,))/VLOOKUP($U$1,A:B,2,))*100)+100</f>
        <v/>
      </c>
      <c r="I176" s="86">
        <f>(((Table134567891011121314151617343[[#This Row],[FRA]]-VLOOKUP($U$1,A:C,3,))/VLOOKUP($U$1,A:C,3,))*100)+100</f>
        <v/>
      </c>
      <c r="J176" s="86">
        <f>(((Table134567891011121314151617343[[#This Row],[DEU]]-VLOOKUP($U$1,A:D,4,))/VLOOKUP($U$1,A:D,4,))*100)+100</f>
        <v/>
      </c>
      <c r="K176" s="86">
        <f>(((Table134567891011121314151617343[[#This Row],[ESP]]-VLOOKUP($U$1,A:E,5,))/VLOOKUP($U$1,A:E,5,))*100)+100</f>
        <v/>
      </c>
      <c r="L176" s="86">
        <f>(((Table134567891011121314151617343[[#This Row],[EA19]]-VLOOKUP($U$1,A:F,6,))/VLOOKUP($U$1,A:F,6,))*100)+100</f>
        <v/>
      </c>
      <c r="M176" s="86">
        <f>(((Table134567891011121314151617343[[#This Row],[GBR]]-VLOOKUP($U$1,A:G,7,))/VLOOKUP($U$1,A:G,7,))*100)+100</f>
        <v/>
      </c>
      <c r="N176" s="86">
        <f>VLOOKUP(A176,Database!$A:$AS,MATCH($N$1,Database!$A$1:$AS$1,0),FALSE)</f>
        <v/>
      </c>
      <c r="O176" s="86">
        <f>(((Table134567891011121314151617343[[#This Row],[USA]]-VLOOKUP($U$1,A:N,14,))/VLOOKUP($U$1,A:N,14,))*100)+100</f>
        <v/>
      </c>
      <c r="P176" s="86">
        <f>VLOOKUP(A176,Database!$A:$AS,MATCH($P$1,Database!$A$1:$AS$1,0),FALSE)</f>
        <v/>
      </c>
      <c r="Q176" s="86">
        <f>(((Table134567891011121314151617343[[#This Row],[JPN]]-VLOOKUP($U$1,A:Q,16,))/VLOOKUP($U$1,A:Q,16,))*100)+100</f>
        <v/>
      </c>
    </row>
    <row r="177" customFormat="1" s="94">
      <c r="A177" s="22" t="n">
        <v>38200</v>
      </c>
      <c r="B177" s="86">
        <f>VLOOKUP(A177,Database!$A:$AS,MATCH($B$1,Database!$A$1:$AS$1,0),FALSE)</f>
        <v/>
      </c>
      <c r="C177" s="86">
        <f>VLOOKUP(A177,Database!$A:$AS,MATCH($C$1,Database!$A$1:$AS$1,0),FALSE)</f>
        <v/>
      </c>
      <c r="D177" s="86">
        <f>VLOOKUP(A177,Database!$A:$AS,MATCH($D$1,Database!$A$1:$AS$1,0),FALSE)</f>
        <v/>
      </c>
      <c r="E177" s="86">
        <f>VLOOKUP(A177,Database!$A:$AS,MATCH($E$1,Database!$A$1:$AS$1,0),FALSE)</f>
        <v/>
      </c>
      <c r="F177" s="86">
        <f>VLOOKUP(A177,Database!$A:$AS,MATCH($F$1,Database!$A$1:$AS$1,0),FALSE)</f>
        <v/>
      </c>
      <c r="G177" s="86">
        <f>VLOOKUP(A177,Database!$A:$AS,MATCH($G$1,Database!$A$1:$AS$1,0),FALSE)</f>
        <v/>
      </c>
      <c r="H177" s="86">
        <f>(((Table134567891011121314151617343[[#This Row],[ITA]]-VLOOKUP($U$1,A:B,2,))/VLOOKUP($U$1,A:B,2,))*100)+100</f>
        <v/>
      </c>
      <c r="I177" s="86">
        <f>(((Table134567891011121314151617343[[#This Row],[FRA]]-VLOOKUP($U$1,A:C,3,))/VLOOKUP($U$1,A:C,3,))*100)+100</f>
        <v/>
      </c>
      <c r="J177" s="86">
        <f>(((Table134567891011121314151617343[[#This Row],[DEU]]-VLOOKUP($U$1,A:D,4,))/VLOOKUP($U$1,A:D,4,))*100)+100</f>
        <v/>
      </c>
      <c r="K177" s="86">
        <f>(((Table134567891011121314151617343[[#This Row],[ESP]]-VLOOKUP($U$1,A:E,5,))/VLOOKUP($U$1,A:E,5,))*100)+100</f>
        <v/>
      </c>
      <c r="L177" s="86">
        <f>(((Table134567891011121314151617343[[#This Row],[EA19]]-VLOOKUP($U$1,A:F,6,))/VLOOKUP($U$1,A:F,6,))*100)+100</f>
        <v/>
      </c>
      <c r="M177" s="86">
        <f>(((Table134567891011121314151617343[[#This Row],[GBR]]-VLOOKUP($U$1,A:G,7,))/VLOOKUP($U$1,A:G,7,))*100)+100</f>
        <v/>
      </c>
      <c r="N177" s="86">
        <f>VLOOKUP(A177,Database!$A:$AS,MATCH($N$1,Database!$A$1:$AS$1,0),FALSE)</f>
        <v/>
      </c>
      <c r="O177" s="86">
        <f>(((Table134567891011121314151617343[[#This Row],[USA]]-VLOOKUP($U$1,A:N,14,))/VLOOKUP($U$1,A:N,14,))*100)+100</f>
        <v/>
      </c>
      <c r="P177" s="86">
        <f>VLOOKUP(A177,Database!$A:$AS,MATCH($P$1,Database!$A$1:$AS$1,0),FALSE)</f>
        <v/>
      </c>
      <c r="Q177" s="86">
        <f>(((Table134567891011121314151617343[[#This Row],[JPN]]-VLOOKUP($U$1,A:Q,16,))/VLOOKUP($U$1,A:Q,16,))*100)+100</f>
        <v/>
      </c>
    </row>
    <row r="178" customFormat="1" s="94">
      <c r="A178" s="22" t="n">
        <v>38231</v>
      </c>
      <c r="B178" s="86">
        <f>VLOOKUP(A178,Database!$A:$AS,MATCH($B$1,Database!$A$1:$AS$1,0),FALSE)</f>
        <v/>
      </c>
      <c r="C178" s="86">
        <f>VLOOKUP(A178,Database!$A:$AS,MATCH($C$1,Database!$A$1:$AS$1,0),FALSE)</f>
        <v/>
      </c>
      <c r="D178" s="86">
        <f>VLOOKUP(A178,Database!$A:$AS,MATCH($D$1,Database!$A$1:$AS$1,0),FALSE)</f>
        <v/>
      </c>
      <c r="E178" s="86">
        <f>VLOOKUP(A178,Database!$A:$AS,MATCH($E$1,Database!$A$1:$AS$1,0),FALSE)</f>
        <v/>
      </c>
      <c r="F178" s="86">
        <f>VLOOKUP(A178,Database!$A:$AS,MATCH($F$1,Database!$A$1:$AS$1,0),FALSE)</f>
        <v/>
      </c>
      <c r="G178" s="86">
        <f>VLOOKUP(A178,Database!$A:$AS,MATCH($G$1,Database!$A$1:$AS$1,0),FALSE)</f>
        <v/>
      </c>
      <c r="H178" s="86">
        <f>(((Table134567891011121314151617343[[#This Row],[ITA]]-VLOOKUP($U$1,A:B,2,))/VLOOKUP($U$1,A:B,2,))*100)+100</f>
        <v/>
      </c>
      <c r="I178" s="86">
        <f>(((Table134567891011121314151617343[[#This Row],[FRA]]-VLOOKUP($U$1,A:C,3,))/VLOOKUP($U$1,A:C,3,))*100)+100</f>
        <v/>
      </c>
      <c r="J178" s="86">
        <f>(((Table134567891011121314151617343[[#This Row],[DEU]]-VLOOKUP($U$1,A:D,4,))/VLOOKUP($U$1,A:D,4,))*100)+100</f>
        <v/>
      </c>
      <c r="K178" s="86">
        <f>(((Table134567891011121314151617343[[#This Row],[ESP]]-VLOOKUP($U$1,A:E,5,))/VLOOKUP($U$1,A:E,5,))*100)+100</f>
        <v/>
      </c>
      <c r="L178" s="86">
        <f>(((Table134567891011121314151617343[[#This Row],[EA19]]-VLOOKUP($U$1,A:F,6,))/VLOOKUP($U$1,A:F,6,))*100)+100</f>
        <v/>
      </c>
      <c r="M178" s="86">
        <f>(((Table134567891011121314151617343[[#This Row],[GBR]]-VLOOKUP($U$1,A:G,7,))/VLOOKUP($U$1,A:G,7,))*100)+100</f>
        <v/>
      </c>
      <c r="N178" s="86">
        <f>VLOOKUP(A178,Database!$A:$AS,MATCH($N$1,Database!$A$1:$AS$1,0),FALSE)</f>
        <v/>
      </c>
      <c r="O178" s="86">
        <f>(((Table134567891011121314151617343[[#This Row],[USA]]-VLOOKUP($U$1,A:N,14,))/VLOOKUP($U$1,A:N,14,))*100)+100</f>
        <v/>
      </c>
      <c r="P178" s="86">
        <f>VLOOKUP(A178,Database!$A:$AS,MATCH($P$1,Database!$A$1:$AS$1,0),FALSE)</f>
        <v/>
      </c>
      <c r="Q178" s="86">
        <f>(((Table134567891011121314151617343[[#This Row],[JPN]]-VLOOKUP($U$1,A:Q,16,))/VLOOKUP($U$1,A:Q,16,))*100)+100</f>
        <v/>
      </c>
    </row>
    <row r="179" customFormat="1" s="94">
      <c r="A179" s="22" t="n">
        <v>38261</v>
      </c>
      <c r="B179" s="86">
        <f>VLOOKUP(A179,Database!$A:$AS,MATCH($B$1,Database!$A$1:$AS$1,0),FALSE)</f>
        <v/>
      </c>
      <c r="C179" s="86">
        <f>VLOOKUP(A179,Database!$A:$AS,MATCH($C$1,Database!$A$1:$AS$1,0),FALSE)</f>
        <v/>
      </c>
      <c r="D179" s="86">
        <f>VLOOKUP(A179,Database!$A:$AS,MATCH($D$1,Database!$A$1:$AS$1,0),FALSE)</f>
        <v/>
      </c>
      <c r="E179" s="86">
        <f>VLOOKUP(A179,Database!$A:$AS,MATCH($E$1,Database!$A$1:$AS$1,0),FALSE)</f>
        <v/>
      </c>
      <c r="F179" s="86">
        <f>VLOOKUP(A179,Database!$A:$AS,MATCH($F$1,Database!$A$1:$AS$1,0),FALSE)</f>
        <v/>
      </c>
      <c r="G179" s="86">
        <f>VLOOKUP(A179,Database!$A:$AS,MATCH($G$1,Database!$A$1:$AS$1,0),FALSE)</f>
        <v/>
      </c>
      <c r="H179" s="86">
        <f>(((Table134567891011121314151617343[[#This Row],[ITA]]-VLOOKUP($U$1,A:B,2,))/VLOOKUP($U$1,A:B,2,))*100)+100</f>
        <v/>
      </c>
      <c r="I179" s="86">
        <f>(((Table134567891011121314151617343[[#This Row],[FRA]]-VLOOKUP($U$1,A:C,3,))/VLOOKUP($U$1,A:C,3,))*100)+100</f>
        <v/>
      </c>
      <c r="J179" s="86">
        <f>(((Table134567891011121314151617343[[#This Row],[DEU]]-VLOOKUP($U$1,A:D,4,))/VLOOKUP($U$1,A:D,4,))*100)+100</f>
        <v/>
      </c>
      <c r="K179" s="86">
        <f>(((Table134567891011121314151617343[[#This Row],[ESP]]-VLOOKUP($U$1,A:E,5,))/VLOOKUP($U$1,A:E,5,))*100)+100</f>
        <v/>
      </c>
      <c r="L179" s="86">
        <f>(((Table134567891011121314151617343[[#This Row],[EA19]]-VLOOKUP($U$1,A:F,6,))/VLOOKUP($U$1,A:F,6,))*100)+100</f>
        <v/>
      </c>
      <c r="M179" s="86">
        <f>(((Table134567891011121314151617343[[#This Row],[GBR]]-VLOOKUP($U$1,A:G,7,))/VLOOKUP($U$1,A:G,7,))*100)+100</f>
        <v/>
      </c>
      <c r="N179" s="86">
        <f>VLOOKUP(A179,Database!$A:$AS,MATCH($N$1,Database!$A$1:$AS$1,0),FALSE)</f>
        <v/>
      </c>
      <c r="O179" s="86">
        <f>(((Table134567891011121314151617343[[#This Row],[USA]]-VLOOKUP($U$1,A:N,14,))/VLOOKUP($U$1,A:N,14,))*100)+100</f>
        <v/>
      </c>
      <c r="P179" s="86">
        <f>VLOOKUP(A179,Database!$A:$AS,MATCH($P$1,Database!$A$1:$AS$1,0),FALSE)</f>
        <v/>
      </c>
      <c r="Q179" s="86">
        <f>(((Table134567891011121314151617343[[#This Row],[JPN]]-VLOOKUP($U$1,A:Q,16,))/VLOOKUP($U$1,A:Q,16,))*100)+100</f>
        <v/>
      </c>
    </row>
    <row r="180" customFormat="1" s="94">
      <c r="A180" s="22" t="n">
        <v>38292</v>
      </c>
      <c r="B180" s="86">
        <f>VLOOKUP(A180,Database!$A:$AS,MATCH($B$1,Database!$A$1:$AS$1,0),FALSE)</f>
        <v/>
      </c>
      <c r="C180" s="86">
        <f>VLOOKUP(A180,Database!$A:$AS,MATCH($C$1,Database!$A$1:$AS$1,0),FALSE)</f>
        <v/>
      </c>
      <c r="D180" s="86">
        <f>VLOOKUP(A180,Database!$A:$AS,MATCH($D$1,Database!$A$1:$AS$1,0),FALSE)</f>
        <v/>
      </c>
      <c r="E180" s="86">
        <f>VLOOKUP(A180,Database!$A:$AS,MATCH($E$1,Database!$A$1:$AS$1,0),FALSE)</f>
        <v/>
      </c>
      <c r="F180" s="86">
        <f>VLOOKUP(A180,Database!$A:$AS,MATCH($F$1,Database!$A$1:$AS$1,0),FALSE)</f>
        <v/>
      </c>
      <c r="G180" s="86">
        <f>VLOOKUP(A180,Database!$A:$AS,MATCH($G$1,Database!$A$1:$AS$1,0),FALSE)</f>
        <v/>
      </c>
      <c r="H180" s="86">
        <f>(((Table134567891011121314151617343[[#This Row],[ITA]]-VLOOKUP($U$1,A:B,2,))/VLOOKUP($U$1,A:B,2,))*100)+100</f>
        <v/>
      </c>
      <c r="I180" s="86">
        <f>(((Table134567891011121314151617343[[#This Row],[FRA]]-VLOOKUP($U$1,A:C,3,))/VLOOKUP($U$1,A:C,3,))*100)+100</f>
        <v/>
      </c>
      <c r="J180" s="86">
        <f>(((Table134567891011121314151617343[[#This Row],[DEU]]-VLOOKUP($U$1,A:D,4,))/VLOOKUP($U$1,A:D,4,))*100)+100</f>
        <v/>
      </c>
      <c r="K180" s="86">
        <f>(((Table134567891011121314151617343[[#This Row],[ESP]]-VLOOKUP($U$1,A:E,5,))/VLOOKUP($U$1,A:E,5,))*100)+100</f>
        <v/>
      </c>
      <c r="L180" s="86">
        <f>(((Table134567891011121314151617343[[#This Row],[EA19]]-VLOOKUP($U$1,A:F,6,))/VLOOKUP($U$1,A:F,6,))*100)+100</f>
        <v/>
      </c>
      <c r="M180" s="86">
        <f>(((Table134567891011121314151617343[[#This Row],[GBR]]-VLOOKUP($U$1,A:G,7,))/VLOOKUP($U$1,A:G,7,))*100)+100</f>
        <v/>
      </c>
      <c r="N180" s="86">
        <f>VLOOKUP(A180,Database!$A:$AS,MATCH($N$1,Database!$A$1:$AS$1,0),FALSE)</f>
        <v/>
      </c>
      <c r="O180" s="86">
        <f>(((Table134567891011121314151617343[[#This Row],[USA]]-VLOOKUP($U$1,A:N,14,))/VLOOKUP($U$1,A:N,14,))*100)+100</f>
        <v/>
      </c>
      <c r="P180" s="86">
        <f>VLOOKUP(A180,Database!$A:$AS,MATCH($P$1,Database!$A$1:$AS$1,0),FALSE)</f>
        <v/>
      </c>
      <c r="Q180" s="86">
        <f>(((Table134567891011121314151617343[[#This Row],[JPN]]-VLOOKUP($U$1,A:Q,16,))/VLOOKUP($U$1,A:Q,16,))*100)+100</f>
        <v/>
      </c>
    </row>
    <row r="181" customFormat="1" s="94">
      <c r="A181" s="22" t="n">
        <v>38322</v>
      </c>
      <c r="B181" s="86">
        <f>VLOOKUP(A181,Database!$A:$AS,MATCH($B$1,Database!$A$1:$AS$1,0),FALSE)</f>
        <v/>
      </c>
      <c r="C181" s="86">
        <f>VLOOKUP(A181,Database!$A:$AS,MATCH($C$1,Database!$A$1:$AS$1,0),FALSE)</f>
        <v/>
      </c>
      <c r="D181" s="86">
        <f>VLOOKUP(A181,Database!$A:$AS,MATCH($D$1,Database!$A$1:$AS$1,0),FALSE)</f>
        <v/>
      </c>
      <c r="E181" s="86">
        <f>VLOOKUP(A181,Database!$A:$AS,MATCH($E$1,Database!$A$1:$AS$1,0),FALSE)</f>
        <v/>
      </c>
      <c r="F181" s="86">
        <f>VLOOKUP(A181,Database!$A:$AS,MATCH($F$1,Database!$A$1:$AS$1,0),FALSE)</f>
        <v/>
      </c>
      <c r="G181" s="86">
        <f>VLOOKUP(A181,Database!$A:$AS,MATCH($G$1,Database!$A$1:$AS$1,0),FALSE)</f>
        <v/>
      </c>
      <c r="H181" s="86">
        <f>(((Table134567891011121314151617343[[#This Row],[ITA]]-VLOOKUP($U$1,A:B,2,))/VLOOKUP($U$1,A:B,2,))*100)+100</f>
        <v/>
      </c>
      <c r="I181" s="86">
        <f>(((Table134567891011121314151617343[[#This Row],[FRA]]-VLOOKUP($U$1,A:C,3,))/VLOOKUP($U$1,A:C,3,))*100)+100</f>
        <v/>
      </c>
      <c r="J181" s="86">
        <f>(((Table134567891011121314151617343[[#This Row],[DEU]]-VLOOKUP($U$1,A:D,4,))/VLOOKUP($U$1,A:D,4,))*100)+100</f>
        <v/>
      </c>
      <c r="K181" s="86">
        <f>(((Table134567891011121314151617343[[#This Row],[ESP]]-VLOOKUP($U$1,A:E,5,))/VLOOKUP($U$1,A:E,5,))*100)+100</f>
        <v/>
      </c>
      <c r="L181" s="86">
        <f>(((Table134567891011121314151617343[[#This Row],[EA19]]-VLOOKUP($U$1,A:F,6,))/VLOOKUP($U$1,A:F,6,))*100)+100</f>
        <v/>
      </c>
      <c r="M181" s="86">
        <f>(((Table134567891011121314151617343[[#This Row],[GBR]]-VLOOKUP($U$1,A:G,7,))/VLOOKUP($U$1,A:G,7,))*100)+100</f>
        <v/>
      </c>
      <c r="N181" s="86">
        <f>VLOOKUP(A181,Database!$A:$AS,MATCH($N$1,Database!$A$1:$AS$1,0),FALSE)</f>
        <v/>
      </c>
      <c r="O181" s="86">
        <f>(((Table134567891011121314151617343[[#This Row],[USA]]-VLOOKUP($U$1,A:N,14,))/VLOOKUP($U$1,A:N,14,))*100)+100</f>
        <v/>
      </c>
      <c r="P181" s="86">
        <f>VLOOKUP(A181,Database!$A:$AS,MATCH($P$1,Database!$A$1:$AS$1,0),FALSE)</f>
        <v/>
      </c>
      <c r="Q181" s="86">
        <f>(((Table134567891011121314151617343[[#This Row],[JPN]]-VLOOKUP($U$1,A:Q,16,))/VLOOKUP($U$1,A:Q,16,))*100)+100</f>
        <v/>
      </c>
    </row>
    <row r="182" customFormat="1" s="94">
      <c r="A182" s="22" t="n">
        <v>38353</v>
      </c>
      <c r="B182" s="86">
        <f>VLOOKUP(A182,Database!$A:$AS,MATCH($B$1,Database!$A$1:$AS$1,0),FALSE)</f>
        <v/>
      </c>
      <c r="C182" s="86">
        <f>VLOOKUP(A182,Database!$A:$AS,MATCH($C$1,Database!$A$1:$AS$1,0),FALSE)</f>
        <v/>
      </c>
      <c r="D182" s="86">
        <f>VLOOKUP(A182,Database!$A:$AS,MATCH($D$1,Database!$A$1:$AS$1,0),FALSE)</f>
        <v/>
      </c>
      <c r="E182" s="86">
        <f>VLOOKUP(A182,Database!$A:$AS,MATCH($E$1,Database!$A$1:$AS$1,0),FALSE)</f>
        <v/>
      </c>
      <c r="F182" s="86">
        <f>VLOOKUP(A182,Database!$A:$AS,MATCH($F$1,Database!$A$1:$AS$1,0),FALSE)</f>
        <v/>
      </c>
      <c r="G182" s="86">
        <f>VLOOKUP(A182,Database!$A:$AS,MATCH($G$1,Database!$A$1:$AS$1,0),FALSE)</f>
        <v/>
      </c>
      <c r="H182" s="86">
        <f>(((Table134567891011121314151617343[[#This Row],[ITA]]-VLOOKUP($U$1,A:B,2,))/VLOOKUP($U$1,A:B,2,))*100)+100</f>
        <v/>
      </c>
      <c r="I182" s="86">
        <f>(((Table134567891011121314151617343[[#This Row],[FRA]]-VLOOKUP($U$1,A:C,3,))/VLOOKUP($U$1,A:C,3,))*100)+100</f>
        <v/>
      </c>
      <c r="J182" s="86">
        <f>(((Table134567891011121314151617343[[#This Row],[DEU]]-VLOOKUP($U$1,A:D,4,))/VLOOKUP($U$1,A:D,4,))*100)+100</f>
        <v/>
      </c>
      <c r="K182" s="86">
        <f>(((Table134567891011121314151617343[[#This Row],[ESP]]-VLOOKUP($U$1,A:E,5,))/VLOOKUP($U$1,A:E,5,))*100)+100</f>
        <v/>
      </c>
      <c r="L182" s="86">
        <f>(((Table134567891011121314151617343[[#This Row],[EA19]]-VLOOKUP($U$1,A:F,6,))/VLOOKUP($U$1,A:F,6,))*100)+100</f>
        <v/>
      </c>
      <c r="M182" s="86">
        <f>(((Table134567891011121314151617343[[#This Row],[GBR]]-VLOOKUP($U$1,A:G,7,))/VLOOKUP($U$1,A:G,7,))*100)+100</f>
        <v/>
      </c>
      <c r="N182" s="86">
        <f>VLOOKUP(A182,Database!$A:$AS,MATCH($N$1,Database!$A$1:$AS$1,0),FALSE)</f>
        <v/>
      </c>
      <c r="O182" s="86">
        <f>(((Table134567891011121314151617343[[#This Row],[USA]]-VLOOKUP($U$1,A:N,14,))/VLOOKUP($U$1,A:N,14,))*100)+100</f>
        <v/>
      </c>
      <c r="P182" s="86">
        <f>VLOOKUP(A182,Database!$A:$AS,MATCH($P$1,Database!$A$1:$AS$1,0),FALSE)</f>
        <v/>
      </c>
      <c r="Q182" s="86">
        <f>(((Table134567891011121314151617343[[#This Row],[JPN]]-VLOOKUP($U$1,A:Q,16,))/VLOOKUP($U$1,A:Q,16,))*100)+100</f>
        <v/>
      </c>
    </row>
    <row r="183" customFormat="1" s="94">
      <c r="A183" s="22" t="n">
        <v>38384</v>
      </c>
      <c r="B183" s="86">
        <f>VLOOKUP(A183,Database!$A:$AS,MATCH($B$1,Database!$A$1:$AS$1,0),FALSE)</f>
        <v/>
      </c>
      <c r="C183" s="86">
        <f>VLOOKUP(A183,Database!$A:$AS,MATCH($C$1,Database!$A$1:$AS$1,0),FALSE)</f>
        <v/>
      </c>
      <c r="D183" s="86">
        <f>VLOOKUP(A183,Database!$A:$AS,MATCH($D$1,Database!$A$1:$AS$1,0),FALSE)</f>
        <v/>
      </c>
      <c r="E183" s="86">
        <f>VLOOKUP(A183,Database!$A:$AS,MATCH($E$1,Database!$A$1:$AS$1,0),FALSE)</f>
        <v/>
      </c>
      <c r="F183" s="86">
        <f>VLOOKUP(A183,Database!$A:$AS,MATCH($F$1,Database!$A$1:$AS$1,0),FALSE)</f>
        <v/>
      </c>
      <c r="G183" s="86">
        <f>VLOOKUP(A183,Database!$A:$AS,MATCH($G$1,Database!$A$1:$AS$1,0),FALSE)</f>
        <v/>
      </c>
      <c r="H183" s="86">
        <f>(((Table134567891011121314151617343[[#This Row],[ITA]]-VLOOKUP($U$1,A:B,2,))/VLOOKUP($U$1,A:B,2,))*100)+100</f>
        <v/>
      </c>
      <c r="I183" s="86">
        <f>(((Table134567891011121314151617343[[#This Row],[FRA]]-VLOOKUP($U$1,A:C,3,))/VLOOKUP($U$1,A:C,3,))*100)+100</f>
        <v/>
      </c>
      <c r="J183" s="86">
        <f>(((Table134567891011121314151617343[[#This Row],[DEU]]-VLOOKUP($U$1,A:D,4,))/VLOOKUP($U$1,A:D,4,))*100)+100</f>
        <v/>
      </c>
      <c r="K183" s="86">
        <f>(((Table134567891011121314151617343[[#This Row],[ESP]]-VLOOKUP($U$1,A:E,5,))/VLOOKUP($U$1,A:E,5,))*100)+100</f>
        <v/>
      </c>
      <c r="L183" s="86">
        <f>(((Table134567891011121314151617343[[#This Row],[EA19]]-VLOOKUP($U$1,A:F,6,))/VLOOKUP($U$1,A:F,6,))*100)+100</f>
        <v/>
      </c>
      <c r="M183" s="86">
        <f>(((Table134567891011121314151617343[[#This Row],[GBR]]-VLOOKUP($U$1,A:G,7,))/VLOOKUP($U$1,A:G,7,))*100)+100</f>
        <v/>
      </c>
      <c r="N183" s="86">
        <f>VLOOKUP(A183,Database!$A:$AS,MATCH($N$1,Database!$A$1:$AS$1,0),FALSE)</f>
        <v/>
      </c>
      <c r="O183" s="86">
        <f>(((Table134567891011121314151617343[[#This Row],[USA]]-VLOOKUP($U$1,A:N,14,))/VLOOKUP($U$1,A:N,14,))*100)+100</f>
        <v/>
      </c>
      <c r="P183" s="86">
        <f>VLOOKUP(A183,Database!$A:$AS,MATCH($P$1,Database!$A$1:$AS$1,0),FALSE)</f>
        <v/>
      </c>
      <c r="Q183" s="86">
        <f>(((Table134567891011121314151617343[[#This Row],[JPN]]-VLOOKUP($U$1,A:Q,16,))/VLOOKUP($U$1,A:Q,16,))*100)+100</f>
        <v/>
      </c>
    </row>
    <row r="184" customFormat="1" s="94">
      <c r="A184" s="22" t="n">
        <v>38412</v>
      </c>
      <c r="B184" s="86">
        <f>VLOOKUP(A184,Database!$A:$AS,MATCH($B$1,Database!$A$1:$AS$1,0),FALSE)</f>
        <v/>
      </c>
      <c r="C184" s="86">
        <f>VLOOKUP(A184,Database!$A:$AS,MATCH($C$1,Database!$A$1:$AS$1,0),FALSE)</f>
        <v/>
      </c>
      <c r="D184" s="86">
        <f>VLOOKUP(A184,Database!$A:$AS,MATCH($D$1,Database!$A$1:$AS$1,0),FALSE)</f>
        <v/>
      </c>
      <c r="E184" s="86">
        <f>VLOOKUP(A184,Database!$A:$AS,MATCH($E$1,Database!$A$1:$AS$1,0),FALSE)</f>
        <v/>
      </c>
      <c r="F184" s="86">
        <f>VLOOKUP(A184,Database!$A:$AS,MATCH($F$1,Database!$A$1:$AS$1,0),FALSE)</f>
        <v/>
      </c>
      <c r="G184" s="86">
        <f>VLOOKUP(A184,Database!$A:$AS,MATCH($G$1,Database!$A$1:$AS$1,0),FALSE)</f>
        <v/>
      </c>
      <c r="H184" s="86">
        <f>(((Table134567891011121314151617343[[#This Row],[ITA]]-VLOOKUP($U$1,A:B,2,))/VLOOKUP($U$1,A:B,2,))*100)+100</f>
        <v/>
      </c>
      <c r="I184" s="86">
        <f>(((Table134567891011121314151617343[[#This Row],[FRA]]-VLOOKUP($U$1,A:C,3,))/VLOOKUP($U$1,A:C,3,))*100)+100</f>
        <v/>
      </c>
      <c r="J184" s="86">
        <f>(((Table134567891011121314151617343[[#This Row],[DEU]]-VLOOKUP($U$1,A:D,4,))/VLOOKUP($U$1,A:D,4,))*100)+100</f>
        <v/>
      </c>
      <c r="K184" s="86">
        <f>(((Table134567891011121314151617343[[#This Row],[ESP]]-VLOOKUP($U$1,A:E,5,))/VLOOKUP($U$1,A:E,5,))*100)+100</f>
        <v/>
      </c>
      <c r="L184" s="86">
        <f>(((Table134567891011121314151617343[[#This Row],[EA19]]-VLOOKUP($U$1,A:F,6,))/VLOOKUP($U$1,A:F,6,))*100)+100</f>
        <v/>
      </c>
      <c r="M184" s="86">
        <f>(((Table134567891011121314151617343[[#This Row],[GBR]]-VLOOKUP($U$1,A:G,7,))/VLOOKUP($U$1,A:G,7,))*100)+100</f>
        <v/>
      </c>
      <c r="N184" s="86">
        <f>VLOOKUP(A184,Database!$A:$AS,MATCH($N$1,Database!$A$1:$AS$1,0),FALSE)</f>
        <v/>
      </c>
      <c r="O184" s="86">
        <f>(((Table134567891011121314151617343[[#This Row],[USA]]-VLOOKUP($U$1,A:N,14,))/VLOOKUP($U$1,A:N,14,))*100)+100</f>
        <v/>
      </c>
      <c r="P184" s="86">
        <f>VLOOKUP(A184,Database!$A:$AS,MATCH($P$1,Database!$A$1:$AS$1,0),FALSE)</f>
        <v/>
      </c>
      <c r="Q184" s="86">
        <f>(((Table134567891011121314151617343[[#This Row],[JPN]]-VLOOKUP($U$1,A:Q,16,))/VLOOKUP($U$1,A:Q,16,))*100)+100</f>
        <v/>
      </c>
    </row>
    <row r="185" customFormat="1" s="94">
      <c r="A185" s="22" t="n">
        <v>38443</v>
      </c>
      <c r="B185" s="86">
        <f>VLOOKUP(A185,Database!$A:$AS,MATCH($B$1,Database!$A$1:$AS$1,0),FALSE)</f>
        <v/>
      </c>
      <c r="C185" s="86">
        <f>VLOOKUP(A185,Database!$A:$AS,MATCH($C$1,Database!$A$1:$AS$1,0),FALSE)</f>
        <v/>
      </c>
      <c r="D185" s="86">
        <f>VLOOKUP(A185,Database!$A:$AS,MATCH($D$1,Database!$A$1:$AS$1,0),FALSE)</f>
        <v/>
      </c>
      <c r="E185" s="86">
        <f>VLOOKUP(A185,Database!$A:$AS,MATCH($E$1,Database!$A$1:$AS$1,0),FALSE)</f>
        <v/>
      </c>
      <c r="F185" s="86">
        <f>VLOOKUP(A185,Database!$A:$AS,MATCH($F$1,Database!$A$1:$AS$1,0),FALSE)</f>
        <v/>
      </c>
      <c r="G185" s="86">
        <f>VLOOKUP(A185,Database!$A:$AS,MATCH($G$1,Database!$A$1:$AS$1,0),FALSE)</f>
        <v/>
      </c>
      <c r="H185" s="86">
        <f>(((Table134567891011121314151617343[[#This Row],[ITA]]-VLOOKUP($U$1,A:B,2,))/VLOOKUP($U$1,A:B,2,))*100)+100</f>
        <v/>
      </c>
      <c r="I185" s="86">
        <f>(((Table134567891011121314151617343[[#This Row],[FRA]]-VLOOKUP($U$1,A:C,3,))/VLOOKUP($U$1,A:C,3,))*100)+100</f>
        <v/>
      </c>
      <c r="J185" s="86">
        <f>(((Table134567891011121314151617343[[#This Row],[DEU]]-VLOOKUP($U$1,A:D,4,))/VLOOKUP($U$1,A:D,4,))*100)+100</f>
        <v/>
      </c>
      <c r="K185" s="86">
        <f>(((Table134567891011121314151617343[[#This Row],[ESP]]-VLOOKUP($U$1,A:E,5,))/VLOOKUP($U$1,A:E,5,))*100)+100</f>
        <v/>
      </c>
      <c r="L185" s="86">
        <f>(((Table134567891011121314151617343[[#This Row],[EA19]]-VLOOKUP($U$1,A:F,6,))/VLOOKUP($U$1,A:F,6,))*100)+100</f>
        <v/>
      </c>
      <c r="M185" s="86">
        <f>(((Table134567891011121314151617343[[#This Row],[GBR]]-VLOOKUP($U$1,A:G,7,))/VLOOKUP($U$1,A:G,7,))*100)+100</f>
        <v/>
      </c>
      <c r="N185" s="86">
        <f>VLOOKUP(A185,Database!$A:$AS,MATCH($N$1,Database!$A$1:$AS$1,0),FALSE)</f>
        <v/>
      </c>
      <c r="O185" s="86">
        <f>(((Table134567891011121314151617343[[#This Row],[USA]]-VLOOKUP($U$1,A:N,14,))/VLOOKUP($U$1,A:N,14,))*100)+100</f>
        <v/>
      </c>
      <c r="P185" s="86">
        <f>VLOOKUP(A185,Database!$A:$AS,MATCH($P$1,Database!$A$1:$AS$1,0),FALSE)</f>
        <v/>
      </c>
      <c r="Q185" s="86">
        <f>(((Table134567891011121314151617343[[#This Row],[JPN]]-VLOOKUP($U$1,A:Q,16,))/VLOOKUP($U$1,A:Q,16,))*100)+100</f>
        <v/>
      </c>
    </row>
    <row r="186" customFormat="1" s="94">
      <c r="A186" s="22" t="n">
        <v>38473</v>
      </c>
      <c r="B186" s="86">
        <f>VLOOKUP(A186,Database!$A:$AS,MATCH($B$1,Database!$A$1:$AS$1,0),FALSE)</f>
        <v/>
      </c>
      <c r="C186" s="86">
        <f>VLOOKUP(A186,Database!$A:$AS,MATCH($C$1,Database!$A$1:$AS$1,0),FALSE)</f>
        <v/>
      </c>
      <c r="D186" s="86">
        <f>VLOOKUP(A186,Database!$A:$AS,MATCH($D$1,Database!$A$1:$AS$1,0),FALSE)</f>
        <v/>
      </c>
      <c r="E186" s="86">
        <f>VLOOKUP(A186,Database!$A:$AS,MATCH($E$1,Database!$A$1:$AS$1,0),FALSE)</f>
        <v/>
      </c>
      <c r="F186" s="86">
        <f>VLOOKUP(A186,Database!$A:$AS,MATCH($F$1,Database!$A$1:$AS$1,0),FALSE)</f>
        <v/>
      </c>
      <c r="G186" s="86">
        <f>VLOOKUP(A186,Database!$A:$AS,MATCH($G$1,Database!$A$1:$AS$1,0),FALSE)</f>
        <v/>
      </c>
      <c r="H186" s="86">
        <f>(((Table134567891011121314151617343[[#This Row],[ITA]]-VLOOKUP($U$1,A:B,2,))/VLOOKUP($U$1,A:B,2,))*100)+100</f>
        <v/>
      </c>
      <c r="I186" s="86">
        <f>(((Table134567891011121314151617343[[#This Row],[FRA]]-VLOOKUP($U$1,A:C,3,))/VLOOKUP($U$1,A:C,3,))*100)+100</f>
        <v/>
      </c>
      <c r="J186" s="86">
        <f>(((Table134567891011121314151617343[[#This Row],[DEU]]-VLOOKUP($U$1,A:D,4,))/VLOOKUP($U$1,A:D,4,))*100)+100</f>
        <v/>
      </c>
      <c r="K186" s="86">
        <f>(((Table134567891011121314151617343[[#This Row],[ESP]]-VLOOKUP($U$1,A:E,5,))/VLOOKUP($U$1,A:E,5,))*100)+100</f>
        <v/>
      </c>
      <c r="L186" s="86">
        <f>(((Table134567891011121314151617343[[#This Row],[EA19]]-VLOOKUP($U$1,A:F,6,))/VLOOKUP($U$1,A:F,6,))*100)+100</f>
        <v/>
      </c>
      <c r="M186" s="86">
        <f>(((Table134567891011121314151617343[[#This Row],[GBR]]-VLOOKUP($U$1,A:G,7,))/VLOOKUP($U$1,A:G,7,))*100)+100</f>
        <v/>
      </c>
      <c r="N186" s="86">
        <f>VLOOKUP(A186,Database!$A:$AS,MATCH($N$1,Database!$A$1:$AS$1,0),FALSE)</f>
        <v/>
      </c>
      <c r="O186" s="86">
        <f>(((Table134567891011121314151617343[[#This Row],[USA]]-VLOOKUP($U$1,A:N,14,))/VLOOKUP($U$1,A:N,14,))*100)+100</f>
        <v/>
      </c>
      <c r="P186" s="86">
        <f>VLOOKUP(A186,Database!$A:$AS,MATCH($P$1,Database!$A$1:$AS$1,0),FALSE)</f>
        <v/>
      </c>
      <c r="Q186" s="86">
        <f>(((Table134567891011121314151617343[[#This Row],[JPN]]-VLOOKUP($U$1,A:Q,16,))/VLOOKUP($U$1,A:Q,16,))*100)+100</f>
        <v/>
      </c>
    </row>
    <row r="187" customFormat="1" s="94">
      <c r="A187" s="22" t="n">
        <v>38504</v>
      </c>
      <c r="B187" s="86">
        <f>VLOOKUP(A187,Database!$A:$AS,MATCH($B$1,Database!$A$1:$AS$1,0),FALSE)</f>
        <v/>
      </c>
      <c r="C187" s="86">
        <f>VLOOKUP(A187,Database!$A:$AS,MATCH($C$1,Database!$A$1:$AS$1,0),FALSE)</f>
        <v/>
      </c>
      <c r="D187" s="86">
        <f>VLOOKUP(A187,Database!$A:$AS,MATCH($D$1,Database!$A$1:$AS$1,0),FALSE)</f>
        <v/>
      </c>
      <c r="E187" s="86">
        <f>VLOOKUP(A187,Database!$A:$AS,MATCH($E$1,Database!$A$1:$AS$1,0),FALSE)</f>
        <v/>
      </c>
      <c r="F187" s="86">
        <f>VLOOKUP(A187,Database!$A:$AS,MATCH($F$1,Database!$A$1:$AS$1,0),FALSE)</f>
        <v/>
      </c>
      <c r="G187" s="86">
        <f>VLOOKUP(A187,Database!$A:$AS,MATCH($G$1,Database!$A$1:$AS$1,0),FALSE)</f>
        <v/>
      </c>
      <c r="H187" s="86">
        <f>(((Table134567891011121314151617343[[#This Row],[ITA]]-VLOOKUP($U$1,A:B,2,))/VLOOKUP($U$1,A:B,2,))*100)+100</f>
        <v/>
      </c>
      <c r="I187" s="86">
        <f>(((Table134567891011121314151617343[[#This Row],[FRA]]-VLOOKUP($U$1,A:C,3,))/VLOOKUP($U$1,A:C,3,))*100)+100</f>
        <v/>
      </c>
      <c r="J187" s="86">
        <f>(((Table134567891011121314151617343[[#This Row],[DEU]]-VLOOKUP($U$1,A:D,4,))/VLOOKUP($U$1,A:D,4,))*100)+100</f>
        <v/>
      </c>
      <c r="K187" s="86">
        <f>(((Table134567891011121314151617343[[#This Row],[ESP]]-VLOOKUP($U$1,A:E,5,))/VLOOKUP($U$1,A:E,5,))*100)+100</f>
        <v/>
      </c>
      <c r="L187" s="86">
        <f>(((Table134567891011121314151617343[[#This Row],[EA19]]-VLOOKUP($U$1,A:F,6,))/VLOOKUP($U$1,A:F,6,))*100)+100</f>
        <v/>
      </c>
      <c r="M187" s="86">
        <f>(((Table134567891011121314151617343[[#This Row],[GBR]]-VLOOKUP($U$1,A:G,7,))/VLOOKUP($U$1,A:G,7,))*100)+100</f>
        <v/>
      </c>
      <c r="N187" s="86">
        <f>VLOOKUP(A187,Database!$A:$AS,MATCH($N$1,Database!$A$1:$AS$1,0),FALSE)</f>
        <v/>
      </c>
      <c r="O187" s="86">
        <f>(((Table134567891011121314151617343[[#This Row],[USA]]-VLOOKUP($U$1,A:N,14,))/VLOOKUP($U$1,A:N,14,))*100)+100</f>
        <v/>
      </c>
      <c r="P187" s="86">
        <f>VLOOKUP(A187,Database!$A:$AS,MATCH($P$1,Database!$A$1:$AS$1,0),FALSE)</f>
        <v/>
      </c>
      <c r="Q187" s="86">
        <f>(((Table134567891011121314151617343[[#This Row],[JPN]]-VLOOKUP($U$1,A:Q,16,))/VLOOKUP($U$1,A:Q,16,))*100)+100</f>
        <v/>
      </c>
    </row>
    <row r="188" customFormat="1" s="94">
      <c r="A188" s="22" t="n">
        <v>38534</v>
      </c>
      <c r="B188" s="86">
        <f>VLOOKUP(A188,Database!$A:$AS,MATCH($B$1,Database!$A$1:$AS$1,0),FALSE)</f>
        <v/>
      </c>
      <c r="C188" s="86">
        <f>VLOOKUP(A188,Database!$A:$AS,MATCH($C$1,Database!$A$1:$AS$1,0),FALSE)</f>
        <v/>
      </c>
      <c r="D188" s="86">
        <f>VLOOKUP(A188,Database!$A:$AS,MATCH($D$1,Database!$A$1:$AS$1,0),FALSE)</f>
        <v/>
      </c>
      <c r="E188" s="86">
        <f>VLOOKUP(A188,Database!$A:$AS,MATCH($E$1,Database!$A$1:$AS$1,0),FALSE)</f>
        <v/>
      </c>
      <c r="F188" s="86">
        <f>VLOOKUP(A188,Database!$A:$AS,MATCH($F$1,Database!$A$1:$AS$1,0),FALSE)</f>
        <v/>
      </c>
      <c r="G188" s="86">
        <f>VLOOKUP(A188,Database!$A:$AS,MATCH($G$1,Database!$A$1:$AS$1,0),FALSE)</f>
        <v/>
      </c>
      <c r="H188" s="86">
        <f>(((Table134567891011121314151617343[[#This Row],[ITA]]-VLOOKUP($U$1,A:B,2,))/VLOOKUP($U$1,A:B,2,))*100)+100</f>
        <v/>
      </c>
      <c r="I188" s="86">
        <f>(((Table134567891011121314151617343[[#This Row],[FRA]]-VLOOKUP($U$1,A:C,3,))/VLOOKUP($U$1,A:C,3,))*100)+100</f>
        <v/>
      </c>
      <c r="J188" s="86">
        <f>(((Table134567891011121314151617343[[#This Row],[DEU]]-VLOOKUP($U$1,A:D,4,))/VLOOKUP($U$1,A:D,4,))*100)+100</f>
        <v/>
      </c>
      <c r="K188" s="86">
        <f>(((Table134567891011121314151617343[[#This Row],[ESP]]-VLOOKUP($U$1,A:E,5,))/VLOOKUP($U$1,A:E,5,))*100)+100</f>
        <v/>
      </c>
      <c r="L188" s="86">
        <f>(((Table134567891011121314151617343[[#This Row],[EA19]]-VLOOKUP($U$1,A:F,6,))/VLOOKUP($U$1,A:F,6,))*100)+100</f>
        <v/>
      </c>
      <c r="M188" s="86">
        <f>(((Table134567891011121314151617343[[#This Row],[GBR]]-VLOOKUP($U$1,A:G,7,))/VLOOKUP($U$1,A:G,7,))*100)+100</f>
        <v/>
      </c>
      <c r="N188" s="86">
        <f>VLOOKUP(A188,Database!$A:$AS,MATCH($N$1,Database!$A$1:$AS$1,0),FALSE)</f>
        <v/>
      </c>
      <c r="O188" s="86">
        <f>(((Table134567891011121314151617343[[#This Row],[USA]]-VLOOKUP($U$1,A:N,14,))/VLOOKUP($U$1,A:N,14,))*100)+100</f>
        <v/>
      </c>
      <c r="P188" s="86">
        <f>VLOOKUP(A188,Database!$A:$AS,MATCH($P$1,Database!$A$1:$AS$1,0),FALSE)</f>
        <v/>
      </c>
      <c r="Q188" s="86">
        <f>(((Table134567891011121314151617343[[#This Row],[JPN]]-VLOOKUP($U$1,A:Q,16,))/VLOOKUP($U$1,A:Q,16,))*100)+100</f>
        <v/>
      </c>
    </row>
    <row r="189" customFormat="1" s="94">
      <c r="A189" s="22" t="n">
        <v>38565</v>
      </c>
      <c r="B189" s="86">
        <f>VLOOKUP(A189,Database!$A:$AS,MATCH($B$1,Database!$A$1:$AS$1,0),FALSE)</f>
        <v/>
      </c>
      <c r="C189" s="86">
        <f>VLOOKUP(A189,Database!$A:$AS,MATCH($C$1,Database!$A$1:$AS$1,0),FALSE)</f>
        <v/>
      </c>
      <c r="D189" s="86">
        <f>VLOOKUP(A189,Database!$A:$AS,MATCH($D$1,Database!$A$1:$AS$1,0),FALSE)</f>
        <v/>
      </c>
      <c r="E189" s="86">
        <f>VLOOKUP(A189,Database!$A:$AS,MATCH($E$1,Database!$A$1:$AS$1,0),FALSE)</f>
        <v/>
      </c>
      <c r="F189" s="86">
        <f>VLOOKUP(A189,Database!$A:$AS,MATCH($F$1,Database!$A$1:$AS$1,0),FALSE)</f>
        <v/>
      </c>
      <c r="G189" s="86">
        <f>VLOOKUP(A189,Database!$A:$AS,MATCH($G$1,Database!$A$1:$AS$1,0),FALSE)</f>
        <v/>
      </c>
      <c r="H189" s="86">
        <f>(((Table134567891011121314151617343[[#This Row],[ITA]]-VLOOKUP($U$1,A:B,2,))/VLOOKUP($U$1,A:B,2,))*100)+100</f>
        <v/>
      </c>
      <c r="I189" s="86">
        <f>(((Table134567891011121314151617343[[#This Row],[FRA]]-VLOOKUP($U$1,A:C,3,))/VLOOKUP($U$1,A:C,3,))*100)+100</f>
        <v/>
      </c>
      <c r="J189" s="86">
        <f>(((Table134567891011121314151617343[[#This Row],[DEU]]-VLOOKUP($U$1,A:D,4,))/VLOOKUP($U$1,A:D,4,))*100)+100</f>
        <v/>
      </c>
      <c r="K189" s="86">
        <f>(((Table134567891011121314151617343[[#This Row],[ESP]]-VLOOKUP($U$1,A:E,5,))/VLOOKUP($U$1,A:E,5,))*100)+100</f>
        <v/>
      </c>
      <c r="L189" s="86">
        <f>(((Table134567891011121314151617343[[#This Row],[EA19]]-VLOOKUP($U$1,A:F,6,))/VLOOKUP($U$1,A:F,6,))*100)+100</f>
        <v/>
      </c>
      <c r="M189" s="86">
        <f>(((Table134567891011121314151617343[[#This Row],[GBR]]-VLOOKUP($U$1,A:G,7,))/VLOOKUP($U$1,A:G,7,))*100)+100</f>
        <v/>
      </c>
      <c r="N189" s="86">
        <f>VLOOKUP(A189,Database!$A:$AS,MATCH($N$1,Database!$A$1:$AS$1,0),FALSE)</f>
        <v/>
      </c>
      <c r="O189" s="86">
        <f>(((Table134567891011121314151617343[[#This Row],[USA]]-VLOOKUP($U$1,A:N,14,))/VLOOKUP($U$1,A:N,14,))*100)+100</f>
        <v/>
      </c>
      <c r="P189" s="86">
        <f>VLOOKUP(A189,Database!$A:$AS,MATCH($P$1,Database!$A$1:$AS$1,0),FALSE)</f>
        <v/>
      </c>
      <c r="Q189" s="86">
        <f>(((Table134567891011121314151617343[[#This Row],[JPN]]-VLOOKUP($U$1,A:Q,16,))/VLOOKUP($U$1,A:Q,16,))*100)+100</f>
        <v/>
      </c>
    </row>
    <row r="190" customFormat="1" s="94">
      <c r="A190" s="22" t="n">
        <v>38596</v>
      </c>
      <c r="B190" s="86">
        <f>VLOOKUP(A190,Database!$A:$AS,MATCH($B$1,Database!$A$1:$AS$1,0),FALSE)</f>
        <v/>
      </c>
      <c r="C190" s="86">
        <f>VLOOKUP(A190,Database!$A:$AS,MATCH($C$1,Database!$A$1:$AS$1,0),FALSE)</f>
        <v/>
      </c>
      <c r="D190" s="86">
        <f>VLOOKUP(A190,Database!$A:$AS,MATCH($D$1,Database!$A$1:$AS$1,0),FALSE)</f>
        <v/>
      </c>
      <c r="E190" s="86">
        <f>VLOOKUP(A190,Database!$A:$AS,MATCH($E$1,Database!$A$1:$AS$1,0),FALSE)</f>
        <v/>
      </c>
      <c r="F190" s="86">
        <f>VLOOKUP(A190,Database!$A:$AS,MATCH($F$1,Database!$A$1:$AS$1,0),FALSE)</f>
        <v/>
      </c>
      <c r="G190" s="86">
        <f>VLOOKUP(A190,Database!$A:$AS,MATCH($G$1,Database!$A$1:$AS$1,0),FALSE)</f>
        <v/>
      </c>
      <c r="H190" s="86">
        <f>(((Table134567891011121314151617343[[#This Row],[ITA]]-VLOOKUP($U$1,A:B,2,))/VLOOKUP($U$1,A:B,2,))*100)+100</f>
        <v/>
      </c>
      <c r="I190" s="86">
        <f>(((Table134567891011121314151617343[[#This Row],[FRA]]-VLOOKUP($U$1,A:C,3,))/VLOOKUP($U$1,A:C,3,))*100)+100</f>
        <v/>
      </c>
      <c r="J190" s="86">
        <f>(((Table134567891011121314151617343[[#This Row],[DEU]]-VLOOKUP($U$1,A:D,4,))/VLOOKUP($U$1,A:D,4,))*100)+100</f>
        <v/>
      </c>
      <c r="K190" s="86">
        <f>(((Table134567891011121314151617343[[#This Row],[ESP]]-VLOOKUP($U$1,A:E,5,))/VLOOKUP($U$1,A:E,5,))*100)+100</f>
        <v/>
      </c>
      <c r="L190" s="86">
        <f>(((Table134567891011121314151617343[[#This Row],[EA19]]-VLOOKUP($U$1,A:F,6,))/VLOOKUP($U$1,A:F,6,))*100)+100</f>
        <v/>
      </c>
      <c r="M190" s="86">
        <f>(((Table134567891011121314151617343[[#This Row],[GBR]]-VLOOKUP($U$1,A:G,7,))/VLOOKUP($U$1,A:G,7,))*100)+100</f>
        <v/>
      </c>
      <c r="N190" s="86">
        <f>VLOOKUP(A190,Database!$A:$AS,MATCH($N$1,Database!$A$1:$AS$1,0),FALSE)</f>
        <v/>
      </c>
      <c r="O190" s="86">
        <f>(((Table134567891011121314151617343[[#This Row],[USA]]-VLOOKUP($U$1,A:N,14,))/VLOOKUP($U$1,A:N,14,))*100)+100</f>
        <v/>
      </c>
      <c r="P190" s="86">
        <f>VLOOKUP(A190,Database!$A:$AS,MATCH($P$1,Database!$A$1:$AS$1,0),FALSE)</f>
        <v/>
      </c>
      <c r="Q190" s="86">
        <f>(((Table134567891011121314151617343[[#This Row],[JPN]]-VLOOKUP($U$1,A:Q,16,))/VLOOKUP($U$1,A:Q,16,))*100)+100</f>
        <v/>
      </c>
    </row>
    <row r="191" customFormat="1" s="94">
      <c r="A191" s="22" t="n">
        <v>38626</v>
      </c>
      <c r="B191" s="86">
        <f>VLOOKUP(A191,Database!$A:$AS,MATCH($B$1,Database!$A$1:$AS$1,0),FALSE)</f>
        <v/>
      </c>
      <c r="C191" s="86">
        <f>VLOOKUP(A191,Database!$A:$AS,MATCH($C$1,Database!$A$1:$AS$1,0),FALSE)</f>
        <v/>
      </c>
      <c r="D191" s="86">
        <f>VLOOKUP(A191,Database!$A:$AS,MATCH($D$1,Database!$A$1:$AS$1,0),FALSE)</f>
        <v/>
      </c>
      <c r="E191" s="86">
        <f>VLOOKUP(A191,Database!$A:$AS,MATCH($E$1,Database!$A$1:$AS$1,0),FALSE)</f>
        <v/>
      </c>
      <c r="F191" s="86">
        <f>VLOOKUP(A191,Database!$A:$AS,MATCH($F$1,Database!$A$1:$AS$1,0),FALSE)</f>
        <v/>
      </c>
      <c r="G191" s="86">
        <f>VLOOKUP(A191,Database!$A:$AS,MATCH($G$1,Database!$A$1:$AS$1,0),FALSE)</f>
        <v/>
      </c>
      <c r="H191" s="86">
        <f>(((Table134567891011121314151617343[[#This Row],[ITA]]-VLOOKUP($U$1,A:B,2,))/VLOOKUP($U$1,A:B,2,))*100)+100</f>
        <v/>
      </c>
      <c r="I191" s="86">
        <f>(((Table134567891011121314151617343[[#This Row],[FRA]]-VLOOKUP($U$1,A:C,3,))/VLOOKUP($U$1,A:C,3,))*100)+100</f>
        <v/>
      </c>
      <c r="J191" s="86">
        <f>(((Table134567891011121314151617343[[#This Row],[DEU]]-VLOOKUP($U$1,A:D,4,))/VLOOKUP($U$1,A:D,4,))*100)+100</f>
        <v/>
      </c>
      <c r="K191" s="86">
        <f>(((Table134567891011121314151617343[[#This Row],[ESP]]-VLOOKUP($U$1,A:E,5,))/VLOOKUP($U$1,A:E,5,))*100)+100</f>
        <v/>
      </c>
      <c r="L191" s="86">
        <f>(((Table134567891011121314151617343[[#This Row],[EA19]]-VLOOKUP($U$1,A:F,6,))/VLOOKUP($U$1,A:F,6,))*100)+100</f>
        <v/>
      </c>
      <c r="M191" s="86">
        <f>(((Table134567891011121314151617343[[#This Row],[GBR]]-VLOOKUP($U$1,A:G,7,))/VLOOKUP($U$1,A:G,7,))*100)+100</f>
        <v/>
      </c>
      <c r="N191" s="86">
        <f>VLOOKUP(A191,Database!$A:$AS,MATCH($N$1,Database!$A$1:$AS$1,0),FALSE)</f>
        <v/>
      </c>
      <c r="O191" s="86">
        <f>(((Table134567891011121314151617343[[#This Row],[USA]]-VLOOKUP($U$1,A:N,14,))/VLOOKUP($U$1,A:N,14,))*100)+100</f>
        <v/>
      </c>
      <c r="P191" s="86">
        <f>VLOOKUP(A191,Database!$A:$AS,MATCH($P$1,Database!$A$1:$AS$1,0),FALSE)</f>
        <v/>
      </c>
      <c r="Q191" s="86">
        <f>(((Table134567891011121314151617343[[#This Row],[JPN]]-VLOOKUP($U$1,A:Q,16,))/VLOOKUP($U$1,A:Q,16,))*100)+100</f>
        <v/>
      </c>
    </row>
    <row r="192" customFormat="1" s="94">
      <c r="A192" s="22" t="n">
        <v>38657</v>
      </c>
      <c r="B192" s="86">
        <f>VLOOKUP(A192,Database!$A:$AS,MATCH($B$1,Database!$A$1:$AS$1,0),FALSE)</f>
        <v/>
      </c>
      <c r="C192" s="86">
        <f>VLOOKUP(A192,Database!$A:$AS,MATCH($C$1,Database!$A$1:$AS$1,0),FALSE)</f>
        <v/>
      </c>
      <c r="D192" s="86">
        <f>VLOOKUP(A192,Database!$A:$AS,MATCH($D$1,Database!$A$1:$AS$1,0),FALSE)</f>
        <v/>
      </c>
      <c r="E192" s="86">
        <f>VLOOKUP(A192,Database!$A:$AS,MATCH($E$1,Database!$A$1:$AS$1,0),FALSE)</f>
        <v/>
      </c>
      <c r="F192" s="86">
        <f>VLOOKUP(A192,Database!$A:$AS,MATCH($F$1,Database!$A$1:$AS$1,0),FALSE)</f>
        <v/>
      </c>
      <c r="G192" s="86">
        <f>VLOOKUP(A192,Database!$A:$AS,MATCH($G$1,Database!$A$1:$AS$1,0),FALSE)</f>
        <v/>
      </c>
      <c r="H192" s="86">
        <f>(((Table134567891011121314151617343[[#This Row],[ITA]]-VLOOKUP($U$1,A:B,2,))/VLOOKUP($U$1,A:B,2,))*100)+100</f>
        <v/>
      </c>
      <c r="I192" s="86">
        <f>(((Table134567891011121314151617343[[#This Row],[FRA]]-VLOOKUP($U$1,A:C,3,))/VLOOKUP($U$1,A:C,3,))*100)+100</f>
        <v/>
      </c>
      <c r="J192" s="86">
        <f>(((Table134567891011121314151617343[[#This Row],[DEU]]-VLOOKUP($U$1,A:D,4,))/VLOOKUP($U$1,A:D,4,))*100)+100</f>
        <v/>
      </c>
      <c r="K192" s="86">
        <f>(((Table134567891011121314151617343[[#This Row],[ESP]]-VLOOKUP($U$1,A:E,5,))/VLOOKUP($U$1,A:E,5,))*100)+100</f>
        <v/>
      </c>
      <c r="L192" s="86">
        <f>(((Table134567891011121314151617343[[#This Row],[EA19]]-VLOOKUP($U$1,A:F,6,))/VLOOKUP($U$1,A:F,6,))*100)+100</f>
        <v/>
      </c>
      <c r="M192" s="86">
        <f>(((Table134567891011121314151617343[[#This Row],[GBR]]-VLOOKUP($U$1,A:G,7,))/VLOOKUP($U$1,A:G,7,))*100)+100</f>
        <v/>
      </c>
      <c r="N192" s="86">
        <f>VLOOKUP(A192,Database!$A:$AS,MATCH($N$1,Database!$A$1:$AS$1,0),FALSE)</f>
        <v/>
      </c>
      <c r="O192" s="86">
        <f>(((Table134567891011121314151617343[[#This Row],[USA]]-VLOOKUP($U$1,A:N,14,))/VLOOKUP($U$1,A:N,14,))*100)+100</f>
        <v/>
      </c>
      <c r="P192" s="86">
        <f>VLOOKUP(A192,Database!$A:$AS,MATCH($P$1,Database!$A$1:$AS$1,0),FALSE)</f>
        <v/>
      </c>
      <c r="Q192" s="86">
        <f>(((Table134567891011121314151617343[[#This Row],[JPN]]-VLOOKUP($U$1,A:Q,16,))/VLOOKUP($U$1,A:Q,16,))*100)+100</f>
        <v/>
      </c>
    </row>
    <row r="193" customFormat="1" s="94">
      <c r="A193" s="22" t="n">
        <v>38687</v>
      </c>
      <c r="B193" s="86">
        <f>VLOOKUP(A193,Database!$A:$AS,MATCH($B$1,Database!$A$1:$AS$1,0),FALSE)</f>
        <v/>
      </c>
      <c r="C193" s="86">
        <f>VLOOKUP(A193,Database!$A:$AS,MATCH($C$1,Database!$A$1:$AS$1,0),FALSE)</f>
        <v/>
      </c>
      <c r="D193" s="86">
        <f>VLOOKUP(A193,Database!$A:$AS,MATCH($D$1,Database!$A$1:$AS$1,0),FALSE)</f>
        <v/>
      </c>
      <c r="E193" s="86">
        <f>VLOOKUP(A193,Database!$A:$AS,MATCH($E$1,Database!$A$1:$AS$1,0),FALSE)</f>
        <v/>
      </c>
      <c r="F193" s="86">
        <f>VLOOKUP(A193,Database!$A:$AS,MATCH($F$1,Database!$A$1:$AS$1,0),FALSE)</f>
        <v/>
      </c>
      <c r="G193" s="86">
        <f>VLOOKUP(A193,Database!$A:$AS,MATCH($G$1,Database!$A$1:$AS$1,0),FALSE)</f>
        <v/>
      </c>
      <c r="H193" s="86">
        <f>(((Table134567891011121314151617343[[#This Row],[ITA]]-VLOOKUP($U$1,A:B,2,))/VLOOKUP($U$1,A:B,2,))*100)+100</f>
        <v/>
      </c>
      <c r="I193" s="86">
        <f>(((Table134567891011121314151617343[[#This Row],[FRA]]-VLOOKUP($U$1,A:C,3,))/VLOOKUP($U$1,A:C,3,))*100)+100</f>
        <v/>
      </c>
      <c r="J193" s="86">
        <f>(((Table134567891011121314151617343[[#This Row],[DEU]]-VLOOKUP($U$1,A:D,4,))/VLOOKUP($U$1,A:D,4,))*100)+100</f>
        <v/>
      </c>
      <c r="K193" s="86">
        <f>(((Table134567891011121314151617343[[#This Row],[ESP]]-VLOOKUP($U$1,A:E,5,))/VLOOKUP($U$1,A:E,5,))*100)+100</f>
        <v/>
      </c>
      <c r="L193" s="86">
        <f>(((Table134567891011121314151617343[[#This Row],[EA19]]-VLOOKUP($U$1,A:F,6,))/VLOOKUP($U$1,A:F,6,))*100)+100</f>
        <v/>
      </c>
      <c r="M193" s="86">
        <f>(((Table134567891011121314151617343[[#This Row],[GBR]]-VLOOKUP($U$1,A:G,7,))/VLOOKUP($U$1,A:G,7,))*100)+100</f>
        <v/>
      </c>
      <c r="N193" s="86">
        <f>VLOOKUP(A193,Database!$A:$AS,MATCH($N$1,Database!$A$1:$AS$1,0),FALSE)</f>
        <v/>
      </c>
      <c r="O193" s="86">
        <f>(((Table134567891011121314151617343[[#This Row],[USA]]-VLOOKUP($U$1,A:N,14,))/VLOOKUP($U$1,A:N,14,))*100)+100</f>
        <v/>
      </c>
      <c r="P193" s="86">
        <f>VLOOKUP(A193,Database!$A:$AS,MATCH($P$1,Database!$A$1:$AS$1,0),FALSE)</f>
        <v/>
      </c>
      <c r="Q193" s="86">
        <f>(((Table134567891011121314151617343[[#This Row],[JPN]]-VLOOKUP($U$1,A:Q,16,))/VLOOKUP($U$1,A:Q,16,))*100)+100</f>
        <v/>
      </c>
    </row>
    <row r="194" customFormat="1" s="94">
      <c r="A194" s="22" t="n">
        <v>38718</v>
      </c>
      <c r="B194" s="86">
        <f>VLOOKUP(A194,Database!$A:$AS,MATCH($B$1,Database!$A$1:$AS$1,0),FALSE)</f>
        <v/>
      </c>
      <c r="C194" s="86">
        <f>VLOOKUP(A194,Database!$A:$AS,MATCH($C$1,Database!$A$1:$AS$1,0),FALSE)</f>
        <v/>
      </c>
      <c r="D194" s="86">
        <f>VLOOKUP(A194,Database!$A:$AS,MATCH($D$1,Database!$A$1:$AS$1,0),FALSE)</f>
        <v/>
      </c>
      <c r="E194" s="86">
        <f>VLOOKUP(A194,Database!$A:$AS,MATCH($E$1,Database!$A$1:$AS$1,0),FALSE)</f>
        <v/>
      </c>
      <c r="F194" s="86">
        <f>VLOOKUP(A194,Database!$A:$AS,MATCH($F$1,Database!$A$1:$AS$1,0),FALSE)</f>
        <v/>
      </c>
      <c r="G194" s="86">
        <f>VLOOKUP(A194,Database!$A:$AS,MATCH($G$1,Database!$A$1:$AS$1,0),FALSE)</f>
        <v/>
      </c>
      <c r="H194" s="86">
        <f>(((Table134567891011121314151617343[[#This Row],[ITA]]-VLOOKUP($U$1,A:B,2,))/VLOOKUP($U$1,A:B,2,))*100)+100</f>
        <v/>
      </c>
      <c r="I194" s="86">
        <f>(((Table134567891011121314151617343[[#This Row],[FRA]]-VLOOKUP($U$1,A:C,3,))/VLOOKUP($U$1,A:C,3,))*100)+100</f>
        <v/>
      </c>
      <c r="J194" s="86">
        <f>(((Table134567891011121314151617343[[#This Row],[DEU]]-VLOOKUP($U$1,A:D,4,))/VLOOKUP($U$1,A:D,4,))*100)+100</f>
        <v/>
      </c>
      <c r="K194" s="86">
        <f>(((Table134567891011121314151617343[[#This Row],[ESP]]-VLOOKUP($U$1,A:E,5,))/VLOOKUP($U$1,A:E,5,))*100)+100</f>
        <v/>
      </c>
      <c r="L194" s="86">
        <f>(((Table134567891011121314151617343[[#This Row],[EA19]]-VLOOKUP($U$1,A:F,6,))/VLOOKUP($U$1,A:F,6,))*100)+100</f>
        <v/>
      </c>
      <c r="M194" s="86">
        <f>(((Table134567891011121314151617343[[#This Row],[GBR]]-VLOOKUP($U$1,A:G,7,))/VLOOKUP($U$1,A:G,7,))*100)+100</f>
        <v/>
      </c>
      <c r="N194" s="86">
        <f>VLOOKUP(A194,Database!$A:$AS,MATCH($N$1,Database!$A$1:$AS$1,0),FALSE)</f>
        <v/>
      </c>
      <c r="O194" s="86">
        <f>(((Table134567891011121314151617343[[#This Row],[USA]]-VLOOKUP($U$1,A:N,14,))/VLOOKUP($U$1,A:N,14,))*100)+100</f>
        <v/>
      </c>
      <c r="P194" s="86">
        <f>VLOOKUP(A194,Database!$A:$AS,MATCH($P$1,Database!$A$1:$AS$1,0),FALSE)</f>
        <v/>
      </c>
      <c r="Q194" s="86">
        <f>(((Table134567891011121314151617343[[#This Row],[JPN]]-VLOOKUP($U$1,A:Q,16,))/VLOOKUP($U$1,A:Q,16,))*100)+100</f>
        <v/>
      </c>
    </row>
    <row r="195" customFormat="1" s="94">
      <c r="A195" s="22" t="n">
        <v>38749</v>
      </c>
      <c r="B195" s="86">
        <f>VLOOKUP(A195,Database!$A:$AS,MATCH($B$1,Database!$A$1:$AS$1,0),FALSE)</f>
        <v/>
      </c>
      <c r="C195" s="86">
        <f>VLOOKUP(A195,Database!$A:$AS,MATCH($C$1,Database!$A$1:$AS$1,0),FALSE)</f>
        <v/>
      </c>
      <c r="D195" s="86">
        <f>VLOOKUP(A195,Database!$A:$AS,MATCH($D$1,Database!$A$1:$AS$1,0),FALSE)</f>
        <v/>
      </c>
      <c r="E195" s="86">
        <f>VLOOKUP(A195,Database!$A:$AS,MATCH($E$1,Database!$A$1:$AS$1,0),FALSE)</f>
        <v/>
      </c>
      <c r="F195" s="86">
        <f>VLOOKUP(A195,Database!$A:$AS,MATCH($F$1,Database!$A$1:$AS$1,0),FALSE)</f>
        <v/>
      </c>
      <c r="G195" s="86">
        <f>VLOOKUP(A195,Database!$A:$AS,MATCH($G$1,Database!$A$1:$AS$1,0),FALSE)</f>
        <v/>
      </c>
      <c r="H195" s="86">
        <f>(((Table134567891011121314151617343[[#This Row],[ITA]]-VLOOKUP($U$1,A:B,2,))/VLOOKUP($U$1,A:B,2,))*100)+100</f>
        <v/>
      </c>
      <c r="I195" s="86">
        <f>(((Table134567891011121314151617343[[#This Row],[FRA]]-VLOOKUP($U$1,A:C,3,))/VLOOKUP($U$1,A:C,3,))*100)+100</f>
        <v/>
      </c>
      <c r="J195" s="86">
        <f>(((Table134567891011121314151617343[[#This Row],[DEU]]-VLOOKUP($U$1,A:D,4,))/VLOOKUP($U$1,A:D,4,))*100)+100</f>
        <v/>
      </c>
      <c r="K195" s="86">
        <f>(((Table134567891011121314151617343[[#This Row],[ESP]]-VLOOKUP($U$1,A:E,5,))/VLOOKUP($U$1,A:E,5,))*100)+100</f>
        <v/>
      </c>
      <c r="L195" s="86">
        <f>(((Table134567891011121314151617343[[#This Row],[EA19]]-VLOOKUP($U$1,A:F,6,))/VLOOKUP($U$1,A:F,6,))*100)+100</f>
        <v/>
      </c>
      <c r="M195" s="86">
        <f>(((Table134567891011121314151617343[[#This Row],[GBR]]-VLOOKUP($U$1,A:G,7,))/VLOOKUP($U$1,A:G,7,))*100)+100</f>
        <v/>
      </c>
      <c r="N195" s="86">
        <f>VLOOKUP(A195,Database!$A:$AS,MATCH($N$1,Database!$A$1:$AS$1,0),FALSE)</f>
        <v/>
      </c>
      <c r="O195" s="86">
        <f>(((Table134567891011121314151617343[[#This Row],[USA]]-VLOOKUP($U$1,A:N,14,))/VLOOKUP($U$1,A:N,14,))*100)+100</f>
        <v/>
      </c>
      <c r="P195" s="86">
        <f>VLOOKUP(A195,Database!$A:$AS,MATCH($P$1,Database!$A$1:$AS$1,0),FALSE)</f>
        <v/>
      </c>
      <c r="Q195" s="86">
        <f>(((Table134567891011121314151617343[[#This Row],[JPN]]-VLOOKUP($U$1,A:Q,16,))/VLOOKUP($U$1,A:Q,16,))*100)+100</f>
        <v/>
      </c>
    </row>
    <row r="196" customFormat="1" s="94">
      <c r="A196" s="22" t="n">
        <v>38777</v>
      </c>
      <c r="B196" s="86">
        <f>VLOOKUP(A196,Database!$A:$AS,MATCH($B$1,Database!$A$1:$AS$1,0),FALSE)</f>
        <v/>
      </c>
      <c r="C196" s="86">
        <f>VLOOKUP(A196,Database!$A:$AS,MATCH($C$1,Database!$A$1:$AS$1,0),FALSE)</f>
        <v/>
      </c>
      <c r="D196" s="86">
        <f>VLOOKUP(A196,Database!$A:$AS,MATCH($D$1,Database!$A$1:$AS$1,0),FALSE)</f>
        <v/>
      </c>
      <c r="E196" s="86">
        <f>VLOOKUP(A196,Database!$A:$AS,MATCH($E$1,Database!$A$1:$AS$1,0),FALSE)</f>
        <v/>
      </c>
      <c r="F196" s="86">
        <f>VLOOKUP(A196,Database!$A:$AS,MATCH($F$1,Database!$A$1:$AS$1,0),FALSE)</f>
        <v/>
      </c>
      <c r="G196" s="86">
        <f>VLOOKUP(A196,Database!$A:$AS,MATCH($G$1,Database!$A$1:$AS$1,0),FALSE)</f>
        <v/>
      </c>
      <c r="H196" s="86">
        <f>(((Table134567891011121314151617343[[#This Row],[ITA]]-VLOOKUP($U$1,A:B,2,))/VLOOKUP($U$1,A:B,2,))*100)+100</f>
        <v/>
      </c>
      <c r="I196" s="86">
        <f>(((Table134567891011121314151617343[[#This Row],[FRA]]-VLOOKUP($U$1,A:C,3,))/VLOOKUP($U$1,A:C,3,))*100)+100</f>
        <v/>
      </c>
      <c r="J196" s="86">
        <f>(((Table134567891011121314151617343[[#This Row],[DEU]]-VLOOKUP($U$1,A:D,4,))/VLOOKUP($U$1,A:D,4,))*100)+100</f>
        <v/>
      </c>
      <c r="K196" s="86">
        <f>(((Table134567891011121314151617343[[#This Row],[ESP]]-VLOOKUP($U$1,A:E,5,))/VLOOKUP($U$1,A:E,5,))*100)+100</f>
        <v/>
      </c>
      <c r="L196" s="86">
        <f>(((Table134567891011121314151617343[[#This Row],[EA19]]-VLOOKUP($U$1,A:F,6,))/VLOOKUP($U$1,A:F,6,))*100)+100</f>
        <v/>
      </c>
      <c r="M196" s="86">
        <f>(((Table134567891011121314151617343[[#This Row],[GBR]]-VLOOKUP($U$1,A:G,7,))/VLOOKUP($U$1,A:G,7,))*100)+100</f>
        <v/>
      </c>
      <c r="N196" s="86">
        <f>VLOOKUP(A196,Database!$A:$AS,MATCH($N$1,Database!$A$1:$AS$1,0),FALSE)</f>
        <v/>
      </c>
      <c r="O196" s="86">
        <f>(((Table134567891011121314151617343[[#This Row],[USA]]-VLOOKUP($U$1,A:N,14,))/VLOOKUP($U$1,A:N,14,))*100)+100</f>
        <v/>
      </c>
      <c r="P196" s="86">
        <f>VLOOKUP(A196,Database!$A:$AS,MATCH($P$1,Database!$A$1:$AS$1,0),FALSE)</f>
        <v/>
      </c>
      <c r="Q196" s="86">
        <f>(((Table134567891011121314151617343[[#This Row],[JPN]]-VLOOKUP($U$1,A:Q,16,))/VLOOKUP($U$1,A:Q,16,))*100)+100</f>
        <v/>
      </c>
    </row>
    <row r="197" customFormat="1" s="94">
      <c r="A197" s="22" t="n">
        <v>38808</v>
      </c>
      <c r="B197" s="86">
        <f>VLOOKUP(A197,Database!$A:$AS,MATCH($B$1,Database!$A$1:$AS$1,0),FALSE)</f>
        <v/>
      </c>
      <c r="C197" s="86">
        <f>VLOOKUP(A197,Database!$A:$AS,MATCH($C$1,Database!$A$1:$AS$1,0),FALSE)</f>
        <v/>
      </c>
      <c r="D197" s="86">
        <f>VLOOKUP(A197,Database!$A:$AS,MATCH($D$1,Database!$A$1:$AS$1,0),FALSE)</f>
        <v/>
      </c>
      <c r="E197" s="86">
        <f>VLOOKUP(A197,Database!$A:$AS,MATCH($E$1,Database!$A$1:$AS$1,0),FALSE)</f>
        <v/>
      </c>
      <c r="F197" s="86">
        <f>VLOOKUP(A197,Database!$A:$AS,MATCH($F$1,Database!$A$1:$AS$1,0),FALSE)</f>
        <v/>
      </c>
      <c r="G197" s="86">
        <f>VLOOKUP(A197,Database!$A:$AS,MATCH($G$1,Database!$A$1:$AS$1,0),FALSE)</f>
        <v/>
      </c>
      <c r="H197" s="86">
        <f>(((Table134567891011121314151617343[[#This Row],[ITA]]-VLOOKUP($U$1,A:B,2,))/VLOOKUP($U$1,A:B,2,))*100)+100</f>
        <v/>
      </c>
      <c r="I197" s="86">
        <f>(((Table134567891011121314151617343[[#This Row],[FRA]]-VLOOKUP($U$1,A:C,3,))/VLOOKUP($U$1,A:C,3,))*100)+100</f>
        <v/>
      </c>
      <c r="J197" s="86">
        <f>(((Table134567891011121314151617343[[#This Row],[DEU]]-VLOOKUP($U$1,A:D,4,))/VLOOKUP($U$1,A:D,4,))*100)+100</f>
        <v/>
      </c>
      <c r="K197" s="86">
        <f>(((Table134567891011121314151617343[[#This Row],[ESP]]-VLOOKUP($U$1,A:E,5,))/VLOOKUP($U$1,A:E,5,))*100)+100</f>
        <v/>
      </c>
      <c r="L197" s="86">
        <f>(((Table134567891011121314151617343[[#This Row],[EA19]]-VLOOKUP($U$1,A:F,6,))/VLOOKUP($U$1,A:F,6,))*100)+100</f>
        <v/>
      </c>
      <c r="M197" s="86">
        <f>(((Table134567891011121314151617343[[#This Row],[GBR]]-VLOOKUP($U$1,A:G,7,))/VLOOKUP($U$1,A:G,7,))*100)+100</f>
        <v/>
      </c>
      <c r="N197" s="86">
        <f>VLOOKUP(A197,Database!$A:$AS,MATCH($N$1,Database!$A$1:$AS$1,0),FALSE)</f>
        <v/>
      </c>
      <c r="O197" s="86">
        <f>(((Table134567891011121314151617343[[#This Row],[USA]]-VLOOKUP($U$1,A:N,14,))/VLOOKUP($U$1,A:N,14,))*100)+100</f>
        <v/>
      </c>
      <c r="P197" s="86">
        <f>VLOOKUP(A197,Database!$A:$AS,MATCH($P$1,Database!$A$1:$AS$1,0),FALSE)</f>
        <v/>
      </c>
      <c r="Q197" s="86">
        <f>(((Table134567891011121314151617343[[#This Row],[JPN]]-VLOOKUP($U$1,A:Q,16,))/VLOOKUP($U$1,A:Q,16,))*100)+100</f>
        <v/>
      </c>
    </row>
    <row r="198" customFormat="1" s="94">
      <c r="A198" s="22" t="n">
        <v>38838</v>
      </c>
      <c r="B198" s="86">
        <f>VLOOKUP(A198,Database!$A:$AS,MATCH($B$1,Database!$A$1:$AS$1,0),FALSE)</f>
        <v/>
      </c>
      <c r="C198" s="86">
        <f>VLOOKUP(A198,Database!$A:$AS,MATCH($C$1,Database!$A$1:$AS$1,0),FALSE)</f>
        <v/>
      </c>
      <c r="D198" s="86">
        <f>VLOOKUP(A198,Database!$A:$AS,MATCH($D$1,Database!$A$1:$AS$1,0),FALSE)</f>
        <v/>
      </c>
      <c r="E198" s="86">
        <f>VLOOKUP(A198,Database!$A:$AS,MATCH($E$1,Database!$A$1:$AS$1,0),FALSE)</f>
        <v/>
      </c>
      <c r="F198" s="86">
        <f>VLOOKUP(A198,Database!$A:$AS,MATCH($F$1,Database!$A$1:$AS$1,0),FALSE)</f>
        <v/>
      </c>
      <c r="G198" s="86">
        <f>VLOOKUP(A198,Database!$A:$AS,MATCH($G$1,Database!$A$1:$AS$1,0),FALSE)</f>
        <v/>
      </c>
      <c r="H198" s="86">
        <f>(((Table134567891011121314151617343[[#This Row],[ITA]]-VLOOKUP($U$1,A:B,2,))/VLOOKUP($U$1,A:B,2,))*100)+100</f>
        <v/>
      </c>
      <c r="I198" s="86">
        <f>(((Table134567891011121314151617343[[#This Row],[FRA]]-VLOOKUP($U$1,A:C,3,))/VLOOKUP($U$1,A:C,3,))*100)+100</f>
        <v/>
      </c>
      <c r="J198" s="86">
        <f>(((Table134567891011121314151617343[[#This Row],[DEU]]-VLOOKUP($U$1,A:D,4,))/VLOOKUP($U$1,A:D,4,))*100)+100</f>
        <v/>
      </c>
      <c r="K198" s="86">
        <f>(((Table134567891011121314151617343[[#This Row],[ESP]]-VLOOKUP($U$1,A:E,5,))/VLOOKUP($U$1,A:E,5,))*100)+100</f>
        <v/>
      </c>
      <c r="L198" s="86">
        <f>(((Table134567891011121314151617343[[#This Row],[EA19]]-VLOOKUP($U$1,A:F,6,))/VLOOKUP($U$1,A:F,6,))*100)+100</f>
        <v/>
      </c>
      <c r="M198" s="86">
        <f>(((Table134567891011121314151617343[[#This Row],[GBR]]-VLOOKUP($U$1,A:G,7,))/VLOOKUP($U$1,A:G,7,))*100)+100</f>
        <v/>
      </c>
      <c r="N198" s="86">
        <f>VLOOKUP(A198,Database!$A:$AS,MATCH($N$1,Database!$A$1:$AS$1,0),FALSE)</f>
        <v/>
      </c>
      <c r="O198" s="86">
        <f>(((Table134567891011121314151617343[[#This Row],[USA]]-VLOOKUP($U$1,A:N,14,))/VLOOKUP($U$1,A:N,14,))*100)+100</f>
        <v/>
      </c>
      <c r="P198" s="86">
        <f>VLOOKUP(A198,Database!$A:$AS,MATCH($P$1,Database!$A$1:$AS$1,0),FALSE)</f>
        <v/>
      </c>
      <c r="Q198" s="86">
        <f>(((Table134567891011121314151617343[[#This Row],[JPN]]-VLOOKUP($U$1,A:Q,16,))/VLOOKUP($U$1,A:Q,16,))*100)+100</f>
        <v/>
      </c>
    </row>
    <row r="199" customFormat="1" s="94">
      <c r="A199" s="22" t="n">
        <v>38869</v>
      </c>
      <c r="B199" s="86">
        <f>VLOOKUP(A199,Database!$A:$AS,MATCH($B$1,Database!$A$1:$AS$1,0),FALSE)</f>
        <v/>
      </c>
      <c r="C199" s="86">
        <f>VLOOKUP(A199,Database!$A:$AS,MATCH($C$1,Database!$A$1:$AS$1,0),FALSE)</f>
        <v/>
      </c>
      <c r="D199" s="86">
        <f>VLOOKUP(A199,Database!$A:$AS,MATCH($D$1,Database!$A$1:$AS$1,0),FALSE)</f>
        <v/>
      </c>
      <c r="E199" s="86">
        <f>VLOOKUP(A199,Database!$A:$AS,MATCH($E$1,Database!$A$1:$AS$1,0),FALSE)</f>
        <v/>
      </c>
      <c r="F199" s="86">
        <f>VLOOKUP(A199,Database!$A:$AS,MATCH($F$1,Database!$A$1:$AS$1,0),FALSE)</f>
        <v/>
      </c>
      <c r="G199" s="86">
        <f>VLOOKUP(A199,Database!$A:$AS,MATCH($G$1,Database!$A$1:$AS$1,0),FALSE)</f>
        <v/>
      </c>
      <c r="H199" s="86">
        <f>(((Table134567891011121314151617343[[#This Row],[ITA]]-VLOOKUP($U$1,A:B,2,))/VLOOKUP($U$1,A:B,2,))*100)+100</f>
        <v/>
      </c>
      <c r="I199" s="86">
        <f>(((Table134567891011121314151617343[[#This Row],[FRA]]-VLOOKUP($U$1,A:C,3,))/VLOOKUP($U$1,A:C,3,))*100)+100</f>
        <v/>
      </c>
      <c r="J199" s="86">
        <f>(((Table134567891011121314151617343[[#This Row],[DEU]]-VLOOKUP($U$1,A:D,4,))/VLOOKUP($U$1,A:D,4,))*100)+100</f>
        <v/>
      </c>
      <c r="K199" s="86">
        <f>(((Table134567891011121314151617343[[#This Row],[ESP]]-VLOOKUP($U$1,A:E,5,))/VLOOKUP($U$1,A:E,5,))*100)+100</f>
        <v/>
      </c>
      <c r="L199" s="86">
        <f>(((Table134567891011121314151617343[[#This Row],[EA19]]-VLOOKUP($U$1,A:F,6,))/VLOOKUP($U$1,A:F,6,))*100)+100</f>
        <v/>
      </c>
      <c r="M199" s="86">
        <f>(((Table134567891011121314151617343[[#This Row],[GBR]]-VLOOKUP($U$1,A:G,7,))/VLOOKUP($U$1,A:G,7,))*100)+100</f>
        <v/>
      </c>
      <c r="N199" s="86">
        <f>VLOOKUP(A199,Database!$A:$AS,MATCH($N$1,Database!$A$1:$AS$1,0),FALSE)</f>
        <v/>
      </c>
      <c r="O199" s="86">
        <f>(((Table134567891011121314151617343[[#This Row],[USA]]-VLOOKUP($U$1,A:N,14,))/VLOOKUP($U$1,A:N,14,))*100)+100</f>
        <v/>
      </c>
      <c r="P199" s="86">
        <f>VLOOKUP(A199,Database!$A:$AS,MATCH($P$1,Database!$A$1:$AS$1,0),FALSE)</f>
        <v/>
      </c>
      <c r="Q199" s="86">
        <f>(((Table134567891011121314151617343[[#This Row],[JPN]]-VLOOKUP($U$1,A:Q,16,))/VLOOKUP($U$1,A:Q,16,))*100)+100</f>
        <v/>
      </c>
    </row>
    <row r="200" customFormat="1" s="94">
      <c r="A200" s="22" t="n">
        <v>38899</v>
      </c>
      <c r="B200" s="86">
        <f>VLOOKUP(A200,Database!$A:$AS,MATCH($B$1,Database!$A$1:$AS$1,0),FALSE)</f>
        <v/>
      </c>
      <c r="C200" s="86">
        <f>VLOOKUP(A200,Database!$A:$AS,MATCH($C$1,Database!$A$1:$AS$1,0),FALSE)</f>
        <v/>
      </c>
      <c r="D200" s="86">
        <f>VLOOKUP(A200,Database!$A:$AS,MATCH($D$1,Database!$A$1:$AS$1,0),FALSE)</f>
        <v/>
      </c>
      <c r="E200" s="86">
        <f>VLOOKUP(A200,Database!$A:$AS,MATCH($E$1,Database!$A$1:$AS$1,0),FALSE)</f>
        <v/>
      </c>
      <c r="F200" s="86">
        <f>VLOOKUP(A200,Database!$A:$AS,MATCH($F$1,Database!$A$1:$AS$1,0),FALSE)</f>
        <v/>
      </c>
      <c r="G200" s="86">
        <f>VLOOKUP(A200,Database!$A:$AS,MATCH($G$1,Database!$A$1:$AS$1,0),FALSE)</f>
        <v/>
      </c>
      <c r="H200" s="86">
        <f>(((Table134567891011121314151617343[[#This Row],[ITA]]-VLOOKUP($U$1,A:B,2,))/VLOOKUP($U$1,A:B,2,))*100)+100</f>
        <v/>
      </c>
      <c r="I200" s="86">
        <f>(((Table134567891011121314151617343[[#This Row],[FRA]]-VLOOKUP($U$1,A:C,3,))/VLOOKUP($U$1,A:C,3,))*100)+100</f>
        <v/>
      </c>
      <c r="J200" s="86">
        <f>(((Table134567891011121314151617343[[#This Row],[DEU]]-VLOOKUP($U$1,A:D,4,))/VLOOKUP($U$1,A:D,4,))*100)+100</f>
        <v/>
      </c>
      <c r="K200" s="86">
        <f>(((Table134567891011121314151617343[[#This Row],[ESP]]-VLOOKUP($U$1,A:E,5,))/VLOOKUP($U$1,A:E,5,))*100)+100</f>
        <v/>
      </c>
      <c r="L200" s="86">
        <f>(((Table134567891011121314151617343[[#This Row],[EA19]]-VLOOKUP($U$1,A:F,6,))/VLOOKUP($U$1,A:F,6,))*100)+100</f>
        <v/>
      </c>
      <c r="M200" s="86">
        <f>(((Table134567891011121314151617343[[#This Row],[GBR]]-VLOOKUP($U$1,A:G,7,))/VLOOKUP($U$1,A:G,7,))*100)+100</f>
        <v/>
      </c>
      <c r="N200" s="86">
        <f>VLOOKUP(A200,Database!$A:$AS,MATCH($N$1,Database!$A$1:$AS$1,0),FALSE)</f>
        <v/>
      </c>
      <c r="O200" s="86">
        <f>(((Table134567891011121314151617343[[#This Row],[USA]]-VLOOKUP($U$1,A:N,14,))/VLOOKUP($U$1,A:N,14,))*100)+100</f>
        <v/>
      </c>
      <c r="P200" s="86">
        <f>VLOOKUP(A200,Database!$A:$AS,MATCH($P$1,Database!$A$1:$AS$1,0),FALSE)</f>
        <v/>
      </c>
      <c r="Q200" s="86">
        <f>(((Table134567891011121314151617343[[#This Row],[JPN]]-VLOOKUP($U$1,A:Q,16,))/VLOOKUP($U$1,A:Q,16,))*100)+100</f>
        <v/>
      </c>
    </row>
    <row r="201" customFormat="1" s="94">
      <c r="A201" s="22" t="n">
        <v>38930</v>
      </c>
      <c r="B201" s="86">
        <f>VLOOKUP(A201,Database!$A:$AS,MATCH($B$1,Database!$A$1:$AS$1,0),FALSE)</f>
        <v/>
      </c>
      <c r="C201" s="86">
        <f>VLOOKUP(A201,Database!$A:$AS,MATCH($C$1,Database!$A$1:$AS$1,0),FALSE)</f>
        <v/>
      </c>
      <c r="D201" s="86">
        <f>VLOOKUP(A201,Database!$A:$AS,MATCH($D$1,Database!$A$1:$AS$1,0),FALSE)</f>
        <v/>
      </c>
      <c r="E201" s="86">
        <f>VLOOKUP(A201,Database!$A:$AS,MATCH($E$1,Database!$A$1:$AS$1,0),FALSE)</f>
        <v/>
      </c>
      <c r="F201" s="86">
        <f>VLOOKUP(A201,Database!$A:$AS,MATCH($F$1,Database!$A$1:$AS$1,0),FALSE)</f>
        <v/>
      </c>
      <c r="G201" s="86">
        <f>VLOOKUP(A201,Database!$A:$AS,MATCH($G$1,Database!$A$1:$AS$1,0),FALSE)</f>
        <v/>
      </c>
      <c r="H201" s="86">
        <f>(((Table134567891011121314151617343[[#This Row],[ITA]]-VLOOKUP($U$1,A:B,2,))/VLOOKUP($U$1,A:B,2,))*100)+100</f>
        <v/>
      </c>
      <c r="I201" s="86">
        <f>(((Table134567891011121314151617343[[#This Row],[FRA]]-VLOOKUP($U$1,A:C,3,))/VLOOKUP($U$1,A:C,3,))*100)+100</f>
        <v/>
      </c>
      <c r="J201" s="86">
        <f>(((Table134567891011121314151617343[[#This Row],[DEU]]-VLOOKUP($U$1,A:D,4,))/VLOOKUP($U$1,A:D,4,))*100)+100</f>
        <v/>
      </c>
      <c r="K201" s="86">
        <f>(((Table134567891011121314151617343[[#This Row],[ESP]]-VLOOKUP($U$1,A:E,5,))/VLOOKUP($U$1,A:E,5,))*100)+100</f>
        <v/>
      </c>
      <c r="L201" s="86">
        <f>(((Table134567891011121314151617343[[#This Row],[EA19]]-VLOOKUP($U$1,A:F,6,))/VLOOKUP($U$1,A:F,6,))*100)+100</f>
        <v/>
      </c>
      <c r="M201" s="86">
        <f>(((Table134567891011121314151617343[[#This Row],[GBR]]-VLOOKUP($U$1,A:G,7,))/VLOOKUP($U$1,A:G,7,))*100)+100</f>
        <v/>
      </c>
      <c r="N201" s="86">
        <f>VLOOKUP(A201,Database!$A:$AS,MATCH($N$1,Database!$A$1:$AS$1,0),FALSE)</f>
        <v/>
      </c>
      <c r="O201" s="86">
        <f>(((Table134567891011121314151617343[[#This Row],[USA]]-VLOOKUP($U$1,A:N,14,))/VLOOKUP($U$1,A:N,14,))*100)+100</f>
        <v/>
      </c>
      <c r="P201" s="86">
        <f>VLOOKUP(A201,Database!$A:$AS,MATCH($P$1,Database!$A$1:$AS$1,0),FALSE)</f>
        <v/>
      </c>
      <c r="Q201" s="86">
        <f>(((Table134567891011121314151617343[[#This Row],[JPN]]-VLOOKUP($U$1,A:Q,16,))/VLOOKUP($U$1,A:Q,16,))*100)+100</f>
        <v/>
      </c>
    </row>
    <row r="202" customFormat="1" s="94">
      <c r="A202" s="22" t="n">
        <v>38961</v>
      </c>
      <c r="B202" s="86">
        <f>VLOOKUP(A202,Database!$A:$AS,MATCH($B$1,Database!$A$1:$AS$1,0),FALSE)</f>
        <v/>
      </c>
      <c r="C202" s="86">
        <f>VLOOKUP(A202,Database!$A:$AS,MATCH($C$1,Database!$A$1:$AS$1,0),FALSE)</f>
        <v/>
      </c>
      <c r="D202" s="86">
        <f>VLOOKUP(A202,Database!$A:$AS,MATCH($D$1,Database!$A$1:$AS$1,0),FALSE)</f>
        <v/>
      </c>
      <c r="E202" s="86">
        <f>VLOOKUP(A202,Database!$A:$AS,MATCH($E$1,Database!$A$1:$AS$1,0),FALSE)</f>
        <v/>
      </c>
      <c r="F202" s="86">
        <f>VLOOKUP(A202,Database!$A:$AS,MATCH($F$1,Database!$A$1:$AS$1,0),FALSE)</f>
        <v/>
      </c>
      <c r="G202" s="86">
        <f>VLOOKUP(A202,Database!$A:$AS,MATCH($G$1,Database!$A$1:$AS$1,0),FALSE)</f>
        <v/>
      </c>
      <c r="H202" s="86">
        <f>(((Table134567891011121314151617343[[#This Row],[ITA]]-VLOOKUP($U$1,A:B,2,))/VLOOKUP($U$1,A:B,2,))*100)+100</f>
        <v/>
      </c>
      <c r="I202" s="86">
        <f>(((Table134567891011121314151617343[[#This Row],[FRA]]-VLOOKUP($U$1,A:C,3,))/VLOOKUP($U$1,A:C,3,))*100)+100</f>
        <v/>
      </c>
      <c r="J202" s="86">
        <f>(((Table134567891011121314151617343[[#This Row],[DEU]]-VLOOKUP($U$1,A:D,4,))/VLOOKUP($U$1,A:D,4,))*100)+100</f>
        <v/>
      </c>
      <c r="K202" s="86">
        <f>(((Table134567891011121314151617343[[#This Row],[ESP]]-VLOOKUP($U$1,A:E,5,))/VLOOKUP($U$1,A:E,5,))*100)+100</f>
        <v/>
      </c>
      <c r="L202" s="86">
        <f>(((Table134567891011121314151617343[[#This Row],[EA19]]-VLOOKUP($U$1,A:F,6,))/VLOOKUP($U$1,A:F,6,))*100)+100</f>
        <v/>
      </c>
      <c r="M202" s="86">
        <f>(((Table134567891011121314151617343[[#This Row],[GBR]]-VLOOKUP($U$1,A:G,7,))/VLOOKUP($U$1,A:G,7,))*100)+100</f>
        <v/>
      </c>
      <c r="N202" s="86">
        <f>VLOOKUP(A202,Database!$A:$AS,MATCH($N$1,Database!$A$1:$AS$1,0),FALSE)</f>
        <v/>
      </c>
      <c r="O202" s="86">
        <f>(((Table134567891011121314151617343[[#This Row],[USA]]-VLOOKUP($U$1,A:N,14,))/VLOOKUP($U$1,A:N,14,))*100)+100</f>
        <v/>
      </c>
      <c r="P202" s="86">
        <f>VLOOKUP(A202,Database!$A:$AS,MATCH($P$1,Database!$A$1:$AS$1,0),FALSE)</f>
        <v/>
      </c>
      <c r="Q202" s="86">
        <f>(((Table134567891011121314151617343[[#This Row],[JPN]]-VLOOKUP($U$1,A:Q,16,))/VLOOKUP($U$1,A:Q,16,))*100)+100</f>
        <v/>
      </c>
    </row>
    <row r="203" customFormat="1" s="94">
      <c r="A203" s="22" t="n">
        <v>38991</v>
      </c>
      <c r="B203" s="86">
        <f>VLOOKUP(A203,Database!$A:$AS,MATCH($B$1,Database!$A$1:$AS$1,0),FALSE)</f>
        <v/>
      </c>
      <c r="C203" s="86">
        <f>VLOOKUP(A203,Database!$A:$AS,MATCH($C$1,Database!$A$1:$AS$1,0),FALSE)</f>
        <v/>
      </c>
      <c r="D203" s="86">
        <f>VLOOKUP(A203,Database!$A:$AS,MATCH($D$1,Database!$A$1:$AS$1,0),FALSE)</f>
        <v/>
      </c>
      <c r="E203" s="86">
        <f>VLOOKUP(A203,Database!$A:$AS,MATCH($E$1,Database!$A$1:$AS$1,0),FALSE)</f>
        <v/>
      </c>
      <c r="F203" s="86">
        <f>VLOOKUP(A203,Database!$A:$AS,MATCH($F$1,Database!$A$1:$AS$1,0),FALSE)</f>
        <v/>
      </c>
      <c r="G203" s="86">
        <f>VLOOKUP(A203,Database!$A:$AS,MATCH($G$1,Database!$A$1:$AS$1,0),FALSE)</f>
        <v/>
      </c>
      <c r="H203" s="86">
        <f>(((Table134567891011121314151617343[[#This Row],[ITA]]-VLOOKUP($U$1,A:B,2,))/VLOOKUP($U$1,A:B,2,))*100)+100</f>
        <v/>
      </c>
      <c r="I203" s="86">
        <f>(((Table134567891011121314151617343[[#This Row],[FRA]]-VLOOKUP($U$1,A:C,3,))/VLOOKUP($U$1,A:C,3,))*100)+100</f>
        <v/>
      </c>
      <c r="J203" s="86">
        <f>(((Table134567891011121314151617343[[#This Row],[DEU]]-VLOOKUP($U$1,A:D,4,))/VLOOKUP($U$1,A:D,4,))*100)+100</f>
        <v/>
      </c>
      <c r="K203" s="86">
        <f>(((Table134567891011121314151617343[[#This Row],[ESP]]-VLOOKUP($U$1,A:E,5,))/VLOOKUP($U$1,A:E,5,))*100)+100</f>
        <v/>
      </c>
      <c r="L203" s="86">
        <f>(((Table134567891011121314151617343[[#This Row],[EA19]]-VLOOKUP($U$1,A:F,6,))/VLOOKUP($U$1,A:F,6,))*100)+100</f>
        <v/>
      </c>
      <c r="M203" s="86">
        <f>(((Table134567891011121314151617343[[#This Row],[GBR]]-VLOOKUP($U$1,A:G,7,))/VLOOKUP($U$1,A:G,7,))*100)+100</f>
        <v/>
      </c>
      <c r="N203" s="86">
        <f>VLOOKUP(A203,Database!$A:$AS,MATCH($N$1,Database!$A$1:$AS$1,0),FALSE)</f>
        <v/>
      </c>
      <c r="O203" s="86">
        <f>(((Table134567891011121314151617343[[#This Row],[USA]]-VLOOKUP($U$1,A:N,14,))/VLOOKUP($U$1,A:N,14,))*100)+100</f>
        <v/>
      </c>
      <c r="P203" s="86">
        <f>VLOOKUP(A203,Database!$A:$AS,MATCH($P$1,Database!$A$1:$AS$1,0),FALSE)</f>
        <v/>
      </c>
      <c r="Q203" s="86">
        <f>(((Table134567891011121314151617343[[#This Row],[JPN]]-VLOOKUP($U$1,A:Q,16,))/VLOOKUP($U$1,A:Q,16,))*100)+100</f>
        <v/>
      </c>
    </row>
    <row r="204" customFormat="1" s="94">
      <c r="A204" s="22" t="n">
        <v>39022</v>
      </c>
      <c r="B204" s="86">
        <f>VLOOKUP(A204,Database!$A:$AS,MATCH($B$1,Database!$A$1:$AS$1,0),FALSE)</f>
        <v/>
      </c>
      <c r="C204" s="86">
        <f>VLOOKUP(A204,Database!$A:$AS,MATCH($C$1,Database!$A$1:$AS$1,0),FALSE)</f>
        <v/>
      </c>
      <c r="D204" s="86">
        <f>VLOOKUP(A204,Database!$A:$AS,MATCH($D$1,Database!$A$1:$AS$1,0),FALSE)</f>
        <v/>
      </c>
      <c r="E204" s="86">
        <f>VLOOKUP(A204,Database!$A:$AS,MATCH($E$1,Database!$A$1:$AS$1,0),FALSE)</f>
        <v/>
      </c>
      <c r="F204" s="86">
        <f>VLOOKUP(A204,Database!$A:$AS,MATCH($F$1,Database!$A$1:$AS$1,0),FALSE)</f>
        <v/>
      </c>
      <c r="G204" s="86">
        <f>VLOOKUP(A204,Database!$A:$AS,MATCH($G$1,Database!$A$1:$AS$1,0),FALSE)</f>
        <v/>
      </c>
      <c r="H204" s="86">
        <f>(((Table134567891011121314151617343[[#This Row],[ITA]]-VLOOKUP($U$1,A:B,2,))/VLOOKUP($U$1,A:B,2,))*100)+100</f>
        <v/>
      </c>
      <c r="I204" s="86">
        <f>(((Table134567891011121314151617343[[#This Row],[FRA]]-VLOOKUP($U$1,A:C,3,))/VLOOKUP($U$1,A:C,3,))*100)+100</f>
        <v/>
      </c>
      <c r="J204" s="86">
        <f>(((Table134567891011121314151617343[[#This Row],[DEU]]-VLOOKUP($U$1,A:D,4,))/VLOOKUP($U$1,A:D,4,))*100)+100</f>
        <v/>
      </c>
      <c r="K204" s="86">
        <f>(((Table134567891011121314151617343[[#This Row],[ESP]]-VLOOKUP($U$1,A:E,5,))/VLOOKUP($U$1,A:E,5,))*100)+100</f>
        <v/>
      </c>
      <c r="L204" s="86">
        <f>(((Table134567891011121314151617343[[#This Row],[EA19]]-VLOOKUP($U$1,A:F,6,))/VLOOKUP($U$1,A:F,6,))*100)+100</f>
        <v/>
      </c>
      <c r="M204" s="86">
        <f>(((Table134567891011121314151617343[[#This Row],[GBR]]-VLOOKUP($U$1,A:G,7,))/VLOOKUP($U$1,A:G,7,))*100)+100</f>
        <v/>
      </c>
      <c r="N204" s="86">
        <f>VLOOKUP(A204,Database!$A:$AS,MATCH($N$1,Database!$A$1:$AS$1,0),FALSE)</f>
        <v/>
      </c>
      <c r="O204" s="86">
        <f>(((Table134567891011121314151617343[[#This Row],[USA]]-VLOOKUP($U$1,A:N,14,))/VLOOKUP($U$1,A:N,14,))*100)+100</f>
        <v/>
      </c>
      <c r="P204" s="86">
        <f>VLOOKUP(A204,Database!$A:$AS,MATCH($P$1,Database!$A$1:$AS$1,0),FALSE)</f>
        <v/>
      </c>
      <c r="Q204" s="86">
        <f>(((Table134567891011121314151617343[[#This Row],[JPN]]-VLOOKUP($U$1,A:Q,16,))/VLOOKUP($U$1,A:Q,16,))*100)+100</f>
        <v/>
      </c>
    </row>
    <row r="205" customFormat="1" s="94">
      <c r="A205" s="22" t="n">
        <v>39052</v>
      </c>
      <c r="B205" s="86">
        <f>VLOOKUP(A205,Database!$A:$AS,MATCH($B$1,Database!$A$1:$AS$1,0),FALSE)</f>
        <v/>
      </c>
      <c r="C205" s="86">
        <f>VLOOKUP(A205,Database!$A:$AS,MATCH($C$1,Database!$A$1:$AS$1,0),FALSE)</f>
        <v/>
      </c>
      <c r="D205" s="86">
        <f>VLOOKUP(A205,Database!$A:$AS,MATCH($D$1,Database!$A$1:$AS$1,0),FALSE)</f>
        <v/>
      </c>
      <c r="E205" s="86">
        <f>VLOOKUP(A205,Database!$A:$AS,MATCH($E$1,Database!$A$1:$AS$1,0),FALSE)</f>
        <v/>
      </c>
      <c r="F205" s="86">
        <f>VLOOKUP(A205,Database!$A:$AS,MATCH($F$1,Database!$A$1:$AS$1,0),FALSE)</f>
        <v/>
      </c>
      <c r="G205" s="86">
        <f>VLOOKUP(A205,Database!$A:$AS,MATCH($G$1,Database!$A$1:$AS$1,0),FALSE)</f>
        <v/>
      </c>
      <c r="H205" s="86">
        <f>(((Table134567891011121314151617343[[#This Row],[ITA]]-VLOOKUP($U$1,A:B,2,))/VLOOKUP($U$1,A:B,2,))*100)+100</f>
        <v/>
      </c>
      <c r="I205" s="86">
        <f>(((Table134567891011121314151617343[[#This Row],[FRA]]-VLOOKUP($U$1,A:C,3,))/VLOOKUP($U$1,A:C,3,))*100)+100</f>
        <v/>
      </c>
      <c r="J205" s="86">
        <f>(((Table134567891011121314151617343[[#This Row],[DEU]]-VLOOKUP($U$1,A:D,4,))/VLOOKUP($U$1,A:D,4,))*100)+100</f>
        <v/>
      </c>
      <c r="K205" s="86">
        <f>(((Table134567891011121314151617343[[#This Row],[ESP]]-VLOOKUP($U$1,A:E,5,))/VLOOKUP($U$1,A:E,5,))*100)+100</f>
        <v/>
      </c>
      <c r="L205" s="86">
        <f>(((Table134567891011121314151617343[[#This Row],[EA19]]-VLOOKUP($U$1,A:F,6,))/VLOOKUP($U$1,A:F,6,))*100)+100</f>
        <v/>
      </c>
      <c r="M205" s="86">
        <f>(((Table134567891011121314151617343[[#This Row],[GBR]]-VLOOKUP($U$1,A:G,7,))/VLOOKUP($U$1,A:G,7,))*100)+100</f>
        <v/>
      </c>
      <c r="N205" s="86">
        <f>VLOOKUP(A205,Database!$A:$AS,MATCH($N$1,Database!$A$1:$AS$1,0),FALSE)</f>
        <v/>
      </c>
      <c r="O205" s="86">
        <f>(((Table134567891011121314151617343[[#This Row],[USA]]-VLOOKUP($U$1,A:N,14,))/VLOOKUP($U$1,A:N,14,))*100)+100</f>
        <v/>
      </c>
      <c r="P205" s="86">
        <f>VLOOKUP(A205,Database!$A:$AS,MATCH($P$1,Database!$A$1:$AS$1,0),FALSE)</f>
        <v/>
      </c>
      <c r="Q205" s="86">
        <f>(((Table134567891011121314151617343[[#This Row],[JPN]]-VLOOKUP($U$1,A:Q,16,))/VLOOKUP($U$1,A:Q,16,))*100)+100</f>
        <v/>
      </c>
    </row>
    <row r="206" customFormat="1" s="94">
      <c r="A206" s="22" t="n">
        <v>39083</v>
      </c>
      <c r="B206" s="86">
        <f>VLOOKUP(A206,Database!$A:$AS,MATCH($B$1,Database!$A$1:$AS$1,0),FALSE)</f>
        <v/>
      </c>
      <c r="C206" s="86">
        <f>VLOOKUP(A206,Database!$A:$AS,MATCH($C$1,Database!$A$1:$AS$1,0),FALSE)</f>
        <v/>
      </c>
      <c r="D206" s="86">
        <f>VLOOKUP(A206,Database!$A:$AS,MATCH($D$1,Database!$A$1:$AS$1,0),FALSE)</f>
        <v/>
      </c>
      <c r="E206" s="86">
        <f>VLOOKUP(A206,Database!$A:$AS,MATCH($E$1,Database!$A$1:$AS$1,0),FALSE)</f>
        <v/>
      </c>
      <c r="F206" s="86">
        <f>VLOOKUP(A206,Database!$A:$AS,MATCH($F$1,Database!$A$1:$AS$1,0),FALSE)</f>
        <v/>
      </c>
      <c r="G206" s="86">
        <f>VLOOKUP(A206,Database!$A:$AS,MATCH($G$1,Database!$A$1:$AS$1,0),FALSE)</f>
        <v/>
      </c>
      <c r="H206" s="86">
        <f>(((Table134567891011121314151617343[[#This Row],[ITA]]-VLOOKUP($U$1,A:B,2,))/VLOOKUP($U$1,A:B,2,))*100)+100</f>
        <v/>
      </c>
      <c r="I206" s="86">
        <f>(((Table134567891011121314151617343[[#This Row],[FRA]]-VLOOKUP($U$1,A:C,3,))/VLOOKUP($U$1,A:C,3,))*100)+100</f>
        <v/>
      </c>
      <c r="J206" s="86">
        <f>(((Table134567891011121314151617343[[#This Row],[DEU]]-VLOOKUP($U$1,A:D,4,))/VLOOKUP($U$1,A:D,4,))*100)+100</f>
        <v/>
      </c>
      <c r="K206" s="86">
        <f>(((Table134567891011121314151617343[[#This Row],[ESP]]-VLOOKUP($U$1,A:E,5,))/VLOOKUP($U$1,A:E,5,))*100)+100</f>
        <v/>
      </c>
      <c r="L206" s="86">
        <f>(((Table134567891011121314151617343[[#This Row],[EA19]]-VLOOKUP($U$1,A:F,6,))/VLOOKUP($U$1,A:F,6,))*100)+100</f>
        <v/>
      </c>
      <c r="M206" s="86">
        <f>(((Table134567891011121314151617343[[#This Row],[GBR]]-VLOOKUP($U$1,A:G,7,))/VLOOKUP($U$1,A:G,7,))*100)+100</f>
        <v/>
      </c>
      <c r="N206" s="86">
        <f>VLOOKUP(A206,Database!$A:$AS,MATCH($N$1,Database!$A$1:$AS$1,0),FALSE)</f>
        <v/>
      </c>
      <c r="O206" s="86">
        <f>(((Table134567891011121314151617343[[#This Row],[USA]]-VLOOKUP($U$1,A:N,14,))/VLOOKUP($U$1,A:N,14,))*100)+100</f>
        <v/>
      </c>
      <c r="P206" s="86">
        <f>VLOOKUP(A206,Database!$A:$AS,MATCH($P$1,Database!$A$1:$AS$1,0),FALSE)</f>
        <v/>
      </c>
      <c r="Q206" s="86">
        <f>(((Table134567891011121314151617343[[#This Row],[JPN]]-VLOOKUP($U$1,A:Q,16,))/VLOOKUP($U$1,A:Q,16,))*100)+100</f>
        <v/>
      </c>
    </row>
    <row r="207" customFormat="1" s="94">
      <c r="A207" s="22" t="n">
        <v>39114</v>
      </c>
      <c r="B207" s="86">
        <f>VLOOKUP(A207,Database!$A:$AS,MATCH($B$1,Database!$A$1:$AS$1,0),FALSE)</f>
        <v/>
      </c>
      <c r="C207" s="86">
        <f>VLOOKUP(A207,Database!$A:$AS,MATCH($C$1,Database!$A$1:$AS$1,0),FALSE)</f>
        <v/>
      </c>
      <c r="D207" s="86">
        <f>VLOOKUP(A207,Database!$A:$AS,MATCH($D$1,Database!$A$1:$AS$1,0),FALSE)</f>
        <v/>
      </c>
      <c r="E207" s="86">
        <f>VLOOKUP(A207,Database!$A:$AS,MATCH($E$1,Database!$A$1:$AS$1,0),FALSE)</f>
        <v/>
      </c>
      <c r="F207" s="86">
        <f>VLOOKUP(A207,Database!$A:$AS,MATCH($F$1,Database!$A$1:$AS$1,0),FALSE)</f>
        <v/>
      </c>
      <c r="G207" s="86">
        <f>VLOOKUP(A207,Database!$A:$AS,MATCH($G$1,Database!$A$1:$AS$1,0),FALSE)</f>
        <v/>
      </c>
      <c r="H207" s="86">
        <f>(((Table134567891011121314151617343[[#This Row],[ITA]]-VLOOKUP($U$1,A:B,2,))/VLOOKUP($U$1,A:B,2,))*100)+100</f>
        <v/>
      </c>
      <c r="I207" s="86">
        <f>(((Table134567891011121314151617343[[#This Row],[FRA]]-VLOOKUP($U$1,A:C,3,))/VLOOKUP($U$1,A:C,3,))*100)+100</f>
        <v/>
      </c>
      <c r="J207" s="86">
        <f>(((Table134567891011121314151617343[[#This Row],[DEU]]-VLOOKUP($U$1,A:D,4,))/VLOOKUP($U$1,A:D,4,))*100)+100</f>
        <v/>
      </c>
      <c r="K207" s="86">
        <f>(((Table134567891011121314151617343[[#This Row],[ESP]]-VLOOKUP($U$1,A:E,5,))/VLOOKUP($U$1,A:E,5,))*100)+100</f>
        <v/>
      </c>
      <c r="L207" s="86">
        <f>(((Table134567891011121314151617343[[#This Row],[EA19]]-VLOOKUP($U$1,A:F,6,))/VLOOKUP($U$1,A:F,6,))*100)+100</f>
        <v/>
      </c>
      <c r="M207" s="86">
        <f>(((Table134567891011121314151617343[[#This Row],[GBR]]-VLOOKUP($U$1,A:G,7,))/VLOOKUP($U$1,A:G,7,))*100)+100</f>
        <v/>
      </c>
      <c r="N207" s="86">
        <f>VLOOKUP(A207,Database!$A:$AS,MATCH($N$1,Database!$A$1:$AS$1,0),FALSE)</f>
        <v/>
      </c>
      <c r="O207" s="86">
        <f>(((Table134567891011121314151617343[[#This Row],[USA]]-VLOOKUP($U$1,A:N,14,))/VLOOKUP($U$1,A:N,14,))*100)+100</f>
        <v/>
      </c>
      <c r="P207" s="86">
        <f>VLOOKUP(A207,Database!$A:$AS,MATCH($P$1,Database!$A$1:$AS$1,0),FALSE)</f>
        <v/>
      </c>
      <c r="Q207" s="86">
        <f>(((Table134567891011121314151617343[[#This Row],[JPN]]-VLOOKUP($U$1,A:Q,16,))/VLOOKUP($U$1,A:Q,16,))*100)+100</f>
        <v/>
      </c>
    </row>
    <row r="208" customFormat="1" s="94">
      <c r="A208" s="22" t="n">
        <v>39142</v>
      </c>
      <c r="B208" s="86">
        <f>VLOOKUP(A208,Database!$A:$AS,MATCH($B$1,Database!$A$1:$AS$1,0),FALSE)</f>
        <v/>
      </c>
      <c r="C208" s="86">
        <f>VLOOKUP(A208,Database!$A:$AS,MATCH($C$1,Database!$A$1:$AS$1,0),FALSE)</f>
        <v/>
      </c>
      <c r="D208" s="86">
        <f>VLOOKUP(A208,Database!$A:$AS,MATCH($D$1,Database!$A$1:$AS$1,0),FALSE)</f>
        <v/>
      </c>
      <c r="E208" s="86">
        <f>VLOOKUP(A208,Database!$A:$AS,MATCH($E$1,Database!$A$1:$AS$1,0),FALSE)</f>
        <v/>
      </c>
      <c r="F208" s="86">
        <f>VLOOKUP(A208,Database!$A:$AS,MATCH($F$1,Database!$A$1:$AS$1,0),FALSE)</f>
        <v/>
      </c>
      <c r="G208" s="86">
        <f>VLOOKUP(A208,Database!$A:$AS,MATCH($G$1,Database!$A$1:$AS$1,0),FALSE)</f>
        <v/>
      </c>
      <c r="H208" s="86">
        <f>(((Table134567891011121314151617343[[#This Row],[ITA]]-VLOOKUP($U$1,A:B,2,))/VLOOKUP($U$1,A:B,2,))*100)+100</f>
        <v/>
      </c>
      <c r="I208" s="86">
        <f>(((Table134567891011121314151617343[[#This Row],[FRA]]-VLOOKUP($U$1,A:C,3,))/VLOOKUP($U$1,A:C,3,))*100)+100</f>
        <v/>
      </c>
      <c r="J208" s="86">
        <f>(((Table134567891011121314151617343[[#This Row],[DEU]]-VLOOKUP($U$1,A:D,4,))/VLOOKUP($U$1,A:D,4,))*100)+100</f>
        <v/>
      </c>
      <c r="K208" s="86">
        <f>(((Table134567891011121314151617343[[#This Row],[ESP]]-VLOOKUP($U$1,A:E,5,))/VLOOKUP($U$1,A:E,5,))*100)+100</f>
        <v/>
      </c>
      <c r="L208" s="86">
        <f>(((Table134567891011121314151617343[[#This Row],[EA19]]-VLOOKUP($U$1,A:F,6,))/VLOOKUP($U$1,A:F,6,))*100)+100</f>
        <v/>
      </c>
      <c r="M208" s="86">
        <f>(((Table134567891011121314151617343[[#This Row],[GBR]]-VLOOKUP($U$1,A:G,7,))/VLOOKUP($U$1,A:G,7,))*100)+100</f>
        <v/>
      </c>
      <c r="N208" s="86">
        <f>VLOOKUP(A208,Database!$A:$AS,MATCH($N$1,Database!$A$1:$AS$1,0),FALSE)</f>
        <v/>
      </c>
      <c r="O208" s="86">
        <f>(((Table134567891011121314151617343[[#This Row],[USA]]-VLOOKUP($U$1,A:N,14,))/VLOOKUP($U$1,A:N,14,))*100)+100</f>
        <v/>
      </c>
      <c r="P208" s="86">
        <f>VLOOKUP(A208,Database!$A:$AS,MATCH($P$1,Database!$A$1:$AS$1,0),FALSE)</f>
        <v/>
      </c>
      <c r="Q208" s="86">
        <f>(((Table134567891011121314151617343[[#This Row],[JPN]]-VLOOKUP($U$1,A:Q,16,))/VLOOKUP($U$1,A:Q,16,))*100)+100</f>
        <v/>
      </c>
    </row>
    <row r="209" customFormat="1" s="94">
      <c r="A209" s="22" t="n">
        <v>39173</v>
      </c>
      <c r="B209" s="86">
        <f>VLOOKUP(A209,Database!$A:$AS,MATCH($B$1,Database!$A$1:$AS$1,0),FALSE)</f>
        <v/>
      </c>
      <c r="C209" s="86">
        <f>VLOOKUP(A209,Database!$A:$AS,MATCH($C$1,Database!$A$1:$AS$1,0),FALSE)</f>
        <v/>
      </c>
      <c r="D209" s="86">
        <f>VLOOKUP(A209,Database!$A:$AS,MATCH($D$1,Database!$A$1:$AS$1,0),FALSE)</f>
        <v/>
      </c>
      <c r="E209" s="86">
        <f>VLOOKUP(A209,Database!$A:$AS,MATCH($E$1,Database!$A$1:$AS$1,0),FALSE)</f>
        <v/>
      </c>
      <c r="F209" s="86">
        <f>VLOOKUP(A209,Database!$A:$AS,MATCH($F$1,Database!$A$1:$AS$1,0),FALSE)</f>
        <v/>
      </c>
      <c r="G209" s="86">
        <f>VLOOKUP(A209,Database!$A:$AS,MATCH($G$1,Database!$A$1:$AS$1,0),FALSE)</f>
        <v/>
      </c>
      <c r="H209" s="86">
        <f>(((Table134567891011121314151617343[[#This Row],[ITA]]-VLOOKUP($U$1,A:B,2,))/VLOOKUP($U$1,A:B,2,))*100)+100</f>
        <v/>
      </c>
      <c r="I209" s="86">
        <f>(((Table134567891011121314151617343[[#This Row],[FRA]]-VLOOKUP($U$1,A:C,3,))/VLOOKUP($U$1,A:C,3,))*100)+100</f>
        <v/>
      </c>
      <c r="J209" s="86">
        <f>(((Table134567891011121314151617343[[#This Row],[DEU]]-VLOOKUP($U$1,A:D,4,))/VLOOKUP($U$1,A:D,4,))*100)+100</f>
        <v/>
      </c>
      <c r="K209" s="86">
        <f>(((Table134567891011121314151617343[[#This Row],[ESP]]-VLOOKUP($U$1,A:E,5,))/VLOOKUP($U$1,A:E,5,))*100)+100</f>
        <v/>
      </c>
      <c r="L209" s="86">
        <f>(((Table134567891011121314151617343[[#This Row],[EA19]]-VLOOKUP($U$1,A:F,6,))/VLOOKUP($U$1,A:F,6,))*100)+100</f>
        <v/>
      </c>
      <c r="M209" s="86">
        <f>(((Table134567891011121314151617343[[#This Row],[GBR]]-VLOOKUP($U$1,A:G,7,))/VLOOKUP($U$1,A:G,7,))*100)+100</f>
        <v/>
      </c>
      <c r="N209" s="86">
        <f>VLOOKUP(A209,Database!$A:$AS,MATCH($N$1,Database!$A$1:$AS$1,0),FALSE)</f>
        <v/>
      </c>
      <c r="O209" s="86">
        <f>(((Table134567891011121314151617343[[#This Row],[USA]]-VLOOKUP($U$1,A:N,14,))/VLOOKUP($U$1,A:N,14,))*100)+100</f>
        <v/>
      </c>
      <c r="P209" s="86">
        <f>VLOOKUP(A209,Database!$A:$AS,MATCH($P$1,Database!$A$1:$AS$1,0),FALSE)</f>
        <v/>
      </c>
      <c r="Q209" s="86">
        <f>(((Table134567891011121314151617343[[#This Row],[JPN]]-VLOOKUP($U$1,A:Q,16,))/VLOOKUP($U$1,A:Q,16,))*100)+100</f>
        <v/>
      </c>
    </row>
    <row r="210" customFormat="1" s="94">
      <c r="A210" s="22" t="n">
        <v>39203</v>
      </c>
      <c r="B210" s="86">
        <f>VLOOKUP(A210,Database!$A:$AS,MATCH($B$1,Database!$A$1:$AS$1,0),FALSE)</f>
        <v/>
      </c>
      <c r="C210" s="86">
        <f>VLOOKUP(A210,Database!$A:$AS,MATCH($C$1,Database!$A$1:$AS$1,0),FALSE)</f>
        <v/>
      </c>
      <c r="D210" s="86">
        <f>VLOOKUP(A210,Database!$A:$AS,MATCH($D$1,Database!$A$1:$AS$1,0),FALSE)</f>
        <v/>
      </c>
      <c r="E210" s="86">
        <f>VLOOKUP(A210,Database!$A:$AS,MATCH($E$1,Database!$A$1:$AS$1,0),FALSE)</f>
        <v/>
      </c>
      <c r="F210" s="86">
        <f>VLOOKUP(A210,Database!$A:$AS,MATCH($F$1,Database!$A$1:$AS$1,0),FALSE)</f>
        <v/>
      </c>
      <c r="G210" s="86">
        <f>VLOOKUP(A210,Database!$A:$AS,MATCH($G$1,Database!$A$1:$AS$1,0),FALSE)</f>
        <v/>
      </c>
      <c r="H210" s="86">
        <f>(((Table134567891011121314151617343[[#This Row],[ITA]]-VLOOKUP($U$1,A:B,2,))/VLOOKUP($U$1,A:B,2,))*100)+100</f>
        <v/>
      </c>
      <c r="I210" s="86">
        <f>(((Table134567891011121314151617343[[#This Row],[FRA]]-VLOOKUP($U$1,A:C,3,))/VLOOKUP($U$1,A:C,3,))*100)+100</f>
        <v/>
      </c>
      <c r="J210" s="86">
        <f>(((Table134567891011121314151617343[[#This Row],[DEU]]-VLOOKUP($U$1,A:D,4,))/VLOOKUP($U$1,A:D,4,))*100)+100</f>
        <v/>
      </c>
      <c r="K210" s="86">
        <f>(((Table134567891011121314151617343[[#This Row],[ESP]]-VLOOKUP($U$1,A:E,5,))/VLOOKUP($U$1,A:E,5,))*100)+100</f>
        <v/>
      </c>
      <c r="L210" s="86">
        <f>(((Table134567891011121314151617343[[#This Row],[EA19]]-VLOOKUP($U$1,A:F,6,))/VLOOKUP($U$1,A:F,6,))*100)+100</f>
        <v/>
      </c>
      <c r="M210" s="86">
        <f>(((Table134567891011121314151617343[[#This Row],[GBR]]-VLOOKUP($U$1,A:G,7,))/VLOOKUP($U$1,A:G,7,))*100)+100</f>
        <v/>
      </c>
      <c r="N210" s="86">
        <f>VLOOKUP(A210,Database!$A:$AS,MATCH($N$1,Database!$A$1:$AS$1,0),FALSE)</f>
        <v/>
      </c>
      <c r="O210" s="86">
        <f>(((Table134567891011121314151617343[[#This Row],[USA]]-VLOOKUP($U$1,A:N,14,))/VLOOKUP($U$1,A:N,14,))*100)+100</f>
        <v/>
      </c>
      <c r="P210" s="86">
        <f>VLOOKUP(A210,Database!$A:$AS,MATCH($P$1,Database!$A$1:$AS$1,0),FALSE)</f>
        <v/>
      </c>
      <c r="Q210" s="86">
        <f>(((Table134567891011121314151617343[[#This Row],[JPN]]-VLOOKUP($U$1,A:Q,16,))/VLOOKUP($U$1,A:Q,16,))*100)+100</f>
        <v/>
      </c>
    </row>
    <row r="211" customFormat="1" s="94">
      <c r="A211" s="22" t="n">
        <v>39234</v>
      </c>
      <c r="B211" s="86">
        <f>VLOOKUP(A211,Database!$A:$AS,MATCH($B$1,Database!$A$1:$AS$1,0),FALSE)</f>
        <v/>
      </c>
      <c r="C211" s="86">
        <f>VLOOKUP(A211,Database!$A:$AS,MATCH($C$1,Database!$A$1:$AS$1,0),FALSE)</f>
        <v/>
      </c>
      <c r="D211" s="86">
        <f>VLOOKUP(A211,Database!$A:$AS,MATCH($D$1,Database!$A$1:$AS$1,0),FALSE)</f>
        <v/>
      </c>
      <c r="E211" s="86">
        <f>VLOOKUP(A211,Database!$A:$AS,MATCH($E$1,Database!$A$1:$AS$1,0),FALSE)</f>
        <v/>
      </c>
      <c r="F211" s="86">
        <f>VLOOKUP(A211,Database!$A:$AS,MATCH($F$1,Database!$A$1:$AS$1,0),FALSE)</f>
        <v/>
      </c>
      <c r="G211" s="86">
        <f>VLOOKUP(A211,Database!$A:$AS,MATCH($G$1,Database!$A$1:$AS$1,0),FALSE)</f>
        <v/>
      </c>
      <c r="H211" s="86">
        <f>(((Table134567891011121314151617343[[#This Row],[ITA]]-VLOOKUP($U$1,A:B,2,))/VLOOKUP($U$1,A:B,2,))*100)+100</f>
        <v/>
      </c>
      <c r="I211" s="86">
        <f>(((Table134567891011121314151617343[[#This Row],[FRA]]-VLOOKUP($U$1,A:C,3,))/VLOOKUP($U$1,A:C,3,))*100)+100</f>
        <v/>
      </c>
      <c r="J211" s="86">
        <f>(((Table134567891011121314151617343[[#This Row],[DEU]]-VLOOKUP($U$1,A:D,4,))/VLOOKUP($U$1,A:D,4,))*100)+100</f>
        <v/>
      </c>
      <c r="K211" s="86">
        <f>(((Table134567891011121314151617343[[#This Row],[ESP]]-VLOOKUP($U$1,A:E,5,))/VLOOKUP($U$1,A:E,5,))*100)+100</f>
        <v/>
      </c>
      <c r="L211" s="86">
        <f>(((Table134567891011121314151617343[[#This Row],[EA19]]-VLOOKUP($U$1,A:F,6,))/VLOOKUP($U$1,A:F,6,))*100)+100</f>
        <v/>
      </c>
      <c r="M211" s="86">
        <f>(((Table134567891011121314151617343[[#This Row],[GBR]]-VLOOKUP($U$1,A:G,7,))/VLOOKUP($U$1,A:G,7,))*100)+100</f>
        <v/>
      </c>
      <c r="N211" s="86">
        <f>VLOOKUP(A211,Database!$A:$AS,MATCH($N$1,Database!$A$1:$AS$1,0),FALSE)</f>
        <v/>
      </c>
      <c r="O211" s="86">
        <f>(((Table134567891011121314151617343[[#This Row],[USA]]-VLOOKUP($U$1,A:N,14,))/VLOOKUP($U$1,A:N,14,))*100)+100</f>
        <v/>
      </c>
      <c r="P211" s="86">
        <f>VLOOKUP(A211,Database!$A:$AS,MATCH($P$1,Database!$A$1:$AS$1,0),FALSE)</f>
        <v/>
      </c>
      <c r="Q211" s="86">
        <f>(((Table134567891011121314151617343[[#This Row],[JPN]]-VLOOKUP($U$1,A:Q,16,))/VLOOKUP($U$1,A:Q,16,))*100)+100</f>
        <v/>
      </c>
    </row>
    <row r="212" customFormat="1" s="94">
      <c r="A212" s="22" t="n">
        <v>39264</v>
      </c>
      <c r="B212" s="86">
        <f>VLOOKUP(A212,Database!$A:$AS,MATCH($B$1,Database!$A$1:$AS$1,0),FALSE)</f>
        <v/>
      </c>
      <c r="C212" s="86">
        <f>VLOOKUP(A212,Database!$A:$AS,MATCH($C$1,Database!$A$1:$AS$1,0),FALSE)</f>
        <v/>
      </c>
      <c r="D212" s="86">
        <f>VLOOKUP(A212,Database!$A:$AS,MATCH($D$1,Database!$A$1:$AS$1,0),FALSE)</f>
        <v/>
      </c>
      <c r="E212" s="86">
        <f>VLOOKUP(A212,Database!$A:$AS,MATCH($E$1,Database!$A$1:$AS$1,0),FALSE)</f>
        <v/>
      </c>
      <c r="F212" s="86">
        <f>VLOOKUP(A212,Database!$A:$AS,MATCH($F$1,Database!$A$1:$AS$1,0),FALSE)</f>
        <v/>
      </c>
      <c r="G212" s="86">
        <f>VLOOKUP(A212,Database!$A:$AS,MATCH($G$1,Database!$A$1:$AS$1,0),FALSE)</f>
        <v/>
      </c>
      <c r="H212" s="86">
        <f>(((Table134567891011121314151617343[[#This Row],[ITA]]-VLOOKUP($U$1,A:B,2,))/VLOOKUP($U$1,A:B,2,))*100)+100</f>
        <v/>
      </c>
      <c r="I212" s="86">
        <f>(((Table134567891011121314151617343[[#This Row],[FRA]]-VLOOKUP($U$1,A:C,3,))/VLOOKUP($U$1,A:C,3,))*100)+100</f>
        <v/>
      </c>
      <c r="J212" s="86">
        <f>(((Table134567891011121314151617343[[#This Row],[DEU]]-VLOOKUP($U$1,A:D,4,))/VLOOKUP($U$1,A:D,4,))*100)+100</f>
        <v/>
      </c>
      <c r="K212" s="86">
        <f>(((Table134567891011121314151617343[[#This Row],[ESP]]-VLOOKUP($U$1,A:E,5,))/VLOOKUP($U$1,A:E,5,))*100)+100</f>
        <v/>
      </c>
      <c r="L212" s="86">
        <f>(((Table134567891011121314151617343[[#This Row],[EA19]]-VLOOKUP($U$1,A:F,6,))/VLOOKUP($U$1,A:F,6,))*100)+100</f>
        <v/>
      </c>
      <c r="M212" s="86">
        <f>(((Table134567891011121314151617343[[#This Row],[GBR]]-VLOOKUP($U$1,A:G,7,))/VLOOKUP($U$1,A:G,7,))*100)+100</f>
        <v/>
      </c>
      <c r="N212" s="86">
        <f>VLOOKUP(A212,Database!$A:$AS,MATCH($N$1,Database!$A$1:$AS$1,0),FALSE)</f>
        <v/>
      </c>
      <c r="O212" s="86">
        <f>(((Table134567891011121314151617343[[#This Row],[USA]]-VLOOKUP($U$1,A:N,14,))/VLOOKUP($U$1,A:N,14,))*100)+100</f>
        <v/>
      </c>
      <c r="P212" s="86">
        <f>VLOOKUP(A212,Database!$A:$AS,MATCH($P$1,Database!$A$1:$AS$1,0),FALSE)</f>
        <v/>
      </c>
      <c r="Q212" s="86">
        <f>(((Table134567891011121314151617343[[#This Row],[JPN]]-VLOOKUP($U$1,A:Q,16,))/VLOOKUP($U$1,A:Q,16,))*100)+100</f>
        <v/>
      </c>
    </row>
    <row r="213" customFormat="1" s="94">
      <c r="A213" s="22" t="n">
        <v>39295</v>
      </c>
      <c r="B213" s="86">
        <f>VLOOKUP(A213,Database!$A:$AS,MATCH($B$1,Database!$A$1:$AS$1,0),FALSE)</f>
        <v/>
      </c>
      <c r="C213" s="86">
        <f>VLOOKUP(A213,Database!$A:$AS,MATCH($C$1,Database!$A$1:$AS$1,0),FALSE)</f>
        <v/>
      </c>
      <c r="D213" s="86">
        <f>VLOOKUP(A213,Database!$A:$AS,MATCH($D$1,Database!$A$1:$AS$1,0),FALSE)</f>
        <v/>
      </c>
      <c r="E213" s="86">
        <f>VLOOKUP(A213,Database!$A:$AS,MATCH($E$1,Database!$A$1:$AS$1,0),FALSE)</f>
        <v/>
      </c>
      <c r="F213" s="86">
        <f>VLOOKUP(A213,Database!$A:$AS,MATCH($F$1,Database!$A$1:$AS$1,0),FALSE)</f>
        <v/>
      </c>
      <c r="G213" s="86">
        <f>VLOOKUP(A213,Database!$A:$AS,MATCH($G$1,Database!$A$1:$AS$1,0),FALSE)</f>
        <v/>
      </c>
      <c r="H213" s="86">
        <f>(((Table134567891011121314151617343[[#This Row],[ITA]]-VLOOKUP($U$1,A:B,2,))/VLOOKUP($U$1,A:B,2,))*100)+100</f>
        <v/>
      </c>
      <c r="I213" s="86">
        <f>(((Table134567891011121314151617343[[#This Row],[FRA]]-VLOOKUP($U$1,A:C,3,))/VLOOKUP($U$1,A:C,3,))*100)+100</f>
        <v/>
      </c>
      <c r="J213" s="86">
        <f>(((Table134567891011121314151617343[[#This Row],[DEU]]-VLOOKUP($U$1,A:D,4,))/VLOOKUP($U$1,A:D,4,))*100)+100</f>
        <v/>
      </c>
      <c r="K213" s="86">
        <f>(((Table134567891011121314151617343[[#This Row],[ESP]]-VLOOKUP($U$1,A:E,5,))/VLOOKUP($U$1,A:E,5,))*100)+100</f>
        <v/>
      </c>
      <c r="L213" s="86">
        <f>(((Table134567891011121314151617343[[#This Row],[EA19]]-VLOOKUP($U$1,A:F,6,))/VLOOKUP($U$1,A:F,6,))*100)+100</f>
        <v/>
      </c>
      <c r="M213" s="86">
        <f>(((Table134567891011121314151617343[[#This Row],[GBR]]-VLOOKUP($U$1,A:G,7,))/VLOOKUP($U$1,A:G,7,))*100)+100</f>
        <v/>
      </c>
      <c r="N213" s="86">
        <f>VLOOKUP(A213,Database!$A:$AS,MATCH($N$1,Database!$A$1:$AS$1,0),FALSE)</f>
        <v/>
      </c>
      <c r="O213" s="86">
        <f>(((Table134567891011121314151617343[[#This Row],[USA]]-VLOOKUP($U$1,A:N,14,))/VLOOKUP($U$1,A:N,14,))*100)+100</f>
        <v/>
      </c>
      <c r="P213" s="86">
        <f>VLOOKUP(A213,Database!$A:$AS,MATCH($P$1,Database!$A$1:$AS$1,0),FALSE)</f>
        <v/>
      </c>
      <c r="Q213" s="86">
        <f>(((Table134567891011121314151617343[[#This Row],[JPN]]-VLOOKUP($U$1,A:Q,16,))/VLOOKUP($U$1,A:Q,16,))*100)+100</f>
        <v/>
      </c>
    </row>
    <row r="214" customFormat="1" s="94">
      <c r="A214" s="22" t="n">
        <v>39326</v>
      </c>
      <c r="B214" s="86">
        <f>VLOOKUP(A214,Database!$A:$AS,MATCH($B$1,Database!$A$1:$AS$1,0),FALSE)</f>
        <v/>
      </c>
      <c r="C214" s="86">
        <f>VLOOKUP(A214,Database!$A:$AS,MATCH($C$1,Database!$A$1:$AS$1,0),FALSE)</f>
        <v/>
      </c>
      <c r="D214" s="86">
        <f>VLOOKUP(A214,Database!$A:$AS,MATCH($D$1,Database!$A$1:$AS$1,0),FALSE)</f>
        <v/>
      </c>
      <c r="E214" s="86">
        <f>VLOOKUP(A214,Database!$A:$AS,MATCH($E$1,Database!$A$1:$AS$1,0),FALSE)</f>
        <v/>
      </c>
      <c r="F214" s="86">
        <f>VLOOKUP(A214,Database!$A:$AS,MATCH($F$1,Database!$A$1:$AS$1,0),FALSE)</f>
        <v/>
      </c>
      <c r="G214" s="86">
        <f>VLOOKUP(A214,Database!$A:$AS,MATCH($G$1,Database!$A$1:$AS$1,0),FALSE)</f>
        <v/>
      </c>
      <c r="H214" s="86">
        <f>(((Table134567891011121314151617343[[#This Row],[ITA]]-VLOOKUP($U$1,A:B,2,))/VLOOKUP($U$1,A:B,2,))*100)+100</f>
        <v/>
      </c>
      <c r="I214" s="86">
        <f>(((Table134567891011121314151617343[[#This Row],[FRA]]-VLOOKUP($U$1,A:C,3,))/VLOOKUP($U$1,A:C,3,))*100)+100</f>
        <v/>
      </c>
      <c r="J214" s="86">
        <f>(((Table134567891011121314151617343[[#This Row],[DEU]]-VLOOKUP($U$1,A:D,4,))/VLOOKUP($U$1,A:D,4,))*100)+100</f>
        <v/>
      </c>
      <c r="K214" s="86">
        <f>(((Table134567891011121314151617343[[#This Row],[ESP]]-VLOOKUP($U$1,A:E,5,))/VLOOKUP($U$1,A:E,5,))*100)+100</f>
        <v/>
      </c>
      <c r="L214" s="86">
        <f>(((Table134567891011121314151617343[[#This Row],[EA19]]-VLOOKUP($U$1,A:F,6,))/VLOOKUP($U$1,A:F,6,))*100)+100</f>
        <v/>
      </c>
      <c r="M214" s="86">
        <f>(((Table134567891011121314151617343[[#This Row],[GBR]]-VLOOKUP($U$1,A:G,7,))/VLOOKUP($U$1,A:G,7,))*100)+100</f>
        <v/>
      </c>
      <c r="N214" s="86">
        <f>VLOOKUP(A214,Database!$A:$AS,MATCH($N$1,Database!$A$1:$AS$1,0),FALSE)</f>
        <v/>
      </c>
      <c r="O214" s="86">
        <f>(((Table134567891011121314151617343[[#This Row],[USA]]-VLOOKUP($U$1,A:N,14,))/VLOOKUP($U$1,A:N,14,))*100)+100</f>
        <v/>
      </c>
      <c r="P214" s="86">
        <f>VLOOKUP(A214,Database!$A:$AS,MATCH($P$1,Database!$A$1:$AS$1,0),FALSE)</f>
        <v/>
      </c>
      <c r="Q214" s="86">
        <f>(((Table134567891011121314151617343[[#This Row],[JPN]]-VLOOKUP($U$1,A:Q,16,))/VLOOKUP($U$1,A:Q,16,))*100)+100</f>
        <v/>
      </c>
    </row>
    <row r="215" customFormat="1" s="94">
      <c r="A215" s="22" t="n">
        <v>39356</v>
      </c>
      <c r="B215" s="86">
        <f>VLOOKUP(A215,Database!$A:$AS,MATCH($B$1,Database!$A$1:$AS$1,0),FALSE)</f>
        <v/>
      </c>
      <c r="C215" s="86">
        <f>VLOOKUP(A215,Database!$A:$AS,MATCH($C$1,Database!$A$1:$AS$1,0),FALSE)</f>
        <v/>
      </c>
      <c r="D215" s="86">
        <f>VLOOKUP(A215,Database!$A:$AS,MATCH($D$1,Database!$A$1:$AS$1,0),FALSE)</f>
        <v/>
      </c>
      <c r="E215" s="86">
        <f>VLOOKUP(A215,Database!$A:$AS,MATCH($E$1,Database!$A$1:$AS$1,0),FALSE)</f>
        <v/>
      </c>
      <c r="F215" s="86">
        <f>VLOOKUP(A215,Database!$A:$AS,MATCH($F$1,Database!$A$1:$AS$1,0),FALSE)</f>
        <v/>
      </c>
      <c r="G215" s="86">
        <f>VLOOKUP(A215,Database!$A:$AS,MATCH($G$1,Database!$A$1:$AS$1,0),FALSE)</f>
        <v/>
      </c>
      <c r="H215" s="86">
        <f>(((Table134567891011121314151617343[[#This Row],[ITA]]-VLOOKUP($U$1,A:B,2,))/VLOOKUP($U$1,A:B,2,))*100)+100</f>
        <v/>
      </c>
      <c r="I215" s="86">
        <f>(((Table134567891011121314151617343[[#This Row],[FRA]]-VLOOKUP($U$1,A:C,3,))/VLOOKUP($U$1,A:C,3,))*100)+100</f>
        <v/>
      </c>
      <c r="J215" s="86">
        <f>(((Table134567891011121314151617343[[#This Row],[DEU]]-VLOOKUP($U$1,A:D,4,))/VLOOKUP($U$1,A:D,4,))*100)+100</f>
        <v/>
      </c>
      <c r="K215" s="86">
        <f>(((Table134567891011121314151617343[[#This Row],[ESP]]-VLOOKUP($U$1,A:E,5,))/VLOOKUP($U$1,A:E,5,))*100)+100</f>
        <v/>
      </c>
      <c r="L215" s="86">
        <f>(((Table134567891011121314151617343[[#This Row],[EA19]]-VLOOKUP($U$1,A:F,6,))/VLOOKUP($U$1,A:F,6,))*100)+100</f>
        <v/>
      </c>
      <c r="M215" s="86">
        <f>(((Table134567891011121314151617343[[#This Row],[GBR]]-VLOOKUP($U$1,A:G,7,))/VLOOKUP($U$1,A:G,7,))*100)+100</f>
        <v/>
      </c>
      <c r="N215" s="86">
        <f>VLOOKUP(A215,Database!$A:$AS,MATCH($N$1,Database!$A$1:$AS$1,0),FALSE)</f>
        <v/>
      </c>
      <c r="O215" s="86">
        <f>(((Table134567891011121314151617343[[#This Row],[USA]]-VLOOKUP($U$1,A:N,14,))/VLOOKUP($U$1,A:N,14,))*100)+100</f>
        <v/>
      </c>
      <c r="P215" s="86">
        <f>VLOOKUP(A215,Database!$A:$AS,MATCH($P$1,Database!$A$1:$AS$1,0),FALSE)</f>
        <v/>
      </c>
      <c r="Q215" s="86">
        <f>(((Table134567891011121314151617343[[#This Row],[JPN]]-VLOOKUP($U$1,A:Q,16,))/VLOOKUP($U$1,A:Q,16,))*100)+100</f>
        <v/>
      </c>
    </row>
    <row r="216" customFormat="1" s="94">
      <c r="A216" s="22" t="n">
        <v>39387</v>
      </c>
      <c r="B216" s="86">
        <f>VLOOKUP(A216,Database!$A:$AS,MATCH($B$1,Database!$A$1:$AS$1,0),FALSE)</f>
        <v/>
      </c>
      <c r="C216" s="86">
        <f>VLOOKUP(A216,Database!$A:$AS,MATCH($C$1,Database!$A$1:$AS$1,0),FALSE)</f>
        <v/>
      </c>
      <c r="D216" s="86">
        <f>VLOOKUP(A216,Database!$A:$AS,MATCH($D$1,Database!$A$1:$AS$1,0),FALSE)</f>
        <v/>
      </c>
      <c r="E216" s="86">
        <f>VLOOKUP(A216,Database!$A:$AS,MATCH($E$1,Database!$A$1:$AS$1,0),FALSE)</f>
        <v/>
      </c>
      <c r="F216" s="86">
        <f>VLOOKUP(A216,Database!$A:$AS,MATCH($F$1,Database!$A$1:$AS$1,0),FALSE)</f>
        <v/>
      </c>
      <c r="G216" s="86">
        <f>VLOOKUP(A216,Database!$A:$AS,MATCH($G$1,Database!$A$1:$AS$1,0),FALSE)</f>
        <v/>
      </c>
      <c r="H216" s="86">
        <f>(((Table134567891011121314151617343[[#This Row],[ITA]]-VLOOKUP($U$1,A:B,2,))/VLOOKUP($U$1,A:B,2,))*100)+100</f>
        <v/>
      </c>
      <c r="I216" s="86">
        <f>(((Table134567891011121314151617343[[#This Row],[FRA]]-VLOOKUP($U$1,A:C,3,))/VLOOKUP($U$1,A:C,3,))*100)+100</f>
        <v/>
      </c>
      <c r="J216" s="86">
        <f>(((Table134567891011121314151617343[[#This Row],[DEU]]-VLOOKUP($U$1,A:D,4,))/VLOOKUP($U$1,A:D,4,))*100)+100</f>
        <v/>
      </c>
      <c r="K216" s="86">
        <f>(((Table134567891011121314151617343[[#This Row],[ESP]]-VLOOKUP($U$1,A:E,5,))/VLOOKUP($U$1,A:E,5,))*100)+100</f>
        <v/>
      </c>
      <c r="L216" s="86">
        <f>(((Table134567891011121314151617343[[#This Row],[EA19]]-VLOOKUP($U$1,A:F,6,))/VLOOKUP($U$1,A:F,6,))*100)+100</f>
        <v/>
      </c>
      <c r="M216" s="86">
        <f>(((Table134567891011121314151617343[[#This Row],[GBR]]-VLOOKUP($U$1,A:G,7,))/VLOOKUP($U$1,A:G,7,))*100)+100</f>
        <v/>
      </c>
      <c r="N216" s="86">
        <f>VLOOKUP(A216,Database!$A:$AS,MATCH($N$1,Database!$A$1:$AS$1,0),FALSE)</f>
        <v/>
      </c>
      <c r="O216" s="86">
        <f>(((Table134567891011121314151617343[[#This Row],[USA]]-VLOOKUP($U$1,A:N,14,))/VLOOKUP($U$1,A:N,14,))*100)+100</f>
        <v/>
      </c>
      <c r="P216" s="86">
        <f>VLOOKUP(A216,Database!$A:$AS,MATCH($P$1,Database!$A$1:$AS$1,0),FALSE)</f>
        <v/>
      </c>
      <c r="Q216" s="86">
        <f>(((Table134567891011121314151617343[[#This Row],[JPN]]-VLOOKUP($U$1,A:Q,16,))/VLOOKUP($U$1,A:Q,16,))*100)+100</f>
        <v/>
      </c>
    </row>
    <row r="217" customFormat="1" s="94">
      <c r="A217" s="22" t="n">
        <v>39417</v>
      </c>
      <c r="B217" s="86">
        <f>VLOOKUP(A217,Database!$A:$AS,MATCH($B$1,Database!$A$1:$AS$1,0),FALSE)</f>
        <v/>
      </c>
      <c r="C217" s="86">
        <f>VLOOKUP(A217,Database!$A:$AS,MATCH($C$1,Database!$A$1:$AS$1,0),FALSE)</f>
        <v/>
      </c>
      <c r="D217" s="86">
        <f>VLOOKUP(A217,Database!$A:$AS,MATCH($D$1,Database!$A$1:$AS$1,0),FALSE)</f>
        <v/>
      </c>
      <c r="E217" s="86">
        <f>VLOOKUP(A217,Database!$A:$AS,MATCH($E$1,Database!$A$1:$AS$1,0),FALSE)</f>
        <v/>
      </c>
      <c r="F217" s="86">
        <f>VLOOKUP(A217,Database!$A:$AS,MATCH($F$1,Database!$A$1:$AS$1,0),FALSE)</f>
        <v/>
      </c>
      <c r="G217" s="86">
        <f>VLOOKUP(A217,Database!$A:$AS,MATCH($G$1,Database!$A$1:$AS$1,0),FALSE)</f>
        <v/>
      </c>
      <c r="H217" s="86">
        <f>(((Table134567891011121314151617343[[#This Row],[ITA]]-VLOOKUP($U$1,A:B,2,))/VLOOKUP($U$1,A:B,2,))*100)+100</f>
        <v/>
      </c>
      <c r="I217" s="86">
        <f>(((Table134567891011121314151617343[[#This Row],[FRA]]-VLOOKUP($U$1,A:C,3,))/VLOOKUP($U$1,A:C,3,))*100)+100</f>
        <v/>
      </c>
      <c r="J217" s="86">
        <f>(((Table134567891011121314151617343[[#This Row],[DEU]]-VLOOKUP($U$1,A:D,4,))/VLOOKUP($U$1,A:D,4,))*100)+100</f>
        <v/>
      </c>
      <c r="K217" s="86">
        <f>(((Table134567891011121314151617343[[#This Row],[ESP]]-VLOOKUP($U$1,A:E,5,))/VLOOKUP($U$1,A:E,5,))*100)+100</f>
        <v/>
      </c>
      <c r="L217" s="86">
        <f>(((Table134567891011121314151617343[[#This Row],[EA19]]-VLOOKUP($U$1,A:F,6,))/VLOOKUP($U$1,A:F,6,))*100)+100</f>
        <v/>
      </c>
      <c r="M217" s="86">
        <f>(((Table134567891011121314151617343[[#This Row],[GBR]]-VLOOKUP($U$1,A:G,7,))/VLOOKUP($U$1,A:G,7,))*100)+100</f>
        <v/>
      </c>
      <c r="N217" s="86">
        <f>VLOOKUP(A217,Database!$A:$AS,MATCH($N$1,Database!$A$1:$AS$1,0),FALSE)</f>
        <v/>
      </c>
      <c r="O217" s="86">
        <f>(((Table134567891011121314151617343[[#This Row],[USA]]-VLOOKUP($U$1,A:N,14,))/VLOOKUP($U$1,A:N,14,))*100)+100</f>
        <v/>
      </c>
      <c r="P217" s="86">
        <f>VLOOKUP(A217,Database!$A:$AS,MATCH($P$1,Database!$A$1:$AS$1,0),FALSE)</f>
        <v/>
      </c>
      <c r="Q217" s="86">
        <f>(((Table134567891011121314151617343[[#This Row],[JPN]]-VLOOKUP($U$1,A:Q,16,))/VLOOKUP($U$1,A:Q,16,))*100)+100</f>
        <v/>
      </c>
    </row>
    <row r="218" customFormat="1" s="94">
      <c r="A218" s="22" t="n">
        <v>39448</v>
      </c>
      <c r="B218" s="86">
        <f>VLOOKUP(A218,Database!$A:$AS,MATCH($B$1,Database!$A$1:$AS$1,0),FALSE)</f>
        <v/>
      </c>
      <c r="C218" s="86">
        <f>VLOOKUP(A218,Database!$A:$AS,MATCH($C$1,Database!$A$1:$AS$1,0),FALSE)</f>
        <v/>
      </c>
      <c r="D218" s="86">
        <f>VLOOKUP(A218,Database!$A:$AS,MATCH($D$1,Database!$A$1:$AS$1,0),FALSE)</f>
        <v/>
      </c>
      <c r="E218" s="86">
        <f>VLOOKUP(A218,Database!$A:$AS,MATCH($E$1,Database!$A$1:$AS$1,0),FALSE)</f>
        <v/>
      </c>
      <c r="F218" s="86">
        <f>VLOOKUP(A218,Database!$A:$AS,MATCH($F$1,Database!$A$1:$AS$1,0),FALSE)</f>
        <v/>
      </c>
      <c r="G218" s="86">
        <f>VLOOKUP(A218,Database!$A:$AS,MATCH($G$1,Database!$A$1:$AS$1,0),FALSE)</f>
        <v/>
      </c>
      <c r="H218" s="86">
        <f>(((Table134567891011121314151617343[[#This Row],[ITA]]-VLOOKUP($U$1,A:B,2,))/VLOOKUP($U$1,A:B,2,))*100)+100</f>
        <v/>
      </c>
      <c r="I218" s="86">
        <f>(((Table134567891011121314151617343[[#This Row],[FRA]]-VLOOKUP($U$1,A:C,3,))/VLOOKUP($U$1,A:C,3,))*100)+100</f>
        <v/>
      </c>
      <c r="J218" s="86">
        <f>(((Table134567891011121314151617343[[#This Row],[DEU]]-VLOOKUP($U$1,A:D,4,))/VLOOKUP($U$1,A:D,4,))*100)+100</f>
        <v/>
      </c>
      <c r="K218" s="86">
        <f>(((Table134567891011121314151617343[[#This Row],[ESP]]-VLOOKUP($U$1,A:E,5,))/VLOOKUP($U$1,A:E,5,))*100)+100</f>
        <v/>
      </c>
      <c r="L218" s="86">
        <f>(((Table134567891011121314151617343[[#This Row],[EA19]]-VLOOKUP($U$1,A:F,6,))/VLOOKUP($U$1,A:F,6,))*100)+100</f>
        <v/>
      </c>
      <c r="M218" s="86">
        <f>(((Table134567891011121314151617343[[#This Row],[GBR]]-VLOOKUP($U$1,A:G,7,))/VLOOKUP($U$1,A:G,7,))*100)+100</f>
        <v/>
      </c>
      <c r="N218" s="86">
        <f>VLOOKUP(A218,Database!$A:$AS,MATCH($N$1,Database!$A$1:$AS$1,0),FALSE)</f>
        <v/>
      </c>
      <c r="O218" s="86">
        <f>(((Table134567891011121314151617343[[#This Row],[USA]]-VLOOKUP($U$1,A:N,14,))/VLOOKUP($U$1,A:N,14,))*100)+100</f>
        <v/>
      </c>
      <c r="P218" s="86">
        <f>VLOOKUP(A218,Database!$A:$AS,MATCH($P$1,Database!$A$1:$AS$1,0),FALSE)</f>
        <v/>
      </c>
      <c r="Q218" s="86">
        <f>(((Table134567891011121314151617343[[#This Row],[JPN]]-VLOOKUP($U$1,A:Q,16,))/VLOOKUP($U$1,A:Q,16,))*100)+100</f>
        <v/>
      </c>
    </row>
    <row r="219" customFormat="1" s="94">
      <c r="A219" s="22" t="n">
        <v>39479</v>
      </c>
      <c r="B219" s="86">
        <f>VLOOKUP(A219,Database!$A:$AS,MATCH($B$1,Database!$A$1:$AS$1,0),FALSE)</f>
        <v/>
      </c>
      <c r="C219" s="86">
        <f>VLOOKUP(A219,Database!$A:$AS,MATCH($C$1,Database!$A$1:$AS$1,0),FALSE)</f>
        <v/>
      </c>
      <c r="D219" s="86">
        <f>VLOOKUP(A219,Database!$A:$AS,MATCH($D$1,Database!$A$1:$AS$1,0),FALSE)</f>
        <v/>
      </c>
      <c r="E219" s="86">
        <f>VLOOKUP(A219,Database!$A:$AS,MATCH($E$1,Database!$A$1:$AS$1,0),FALSE)</f>
        <v/>
      </c>
      <c r="F219" s="86">
        <f>VLOOKUP(A219,Database!$A:$AS,MATCH($F$1,Database!$A$1:$AS$1,0),FALSE)</f>
        <v/>
      </c>
      <c r="G219" s="86">
        <f>VLOOKUP(A219,Database!$A:$AS,MATCH($G$1,Database!$A$1:$AS$1,0),FALSE)</f>
        <v/>
      </c>
      <c r="H219" s="86">
        <f>(((Table134567891011121314151617343[[#This Row],[ITA]]-VLOOKUP($U$1,A:B,2,))/VLOOKUP($U$1,A:B,2,))*100)+100</f>
        <v/>
      </c>
      <c r="I219" s="86">
        <f>(((Table134567891011121314151617343[[#This Row],[FRA]]-VLOOKUP($U$1,A:C,3,))/VLOOKUP($U$1,A:C,3,))*100)+100</f>
        <v/>
      </c>
      <c r="J219" s="86">
        <f>(((Table134567891011121314151617343[[#This Row],[DEU]]-VLOOKUP($U$1,A:D,4,))/VLOOKUP($U$1,A:D,4,))*100)+100</f>
        <v/>
      </c>
      <c r="K219" s="86">
        <f>(((Table134567891011121314151617343[[#This Row],[ESP]]-VLOOKUP($U$1,A:E,5,))/VLOOKUP($U$1,A:E,5,))*100)+100</f>
        <v/>
      </c>
      <c r="L219" s="86">
        <f>(((Table134567891011121314151617343[[#This Row],[EA19]]-VLOOKUP($U$1,A:F,6,))/VLOOKUP($U$1,A:F,6,))*100)+100</f>
        <v/>
      </c>
      <c r="M219" s="86">
        <f>(((Table134567891011121314151617343[[#This Row],[GBR]]-VLOOKUP($U$1,A:G,7,))/VLOOKUP($U$1,A:G,7,))*100)+100</f>
        <v/>
      </c>
      <c r="N219" s="86">
        <f>VLOOKUP(A219,Database!$A:$AS,MATCH($N$1,Database!$A$1:$AS$1,0),FALSE)</f>
        <v/>
      </c>
      <c r="O219" s="86">
        <f>(((Table134567891011121314151617343[[#This Row],[USA]]-VLOOKUP($U$1,A:N,14,))/VLOOKUP($U$1,A:N,14,))*100)+100</f>
        <v/>
      </c>
      <c r="P219" s="86">
        <f>VLOOKUP(A219,Database!$A:$AS,MATCH($P$1,Database!$A$1:$AS$1,0),FALSE)</f>
        <v/>
      </c>
      <c r="Q219" s="86">
        <f>(((Table134567891011121314151617343[[#This Row],[JPN]]-VLOOKUP($U$1,A:Q,16,))/VLOOKUP($U$1,A:Q,16,))*100)+100</f>
        <v/>
      </c>
    </row>
    <row r="220" customFormat="1" s="94">
      <c r="A220" s="22" t="n">
        <v>39508</v>
      </c>
      <c r="B220" s="86">
        <f>VLOOKUP(A220,Database!$A:$AS,MATCH($B$1,Database!$A$1:$AS$1,0),FALSE)</f>
        <v/>
      </c>
      <c r="C220" s="86">
        <f>VLOOKUP(A220,Database!$A:$AS,MATCH($C$1,Database!$A$1:$AS$1,0),FALSE)</f>
        <v/>
      </c>
      <c r="D220" s="86">
        <f>VLOOKUP(A220,Database!$A:$AS,MATCH($D$1,Database!$A$1:$AS$1,0),FALSE)</f>
        <v/>
      </c>
      <c r="E220" s="86">
        <f>VLOOKUP(A220,Database!$A:$AS,MATCH($E$1,Database!$A$1:$AS$1,0),FALSE)</f>
        <v/>
      </c>
      <c r="F220" s="86">
        <f>VLOOKUP(A220,Database!$A:$AS,MATCH($F$1,Database!$A$1:$AS$1,0),FALSE)</f>
        <v/>
      </c>
      <c r="G220" s="86">
        <f>VLOOKUP(A220,Database!$A:$AS,MATCH($G$1,Database!$A$1:$AS$1,0),FALSE)</f>
        <v/>
      </c>
      <c r="H220" s="86">
        <f>(((Table134567891011121314151617343[[#This Row],[ITA]]-VLOOKUP($U$1,A:B,2,))/VLOOKUP($U$1,A:B,2,))*100)+100</f>
        <v/>
      </c>
      <c r="I220" s="86">
        <f>(((Table134567891011121314151617343[[#This Row],[FRA]]-VLOOKUP($U$1,A:C,3,))/VLOOKUP($U$1,A:C,3,))*100)+100</f>
        <v/>
      </c>
      <c r="J220" s="86">
        <f>(((Table134567891011121314151617343[[#This Row],[DEU]]-VLOOKUP($U$1,A:D,4,))/VLOOKUP($U$1,A:D,4,))*100)+100</f>
        <v/>
      </c>
      <c r="K220" s="86">
        <f>(((Table134567891011121314151617343[[#This Row],[ESP]]-VLOOKUP($U$1,A:E,5,))/VLOOKUP($U$1,A:E,5,))*100)+100</f>
        <v/>
      </c>
      <c r="L220" s="86">
        <f>(((Table134567891011121314151617343[[#This Row],[EA19]]-VLOOKUP($U$1,A:F,6,))/VLOOKUP($U$1,A:F,6,))*100)+100</f>
        <v/>
      </c>
      <c r="M220" s="86">
        <f>(((Table134567891011121314151617343[[#This Row],[GBR]]-VLOOKUP($U$1,A:G,7,))/VLOOKUP($U$1,A:G,7,))*100)+100</f>
        <v/>
      </c>
      <c r="N220" s="86">
        <f>VLOOKUP(A220,Database!$A:$AS,MATCH($N$1,Database!$A$1:$AS$1,0),FALSE)</f>
        <v/>
      </c>
      <c r="O220" s="86">
        <f>(((Table134567891011121314151617343[[#This Row],[USA]]-VLOOKUP($U$1,A:N,14,))/VLOOKUP($U$1,A:N,14,))*100)+100</f>
        <v/>
      </c>
      <c r="P220" s="86">
        <f>VLOOKUP(A220,Database!$A:$AS,MATCH($P$1,Database!$A$1:$AS$1,0),FALSE)</f>
        <v/>
      </c>
      <c r="Q220" s="86">
        <f>(((Table134567891011121314151617343[[#This Row],[JPN]]-VLOOKUP($U$1,A:Q,16,))/VLOOKUP($U$1,A:Q,16,))*100)+100</f>
        <v/>
      </c>
    </row>
    <row r="221" customFormat="1" s="94">
      <c r="A221" s="22" t="n">
        <v>39539</v>
      </c>
      <c r="B221" s="86">
        <f>VLOOKUP(A221,Database!$A:$AS,MATCH($B$1,Database!$A$1:$AS$1,0),FALSE)</f>
        <v/>
      </c>
      <c r="C221" s="86">
        <f>VLOOKUP(A221,Database!$A:$AS,MATCH($C$1,Database!$A$1:$AS$1,0),FALSE)</f>
        <v/>
      </c>
      <c r="D221" s="86">
        <f>VLOOKUP(A221,Database!$A:$AS,MATCH($D$1,Database!$A$1:$AS$1,0),FALSE)</f>
        <v/>
      </c>
      <c r="E221" s="86">
        <f>VLOOKUP(A221,Database!$A:$AS,MATCH($E$1,Database!$A$1:$AS$1,0),FALSE)</f>
        <v/>
      </c>
      <c r="F221" s="86">
        <f>VLOOKUP(A221,Database!$A:$AS,MATCH($F$1,Database!$A$1:$AS$1,0),FALSE)</f>
        <v/>
      </c>
      <c r="G221" s="86">
        <f>VLOOKUP(A221,Database!$A:$AS,MATCH($G$1,Database!$A$1:$AS$1,0),FALSE)</f>
        <v/>
      </c>
      <c r="H221" s="86">
        <f>(((Table134567891011121314151617343[[#This Row],[ITA]]-VLOOKUP($U$1,A:B,2,))/VLOOKUP($U$1,A:B,2,))*100)+100</f>
        <v/>
      </c>
      <c r="I221" s="86">
        <f>(((Table134567891011121314151617343[[#This Row],[FRA]]-VLOOKUP($U$1,A:C,3,))/VLOOKUP($U$1,A:C,3,))*100)+100</f>
        <v/>
      </c>
      <c r="J221" s="86">
        <f>(((Table134567891011121314151617343[[#This Row],[DEU]]-VLOOKUP($U$1,A:D,4,))/VLOOKUP($U$1,A:D,4,))*100)+100</f>
        <v/>
      </c>
      <c r="K221" s="86">
        <f>(((Table134567891011121314151617343[[#This Row],[ESP]]-VLOOKUP($U$1,A:E,5,))/VLOOKUP($U$1,A:E,5,))*100)+100</f>
        <v/>
      </c>
      <c r="L221" s="86">
        <f>(((Table134567891011121314151617343[[#This Row],[EA19]]-VLOOKUP($U$1,A:F,6,))/VLOOKUP($U$1,A:F,6,))*100)+100</f>
        <v/>
      </c>
      <c r="M221" s="86">
        <f>(((Table134567891011121314151617343[[#This Row],[GBR]]-VLOOKUP($U$1,A:G,7,))/VLOOKUP($U$1,A:G,7,))*100)+100</f>
        <v/>
      </c>
      <c r="N221" s="86">
        <f>VLOOKUP(A221,Database!$A:$AS,MATCH($N$1,Database!$A$1:$AS$1,0),FALSE)</f>
        <v/>
      </c>
      <c r="O221" s="86">
        <f>(((Table134567891011121314151617343[[#This Row],[USA]]-VLOOKUP($U$1,A:N,14,))/VLOOKUP($U$1,A:N,14,))*100)+100</f>
        <v/>
      </c>
      <c r="P221" s="86">
        <f>VLOOKUP(A221,Database!$A:$AS,MATCH($P$1,Database!$A$1:$AS$1,0),FALSE)</f>
        <v/>
      </c>
      <c r="Q221" s="86">
        <f>(((Table134567891011121314151617343[[#This Row],[JPN]]-VLOOKUP($U$1,A:Q,16,))/VLOOKUP($U$1,A:Q,16,))*100)+100</f>
        <v/>
      </c>
    </row>
    <row r="222" customFormat="1" s="94">
      <c r="A222" s="22" t="n">
        <v>39569</v>
      </c>
      <c r="B222" s="86">
        <f>VLOOKUP(A222,Database!$A:$AS,MATCH($B$1,Database!$A$1:$AS$1,0),FALSE)</f>
        <v/>
      </c>
      <c r="C222" s="86">
        <f>VLOOKUP(A222,Database!$A:$AS,MATCH($C$1,Database!$A$1:$AS$1,0),FALSE)</f>
        <v/>
      </c>
      <c r="D222" s="86">
        <f>VLOOKUP(A222,Database!$A:$AS,MATCH($D$1,Database!$A$1:$AS$1,0),FALSE)</f>
        <v/>
      </c>
      <c r="E222" s="86">
        <f>VLOOKUP(A222,Database!$A:$AS,MATCH($E$1,Database!$A$1:$AS$1,0),FALSE)</f>
        <v/>
      </c>
      <c r="F222" s="86">
        <f>VLOOKUP(A222,Database!$A:$AS,MATCH($F$1,Database!$A$1:$AS$1,0),FALSE)</f>
        <v/>
      </c>
      <c r="G222" s="86">
        <f>VLOOKUP(A222,Database!$A:$AS,MATCH($G$1,Database!$A$1:$AS$1,0),FALSE)</f>
        <v/>
      </c>
      <c r="H222" s="86">
        <f>(((Table134567891011121314151617343[[#This Row],[ITA]]-VLOOKUP($U$1,A:B,2,))/VLOOKUP($U$1,A:B,2,))*100)+100</f>
        <v/>
      </c>
      <c r="I222" s="86">
        <f>(((Table134567891011121314151617343[[#This Row],[FRA]]-VLOOKUP($U$1,A:C,3,))/VLOOKUP($U$1,A:C,3,))*100)+100</f>
        <v/>
      </c>
      <c r="J222" s="86">
        <f>(((Table134567891011121314151617343[[#This Row],[DEU]]-VLOOKUP($U$1,A:D,4,))/VLOOKUP($U$1,A:D,4,))*100)+100</f>
        <v/>
      </c>
      <c r="K222" s="86">
        <f>(((Table134567891011121314151617343[[#This Row],[ESP]]-VLOOKUP($U$1,A:E,5,))/VLOOKUP($U$1,A:E,5,))*100)+100</f>
        <v/>
      </c>
      <c r="L222" s="86">
        <f>(((Table134567891011121314151617343[[#This Row],[EA19]]-VLOOKUP($U$1,A:F,6,))/VLOOKUP($U$1,A:F,6,))*100)+100</f>
        <v/>
      </c>
      <c r="M222" s="86">
        <f>(((Table134567891011121314151617343[[#This Row],[GBR]]-VLOOKUP($U$1,A:G,7,))/VLOOKUP($U$1,A:G,7,))*100)+100</f>
        <v/>
      </c>
      <c r="N222" s="86">
        <f>VLOOKUP(A222,Database!$A:$AS,MATCH($N$1,Database!$A$1:$AS$1,0),FALSE)</f>
        <v/>
      </c>
      <c r="O222" s="86">
        <f>(((Table134567891011121314151617343[[#This Row],[USA]]-VLOOKUP($U$1,A:N,14,))/VLOOKUP($U$1,A:N,14,))*100)+100</f>
        <v/>
      </c>
      <c r="P222" s="86">
        <f>VLOOKUP(A222,Database!$A:$AS,MATCH($P$1,Database!$A$1:$AS$1,0),FALSE)</f>
        <v/>
      </c>
      <c r="Q222" s="86">
        <f>(((Table134567891011121314151617343[[#This Row],[JPN]]-VLOOKUP($U$1,A:Q,16,))/VLOOKUP($U$1,A:Q,16,))*100)+100</f>
        <v/>
      </c>
    </row>
    <row r="223" customFormat="1" s="94">
      <c r="A223" s="22" t="n">
        <v>39600</v>
      </c>
      <c r="B223" s="86">
        <f>VLOOKUP(A223,Database!$A:$AS,MATCH($B$1,Database!$A$1:$AS$1,0),FALSE)</f>
        <v/>
      </c>
      <c r="C223" s="86">
        <f>VLOOKUP(A223,Database!$A:$AS,MATCH($C$1,Database!$A$1:$AS$1,0),FALSE)</f>
        <v/>
      </c>
      <c r="D223" s="86">
        <f>VLOOKUP(A223,Database!$A:$AS,MATCH($D$1,Database!$A$1:$AS$1,0),FALSE)</f>
        <v/>
      </c>
      <c r="E223" s="86">
        <f>VLOOKUP(A223,Database!$A:$AS,MATCH($E$1,Database!$A$1:$AS$1,0),FALSE)</f>
        <v/>
      </c>
      <c r="F223" s="86">
        <f>VLOOKUP(A223,Database!$A:$AS,MATCH($F$1,Database!$A$1:$AS$1,0),FALSE)</f>
        <v/>
      </c>
      <c r="G223" s="86">
        <f>VLOOKUP(A223,Database!$A:$AS,MATCH($G$1,Database!$A$1:$AS$1,0),FALSE)</f>
        <v/>
      </c>
      <c r="H223" s="86">
        <f>(((Table134567891011121314151617343[[#This Row],[ITA]]-VLOOKUP($U$1,A:B,2,))/VLOOKUP($U$1,A:B,2,))*100)+100</f>
        <v/>
      </c>
      <c r="I223" s="86">
        <f>(((Table134567891011121314151617343[[#This Row],[FRA]]-VLOOKUP($U$1,A:C,3,))/VLOOKUP($U$1,A:C,3,))*100)+100</f>
        <v/>
      </c>
      <c r="J223" s="86">
        <f>(((Table134567891011121314151617343[[#This Row],[DEU]]-VLOOKUP($U$1,A:D,4,))/VLOOKUP($U$1,A:D,4,))*100)+100</f>
        <v/>
      </c>
      <c r="K223" s="86">
        <f>(((Table134567891011121314151617343[[#This Row],[ESP]]-VLOOKUP($U$1,A:E,5,))/VLOOKUP($U$1,A:E,5,))*100)+100</f>
        <v/>
      </c>
      <c r="L223" s="86">
        <f>(((Table134567891011121314151617343[[#This Row],[EA19]]-VLOOKUP($U$1,A:F,6,))/VLOOKUP($U$1,A:F,6,))*100)+100</f>
        <v/>
      </c>
      <c r="M223" s="86">
        <f>(((Table134567891011121314151617343[[#This Row],[GBR]]-VLOOKUP($U$1,A:G,7,))/VLOOKUP($U$1,A:G,7,))*100)+100</f>
        <v/>
      </c>
      <c r="N223" s="86">
        <f>VLOOKUP(A223,Database!$A:$AS,MATCH($N$1,Database!$A$1:$AS$1,0),FALSE)</f>
        <v/>
      </c>
      <c r="O223" s="86">
        <f>(((Table134567891011121314151617343[[#This Row],[USA]]-VLOOKUP($U$1,A:N,14,))/VLOOKUP($U$1,A:N,14,))*100)+100</f>
        <v/>
      </c>
      <c r="P223" s="86">
        <f>VLOOKUP(A223,Database!$A:$AS,MATCH($P$1,Database!$A$1:$AS$1,0),FALSE)</f>
        <v/>
      </c>
      <c r="Q223" s="86">
        <f>(((Table134567891011121314151617343[[#This Row],[JPN]]-VLOOKUP($U$1,A:Q,16,))/VLOOKUP($U$1,A:Q,16,))*100)+100</f>
        <v/>
      </c>
    </row>
    <row r="224" customFormat="1" s="94">
      <c r="A224" s="22" t="n">
        <v>39630</v>
      </c>
      <c r="B224" s="86">
        <f>VLOOKUP(A224,Database!$A:$AS,MATCH($B$1,Database!$A$1:$AS$1,0),FALSE)</f>
        <v/>
      </c>
      <c r="C224" s="86">
        <f>VLOOKUP(A224,Database!$A:$AS,MATCH($C$1,Database!$A$1:$AS$1,0),FALSE)</f>
        <v/>
      </c>
      <c r="D224" s="86">
        <f>VLOOKUP(A224,Database!$A:$AS,MATCH($D$1,Database!$A$1:$AS$1,0),FALSE)</f>
        <v/>
      </c>
      <c r="E224" s="86">
        <f>VLOOKUP(A224,Database!$A:$AS,MATCH($E$1,Database!$A$1:$AS$1,0),FALSE)</f>
        <v/>
      </c>
      <c r="F224" s="86">
        <f>VLOOKUP(A224,Database!$A:$AS,MATCH($F$1,Database!$A$1:$AS$1,0),FALSE)</f>
        <v/>
      </c>
      <c r="G224" s="86">
        <f>VLOOKUP(A224,Database!$A:$AS,MATCH($G$1,Database!$A$1:$AS$1,0),FALSE)</f>
        <v/>
      </c>
      <c r="H224" s="86">
        <f>(((Table134567891011121314151617343[[#This Row],[ITA]]-VLOOKUP($U$1,A:B,2,))/VLOOKUP($U$1,A:B,2,))*100)+100</f>
        <v/>
      </c>
      <c r="I224" s="86">
        <f>(((Table134567891011121314151617343[[#This Row],[FRA]]-VLOOKUP($U$1,A:C,3,))/VLOOKUP($U$1,A:C,3,))*100)+100</f>
        <v/>
      </c>
      <c r="J224" s="86">
        <f>(((Table134567891011121314151617343[[#This Row],[DEU]]-VLOOKUP($U$1,A:D,4,))/VLOOKUP($U$1,A:D,4,))*100)+100</f>
        <v/>
      </c>
      <c r="K224" s="86">
        <f>(((Table134567891011121314151617343[[#This Row],[ESP]]-VLOOKUP($U$1,A:E,5,))/VLOOKUP($U$1,A:E,5,))*100)+100</f>
        <v/>
      </c>
      <c r="L224" s="86">
        <f>(((Table134567891011121314151617343[[#This Row],[EA19]]-VLOOKUP($U$1,A:F,6,))/VLOOKUP($U$1,A:F,6,))*100)+100</f>
        <v/>
      </c>
      <c r="M224" s="86">
        <f>(((Table134567891011121314151617343[[#This Row],[GBR]]-VLOOKUP($U$1,A:G,7,))/VLOOKUP($U$1,A:G,7,))*100)+100</f>
        <v/>
      </c>
      <c r="N224" s="86">
        <f>VLOOKUP(A224,Database!$A:$AS,MATCH($N$1,Database!$A$1:$AS$1,0),FALSE)</f>
        <v/>
      </c>
      <c r="O224" s="86">
        <f>(((Table134567891011121314151617343[[#This Row],[USA]]-VLOOKUP($U$1,A:N,14,))/VLOOKUP($U$1,A:N,14,))*100)+100</f>
        <v/>
      </c>
      <c r="P224" s="86">
        <f>VLOOKUP(A224,Database!$A:$AS,MATCH($P$1,Database!$A$1:$AS$1,0),FALSE)</f>
        <v/>
      </c>
      <c r="Q224" s="86">
        <f>(((Table134567891011121314151617343[[#This Row],[JPN]]-VLOOKUP($U$1,A:Q,16,))/VLOOKUP($U$1,A:Q,16,))*100)+100</f>
        <v/>
      </c>
    </row>
    <row r="225" customFormat="1" s="94">
      <c r="A225" s="22" t="n">
        <v>39661</v>
      </c>
      <c r="B225" s="86">
        <f>VLOOKUP(A225,Database!$A:$AS,MATCH($B$1,Database!$A$1:$AS$1,0),FALSE)</f>
        <v/>
      </c>
      <c r="C225" s="86">
        <f>VLOOKUP(A225,Database!$A:$AS,MATCH($C$1,Database!$A$1:$AS$1,0),FALSE)</f>
        <v/>
      </c>
      <c r="D225" s="86">
        <f>VLOOKUP(A225,Database!$A:$AS,MATCH($D$1,Database!$A$1:$AS$1,0),FALSE)</f>
        <v/>
      </c>
      <c r="E225" s="86">
        <f>VLOOKUP(A225,Database!$A:$AS,MATCH($E$1,Database!$A$1:$AS$1,0),FALSE)</f>
        <v/>
      </c>
      <c r="F225" s="86">
        <f>VLOOKUP(A225,Database!$A:$AS,MATCH($F$1,Database!$A$1:$AS$1,0),FALSE)</f>
        <v/>
      </c>
      <c r="G225" s="86">
        <f>VLOOKUP(A225,Database!$A:$AS,MATCH($G$1,Database!$A$1:$AS$1,0),FALSE)</f>
        <v/>
      </c>
      <c r="H225" s="86">
        <f>(((Table134567891011121314151617343[[#This Row],[ITA]]-VLOOKUP($U$1,A:B,2,))/VLOOKUP($U$1,A:B,2,))*100)+100</f>
        <v/>
      </c>
      <c r="I225" s="86">
        <f>(((Table134567891011121314151617343[[#This Row],[FRA]]-VLOOKUP($U$1,A:C,3,))/VLOOKUP($U$1,A:C,3,))*100)+100</f>
        <v/>
      </c>
      <c r="J225" s="86">
        <f>(((Table134567891011121314151617343[[#This Row],[DEU]]-VLOOKUP($U$1,A:D,4,))/VLOOKUP($U$1,A:D,4,))*100)+100</f>
        <v/>
      </c>
      <c r="K225" s="86">
        <f>(((Table134567891011121314151617343[[#This Row],[ESP]]-VLOOKUP($U$1,A:E,5,))/VLOOKUP($U$1,A:E,5,))*100)+100</f>
        <v/>
      </c>
      <c r="L225" s="86">
        <f>(((Table134567891011121314151617343[[#This Row],[EA19]]-VLOOKUP($U$1,A:F,6,))/VLOOKUP($U$1,A:F,6,))*100)+100</f>
        <v/>
      </c>
      <c r="M225" s="86">
        <f>(((Table134567891011121314151617343[[#This Row],[GBR]]-VLOOKUP($U$1,A:G,7,))/VLOOKUP($U$1,A:G,7,))*100)+100</f>
        <v/>
      </c>
      <c r="N225" s="86">
        <f>VLOOKUP(A225,Database!$A:$AS,MATCH($N$1,Database!$A$1:$AS$1,0),FALSE)</f>
        <v/>
      </c>
      <c r="O225" s="86">
        <f>(((Table134567891011121314151617343[[#This Row],[USA]]-VLOOKUP($U$1,A:N,14,))/VLOOKUP($U$1,A:N,14,))*100)+100</f>
        <v/>
      </c>
      <c r="P225" s="86">
        <f>VLOOKUP(A225,Database!$A:$AS,MATCH($P$1,Database!$A$1:$AS$1,0),FALSE)</f>
        <v/>
      </c>
      <c r="Q225" s="86">
        <f>(((Table134567891011121314151617343[[#This Row],[JPN]]-VLOOKUP($U$1,A:Q,16,))/VLOOKUP($U$1,A:Q,16,))*100)+100</f>
        <v/>
      </c>
    </row>
    <row r="226" customFormat="1" s="94">
      <c r="A226" s="22" t="n">
        <v>39692</v>
      </c>
      <c r="B226" s="86">
        <f>VLOOKUP(A226,Database!$A:$AS,MATCH($B$1,Database!$A$1:$AS$1,0),FALSE)</f>
        <v/>
      </c>
      <c r="C226" s="86">
        <f>VLOOKUP(A226,Database!$A:$AS,MATCH($C$1,Database!$A$1:$AS$1,0),FALSE)</f>
        <v/>
      </c>
      <c r="D226" s="86">
        <f>VLOOKUP(A226,Database!$A:$AS,MATCH($D$1,Database!$A$1:$AS$1,0),FALSE)</f>
        <v/>
      </c>
      <c r="E226" s="86">
        <f>VLOOKUP(A226,Database!$A:$AS,MATCH($E$1,Database!$A$1:$AS$1,0),FALSE)</f>
        <v/>
      </c>
      <c r="F226" s="86">
        <f>VLOOKUP(A226,Database!$A:$AS,MATCH($F$1,Database!$A$1:$AS$1,0),FALSE)</f>
        <v/>
      </c>
      <c r="G226" s="86">
        <f>VLOOKUP(A226,Database!$A:$AS,MATCH($G$1,Database!$A$1:$AS$1,0),FALSE)</f>
        <v/>
      </c>
      <c r="H226" s="86">
        <f>(((Table134567891011121314151617343[[#This Row],[ITA]]-VLOOKUP($U$1,A:B,2,))/VLOOKUP($U$1,A:B,2,))*100)+100</f>
        <v/>
      </c>
      <c r="I226" s="86">
        <f>(((Table134567891011121314151617343[[#This Row],[FRA]]-VLOOKUP($U$1,A:C,3,))/VLOOKUP($U$1,A:C,3,))*100)+100</f>
        <v/>
      </c>
      <c r="J226" s="86">
        <f>(((Table134567891011121314151617343[[#This Row],[DEU]]-VLOOKUP($U$1,A:D,4,))/VLOOKUP($U$1,A:D,4,))*100)+100</f>
        <v/>
      </c>
      <c r="K226" s="86">
        <f>(((Table134567891011121314151617343[[#This Row],[ESP]]-VLOOKUP($U$1,A:E,5,))/VLOOKUP($U$1,A:E,5,))*100)+100</f>
        <v/>
      </c>
      <c r="L226" s="86">
        <f>(((Table134567891011121314151617343[[#This Row],[EA19]]-VLOOKUP($U$1,A:F,6,))/VLOOKUP($U$1,A:F,6,))*100)+100</f>
        <v/>
      </c>
      <c r="M226" s="86">
        <f>(((Table134567891011121314151617343[[#This Row],[GBR]]-VLOOKUP($U$1,A:G,7,))/VLOOKUP($U$1,A:G,7,))*100)+100</f>
        <v/>
      </c>
      <c r="N226" s="86">
        <f>VLOOKUP(A226,Database!$A:$AS,MATCH($N$1,Database!$A$1:$AS$1,0),FALSE)</f>
        <v/>
      </c>
      <c r="O226" s="86">
        <f>(((Table134567891011121314151617343[[#This Row],[USA]]-VLOOKUP($U$1,A:N,14,))/VLOOKUP($U$1,A:N,14,))*100)+100</f>
        <v/>
      </c>
      <c r="P226" s="86">
        <f>VLOOKUP(A226,Database!$A:$AS,MATCH($P$1,Database!$A$1:$AS$1,0),FALSE)</f>
        <v/>
      </c>
      <c r="Q226" s="86">
        <f>(((Table134567891011121314151617343[[#This Row],[JPN]]-VLOOKUP($U$1,A:Q,16,))/VLOOKUP($U$1,A:Q,16,))*100)+100</f>
        <v/>
      </c>
    </row>
    <row r="227" customFormat="1" s="94">
      <c r="A227" s="22" t="n">
        <v>39722</v>
      </c>
      <c r="B227" s="86">
        <f>VLOOKUP(A227,Database!$A:$AS,MATCH($B$1,Database!$A$1:$AS$1,0),FALSE)</f>
        <v/>
      </c>
      <c r="C227" s="86">
        <f>VLOOKUP(A227,Database!$A:$AS,MATCH($C$1,Database!$A$1:$AS$1,0),FALSE)</f>
        <v/>
      </c>
      <c r="D227" s="86">
        <f>VLOOKUP(A227,Database!$A:$AS,MATCH($D$1,Database!$A$1:$AS$1,0),FALSE)</f>
        <v/>
      </c>
      <c r="E227" s="86">
        <f>VLOOKUP(A227,Database!$A:$AS,MATCH($E$1,Database!$A$1:$AS$1,0),FALSE)</f>
        <v/>
      </c>
      <c r="F227" s="86">
        <f>VLOOKUP(A227,Database!$A:$AS,MATCH($F$1,Database!$A$1:$AS$1,0),FALSE)</f>
        <v/>
      </c>
      <c r="G227" s="86">
        <f>VLOOKUP(A227,Database!$A:$AS,MATCH($G$1,Database!$A$1:$AS$1,0),FALSE)</f>
        <v/>
      </c>
      <c r="H227" s="86">
        <f>(((Table134567891011121314151617343[[#This Row],[ITA]]-VLOOKUP($U$1,A:B,2,))/VLOOKUP($U$1,A:B,2,))*100)+100</f>
        <v/>
      </c>
      <c r="I227" s="86">
        <f>(((Table134567891011121314151617343[[#This Row],[FRA]]-VLOOKUP($U$1,A:C,3,))/VLOOKUP($U$1,A:C,3,))*100)+100</f>
        <v/>
      </c>
      <c r="J227" s="86">
        <f>(((Table134567891011121314151617343[[#This Row],[DEU]]-VLOOKUP($U$1,A:D,4,))/VLOOKUP($U$1,A:D,4,))*100)+100</f>
        <v/>
      </c>
      <c r="K227" s="86">
        <f>(((Table134567891011121314151617343[[#This Row],[ESP]]-VLOOKUP($U$1,A:E,5,))/VLOOKUP($U$1,A:E,5,))*100)+100</f>
        <v/>
      </c>
      <c r="L227" s="86">
        <f>(((Table134567891011121314151617343[[#This Row],[EA19]]-VLOOKUP($U$1,A:F,6,))/VLOOKUP($U$1,A:F,6,))*100)+100</f>
        <v/>
      </c>
      <c r="M227" s="86">
        <f>(((Table134567891011121314151617343[[#This Row],[GBR]]-VLOOKUP($U$1,A:G,7,))/VLOOKUP($U$1,A:G,7,))*100)+100</f>
        <v/>
      </c>
      <c r="N227" s="86">
        <f>VLOOKUP(A227,Database!$A:$AS,MATCH($N$1,Database!$A$1:$AS$1,0),FALSE)</f>
        <v/>
      </c>
      <c r="O227" s="86">
        <f>(((Table134567891011121314151617343[[#This Row],[USA]]-VLOOKUP($U$1,A:N,14,))/VLOOKUP($U$1,A:N,14,))*100)+100</f>
        <v/>
      </c>
      <c r="P227" s="86">
        <f>VLOOKUP(A227,Database!$A:$AS,MATCH($P$1,Database!$A$1:$AS$1,0),FALSE)</f>
        <v/>
      </c>
      <c r="Q227" s="86">
        <f>(((Table134567891011121314151617343[[#This Row],[JPN]]-VLOOKUP($U$1,A:Q,16,))/VLOOKUP($U$1,A:Q,16,))*100)+100</f>
        <v/>
      </c>
    </row>
    <row r="228" customFormat="1" s="94">
      <c r="A228" s="22" t="n">
        <v>39753</v>
      </c>
      <c r="B228" s="86">
        <f>VLOOKUP(A228,Database!$A:$AS,MATCH($B$1,Database!$A$1:$AS$1,0),FALSE)</f>
        <v/>
      </c>
      <c r="C228" s="86">
        <f>VLOOKUP(A228,Database!$A:$AS,MATCH($C$1,Database!$A$1:$AS$1,0),FALSE)</f>
        <v/>
      </c>
      <c r="D228" s="86">
        <f>VLOOKUP(A228,Database!$A:$AS,MATCH($D$1,Database!$A$1:$AS$1,0),FALSE)</f>
        <v/>
      </c>
      <c r="E228" s="86">
        <f>VLOOKUP(A228,Database!$A:$AS,MATCH($E$1,Database!$A$1:$AS$1,0),FALSE)</f>
        <v/>
      </c>
      <c r="F228" s="86">
        <f>VLOOKUP(A228,Database!$A:$AS,MATCH($F$1,Database!$A$1:$AS$1,0),FALSE)</f>
        <v/>
      </c>
      <c r="G228" s="86">
        <f>VLOOKUP(A228,Database!$A:$AS,MATCH($G$1,Database!$A$1:$AS$1,0),FALSE)</f>
        <v/>
      </c>
      <c r="H228" s="86">
        <f>(((Table134567891011121314151617343[[#This Row],[ITA]]-VLOOKUP($U$1,A:B,2,))/VLOOKUP($U$1,A:B,2,))*100)+100</f>
        <v/>
      </c>
      <c r="I228" s="86">
        <f>(((Table134567891011121314151617343[[#This Row],[FRA]]-VLOOKUP($U$1,A:C,3,))/VLOOKUP($U$1,A:C,3,))*100)+100</f>
        <v/>
      </c>
      <c r="J228" s="86">
        <f>(((Table134567891011121314151617343[[#This Row],[DEU]]-VLOOKUP($U$1,A:D,4,))/VLOOKUP($U$1,A:D,4,))*100)+100</f>
        <v/>
      </c>
      <c r="K228" s="86">
        <f>(((Table134567891011121314151617343[[#This Row],[ESP]]-VLOOKUP($U$1,A:E,5,))/VLOOKUP($U$1,A:E,5,))*100)+100</f>
        <v/>
      </c>
      <c r="L228" s="86">
        <f>(((Table134567891011121314151617343[[#This Row],[EA19]]-VLOOKUP($U$1,A:F,6,))/VLOOKUP($U$1,A:F,6,))*100)+100</f>
        <v/>
      </c>
      <c r="M228" s="86">
        <f>(((Table134567891011121314151617343[[#This Row],[GBR]]-VLOOKUP($U$1,A:G,7,))/VLOOKUP($U$1,A:G,7,))*100)+100</f>
        <v/>
      </c>
      <c r="N228" s="86">
        <f>VLOOKUP(A228,Database!$A:$AS,MATCH($N$1,Database!$A$1:$AS$1,0),FALSE)</f>
        <v/>
      </c>
      <c r="O228" s="86">
        <f>(((Table134567891011121314151617343[[#This Row],[USA]]-VLOOKUP($U$1,A:N,14,))/VLOOKUP($U$1,A:N,14,))*100)+100</f>
        <v/>
      </c>
      <c r="P228" s="86">
        <f>VLOOKUP(A228,Database!$A:$AS,MATCH($P$1,Database!$A$1:$AS$1,0),FALSE)</f>
        <v/>
      </c>
      <c r="Q228" s="86">
        <f>(((Table134567891011121314151617343[[#This Row],[JPN]]-VLOOKUP($U$1,A:Q,16,))/VLOOKUP($U$1,A:Q,16,))*100)+100</f>
        <v/>
      </c>
    </row>
    <row r="229" customFormat="1" s="94">
      <c r="A229" s="22" t="n">
        <v>39783</v>
      </c>
      <c r="B229" s="86">
        <f>VLOOKUP(A229,Database!$A:$AS,MATCH($B$1,Database!$A$1:$AS$1,0),FALSE)</f>
        <v/>
      </c>
      <c r="C229" s="86">
        <f>VLOOKUP(A229,Database!$A:$AS,MATCH($C$1,Database!$A$1:$AS$1,0),FALSE)</f>
        <v/>
      </c>
      <c r="D229" s="86">
        <f>VLOOKUP(A229,Database!$A:$AS,MATCH($D$1,Database!$A$1:$AS$1,0),FALSE)</f>
        <v/>
      </c>
      <c r="E229" s="86">
        <f>VLOOKUP(A229,Database!$A:$AS,MATCH($E$1,Database!$A$1:$AS$1,0),FALSE)</f>
        <v/>
      </c>
      <c r="F229" s="86">
        <f>VLOOKUP(A229,Database!$A:$AS,MATCH($F$1,Database!$A$1:$AS$1,0),FALSE)</f>
        <v/>
      </c>
      <c r="G229" s="86">
        <f>VLOOKUP(A229,Database!$A:$AS,MATCH($G$1,Database!$A$1:$AS$1,0),FALSE)</f>
        <v/>
      </c>
      <c r="H229" s="86">
        <f>(((Table134567891011121314151617343[[#This Row],[ITA]]-VLOOKUP($U$1,A:B,2,))/VLOOKUP($U$1,A:B,2,))*100)+100</f>
        <v/>
      </c>
      <c r="I229" s="86">
        <f>(((Table134567891011121314151617343[[#This Row],[FRA]]-VLOOKUP($U$1,A:C,3,))/VLOOKUP($U$1,A:C,3,))*100)+100</f>
        <v/>
      </c>
      <c r="J229" s="86">
        <f>(((Table134567891011121314151617343[[#This Row],[DEU]]-VLOOKUP($U$1,A:D,4,))/VLOOKUP($U$1,A:D,4,))*100)+100</f>
        <v/>
      </c>
      <c r="K229" s="86">
        <f>(((Table134567891011121314151617343[[#This Row],[ESP]]-VLOOKUP($U$1,A:E,5,))/VLOOKUP($U$1,A:E,5,))*100)+100</f>
        <v/>
      </c>
      <c r="L229" s="86">
        <f>(((Table134567891011121314151617343[[#This Row],[EA19]]-VLOOKUP($U$1,A:F,6,))/VLOOKUP($U$1,A:F,6,))*100)+100</f>
        <v/>
      </c>
      <c r="M229" s="86">
        <f>(((Table134567891011121314151617343[[#This Row],[GBR]]-VLOOKUP($U$1,A:G,7,))/VLOOKUP($U$1,A:G,7,))*100)+100</f>
        <v/>
      </c>
      <c r="N229" s="86">
        <f>VLOOKUP(A229,Database!$A:$AS,MATCH($N$1,Database!$A$1:$AS$1,0),FALSE)</f>
        <v/>
      </c>
      <c r="O229" s="86">
        <f>(((Table134567891011121314151617343[[#This Row],[USA]]-VLOOKUP($U$1,A:N,14,))/VLOOKUP($U$1,A:N,14,))*100)+100</f>
        <v/>
      </c>
      <c r="P229" s="86">
        <f>VLOOKUP(A229,Database!$A:$AS,MATCH($P$1,Database!$A$1:$AS$1,0),FALSE)</f>
        <v/>
      </c>
      <c r="Q229" s="86">
        <f>(((Table134567891011121314151617343[[#This Row],[JPN]]-VLOOKUP($U$1,A:Q,16,))/VLOOKUP($U$1,A:Q,16,))*100)+100</f>
        <v/>
      </c>
    </row>
    <row r="230" customFormat="1" s="94">
      <c r="A230" s="22" t="n">
        <v>39814</v>
      </c>
      <c r="B230" s="86">
        <f>VLOOKUP(A230,Database!$A:$AS,MATCH($B$1,Database!$A$1:$AS$1,0),FALSE)</f>
        <v/>
      </c>
      <c r="C230" s="86">
        <f>VLOOKUP(A230,Database!$A:$AS,MATCH($C$1,Database!$A$1:$AS$1,0),FALSE)</f>
        <v/>
      </c>
      <c r="D230" s="86">
        <f>VLOOKUP(A230,Database!$A:$AS,MATCH($D$1,Database!$A$1:$AS$1,0),FALSE)</f>
        <v/>
      </c>
      <c r="E230" s="86">
        <f>VLOOKUP(A230,Database!$A:$AS,MATCH($E$1,Database!$A$1:$AS$1,0),FALSE)</f>
        <v/>
      </c>
      <c r="F230" s="86">
        <f>VLOOKUP(A230,Database!$A:$AS,MATCH($F$1,Database!$A$1:$AS$1,0),FALSE)</f>
        <v/>
      </c>
      <c r="G230" s="86">
        <f>VLOOKUP(A230,Database!$A:$AS,MATCH($G$1,Database!$A$1:$AS$1,0),FALSE)</f>
        <v/>
      </c>
      <c r="H230" s="86">
        <f>(((Table134567891011121314151617343[[#This Row],[ITA]]-VLOOKUP($U$1,A:B,2,))/VLOOKUP($U$1,A:B,2,))*100)+100</f>
        <v/>
      </c>
      <c r="I230" s="86">
        <f>(((Table134567891011121314151617343[[#This Row],[FRA]]-VLOOKUP($U$1,A:C,3,))/VLOOKUP($U$1,A:C,3,))*100)+100</f>
        <v/>
      </c>
      <c r="J230" s="86">
        <f>(((Table134567891011121314151617343[[#This Row],[DEU]]-VLOOKUP($U$1,A:D,4,))/VLOOKUP($U$1,A:D,4,))*100)+100</f>
        <v/>
      </c>
      <c r="K230" s="86">
        <f>(((Table134567891011121314151617343[[#This Row],[ESP]]-VLOOKUP($U$1,A:E,5,))/VLOOKUP($U$1,A:E,5,))*100)+100</f>
        <v/>
      </c>
      <c r="L230" s="86">
        <f>(((Table134567891011121314151617343[[#This Row],[EA19]]-VLOOKUP($U$1,A:F,6,))/VLOOKUP($U$1,A:F,6,))*100)+100</f>
        <v/>
      </c>
      <c r="M230" s="86">
        <f>(((Table134567891011121314151617343[[#This Row],[GBR]]-VLOOKUP($U$1,A:G,7,))/VLOOKUP($U$1,A:G,7,))*100)+100</f>
        <v/>
      </c>
      <c r="N230" s="86">
        <f>VLOOKUP(A230,Database!$A:$AS,MATCH($N$1,Database!$A$1:$AS$1,0),FALSE)</f>
        <v/>
      </c>
      <c r="O230" s="86">
        <f>(((Table134567891011121314151617343[[#This Row],[USA]]-VLOOKUP($U$1,A:N,14,))/VLOOKUP($U$1,A:N,14,))*100)+100</f>
        <v/>
      </c>
      <c r="P230" s="86">
        <f>VLOOKUP(A230,Database!$A:$AS,MATCH($P$1,Database!$A$1:$AS$1,0),FALSE)</f>
        <v/>
      </c>
      <c r="Q230" s="86">
        <f>(((Table134567891011121314151617343[[#This Row],[JPN]]-VLOOKUP($U$1,A:Q,16,))/VLOOKUP($U$1,A:Q,16,))*100)+100</f>
        <v/>
      </c>
    </row>
    <row r="231" customFormat="1" s="94">
      <c r="A231" s="22" t="n">
        <v>39845</v>
      </c>
      <c r="B231" s="86">
        <f>VLOOKUP(A231,Database!$A:$AS,MATCH($B$1,Database!$A$1:$AS$1,0),FALSE)</f>
        <v/>
      </c>
      <c r="C231" s="86">
        <f>VLOOKUP(A231,Database!$A:$AS,MATCH($C$1,Database!$A$1:$AS$1,0),FALSE)</f>
        <v/>
      </c>
      <c r="D231" s="86">
        <f>VLOOKUP(A231,Database!$A:$AS,MATCH($D$1,Database!$A$1:$AS$1,0),FALSE)</f>
        <v/>
      </c>
      <c r="E231" s="86">
        <f>VLOOKUP(A231,Database!$A:$AS,MATCH($E$1,Database!$A$1:$AS$1,0),FALSE)</f>
        <v/>
      </c>
      <c r="F231" s="86">
        <f>VLOOKUP(A231,Database!$A:$AS,MATCH($F$1,Database!$A$1:$AS$1,0),FALSE)</f>
        <v/>
      </c>
      <c r="G231" s="86">
        <f>VLOOKUP(A231,Database!$A:$AS,MATCH($G$1,Database!$A$1:$AS$1,0),FALSE)</f>
        <v/>
      </c>
      <c r="H231" s="86">
        <f>(((Table134567891011121314151617343[[#This Row],[ITA]]-VLOOKUP($U$1,A:B,2,))/VLOOKUP($U$1,A:B,2,))*100)+100</f>
        <v/>
      </c>
      <c r="I231" s="86">
        <f>(((Table134567891011121314151617343[[#This Row],[FRA]]-VLOOKUP($U$1,A:C,3,))/VLOOKUP($U$1,A:C,3,))*100)+100</f>
        <v/>
      </c>
      <c r="J231" s="86">
        <f>(((Table134567891011121314151617343[[#This Row],[DEU]]-VLOOKUP($U$1,A:D,4,))/VLOOKUP($U$1,A:D,4,))*100)+100</f>
        <v/>
      </c>
      <c r="K231" s="86">
        <f>(((Table134567891011121314151617343[[#This Row],[ESP]]-VLOOKUP($U$1,A:E,5,))/VLOOKUP($U$1,A:E,5,))*100)+100</f>
        <v/>
      </c>
      <c r="L231" s="86">
        <f>(((Table134567891011121314151617343[[#This Row],[EA19]]-VLOOKUP($U$1,A:F,6,))/VLOOKUP($U$1,A:F,6,))*100)+100</f>
        <v/>
      </c>
      <c r="M231" s="86">
        <f>(((Table134567891011121314151617343[[#This Row],[GBR]]-VLOOKUP($U$1,A:G,7,))/VLOOKUP($U$1,A:G,7,))*100)+100</f>
        <v/>
      </c>
      <c r="N231" s="86">
        <f>VLOOKUP(A231,Database!$A:$AS,MATCH($N$1,Database!$A$1:$AS$1,0),FALSE)</f>
        <v/>
      </c>
      <c r="O231" s="86">
        <f>(((Table134567891011121314151617343[[#This Row],[USA]]-VLOOKUP($U$1,A:N,14,))/VLOOKUP($U$1,A:N,14,))*100)+100</f>
        <v/>
      </c>
      <c r="P231" s="86">
        <f>VLOOKUP(A231,Database!$A:$AS,MATCH($P$1,Database!$A$1:$AS$1,0),FALSE)</f>
        <v/>
      </c>
      <c r="Q231" s="86">
        <f>(((Table134567891011121314151617343[[#This Row],[JPN]]-VLOOKUP($U$1,A:Q,16,))/VLOOKUP($U$1,A:Q,16,))*100)+100</f>
        <v/>
      </c>
    </row>
    <row r="232" customFormat="1" s="94">
      <c r="A232" s="22" t="n">
        <v>39873</v>
      </c>
      <c r="B232" s="86">
        <f>VLOOKUP(A232,Database!$A:$AS,MATCH($B$1,Database!$A$1:$AS$1,0),FALSE)</f>
        <v/>
      </c>
      <c r="C232" s="86">
        <f>VLOOKUP(A232,Database!$A:$AS,MATCH($C$1,Database!$A$1:$AS$1,0),FALSE)</f>
        <v/>
      </c>
      <c r="D232" s="86">
        <f>VLOOKUP(A232,Database!$A:$AS,MATCH($D$1,Database!$A$1:$AS$1,0),FALSE)</f>
        <v/>
      </c>
      <c r="E232" s="86">
        <f>VLOOKUP(A232,Database!$A:$AS,MATCH($E$1,Database!$A$1:$AS$1,0),FALSE)</f>
        <v/>
      </c>
      <c r="F232" s="86">
        <f>VLOOKUP(A232,Database!$A:$AS,MATCH($F$1,Database!$A$1:$AS$1,0),FALSE)</f>
        <v/>
      </c>
      <c r="G232" s="86">
        <f>VLOOKUP(A232,Database!$A:$AS,MATCH($G$1,Database!$A$1:$AS$1,0),FALSE)</f>
        <v/>
      </c>
      <c r="H232" s="86">
        <f>(((Table134567891011121314151617343[[#This Row],[ITA]]-VLOOKUP($U$1,A:B,2,))/VLOOKUP($U$1,A:B,2,))*100)+100</f>
        <v/>
      </c>
      <c r="I232" s="86">
        <f>(((Table134567891011121314151617343[[#This Row],[FRA]]-VLOOKUP($U$1,A:C,3,))/VLOOKUP($U$1,A:C,3,))*100)+100</f>
        <v/>
      </c>
      <c r="J232" s="86">
        <f>(((Table134567891011121314151617343[[#This Row],[DEU]]-VLOOKUP($U$1,A:D,4,))/VLOOKUP($U$1,A:D,4,))*100)+100</f>
        <v/>
      </c>
      <c r="K232" s="86">
        <f>(((Table134567891011121314151617343[[#This Row],[ESP]]-VLOOKUP($U$1,A:E,5,))/VLOOKUP($U$1,A:E,5,))*100)+100</f>
        <v/>
      </c>
      <c r="L232" s="86">
        <f>(((Table134567891011121314151617343[[#This Row],[EA19]]-VLOOKUP($U$1,A:F,6,))/VLOOKUP($U$1,A:F,6,))*100)+100</f>
        <v/>
      </c>
      <c r="M232" s="86">
        <f>(((Table134567891011121314151617343[[#This Row],[GBR]]-VLOOKUP($U$1,A:G,7,))/VLOOKUP($U$1,A:G,7,))*100)+100</f>
        <v/>
      </c>
      <c r="N232" s="86">
        <f>VLOOKUP(A232,Database!$A:$AS,MATCH($N$1,Database!$A$1:$AS$1,0),FALSE)</f>
        <v/>
      </c>
      <c r="O232" s="86">
        <f>(((Table134567891011121314151617343[[#This Row],[USA]]-VLOOKUP($U$1,A:N,14,))/VLOOKUP($U$1,A:N,14,))*100)+100</f>
        <v/>
      </c>
      <c r="P232" s="86">
        <f>VLOOKUP(A232,Database!$A:$AS,MATCH($P$1,Database!$A$1:$AS$1,0),FALSE)</f>
        <v/>
      </c>
      <c r="Q232" s="86">
        <f>(((Table134567891011121314151617343[[#This Row],[JPN]]-VLOOKUP($U$1,A:Q,16,))/VLOOKUP($U$1,A:Q,16,))*100)+100</f>
        <v/>
      </c>
    </row>
    <row r="233" customFormat="1" s="94">
      <c r="A233" s="22" t="n">
        <v>39904</v>
      </c>
      <c r="B233" s="86">
        <f>VLOOKUP(A233,Database!$A:$AS,MATCH($B$1,Database!$A$1:$AS$1,0),FALSE)</f>
        <v/>
      </c>
      <c r="C233" s="86">
        <f>VLOOKUP(A233,Database!$A:$AS,MATCH($C$1,Database!$A$1:$AS$1,0),FALSE)</f>
        <v/>
      </c>
      <c r="D233" s="86">
        <f>VLOOKUP(A233,Database!$A:$AS,MATCH($D$1,Database!$A$1:$AS$1,0),FALSE)</f>
        <v/>
      </c>
      <c r="E233" s="86">
        <f>VLOOKUP(A233,Database!$A:$AS,MATCH($E$1,Database!$A$1:$AS$1,0),FALSE)</f>
        <v/>
      </c>
      <c r="F233" s="86">
        <f>VLOOKUP(A233,Database!$A:$AS,MATCH($F$1,Database!$A$1:$AS$1,0),FALSE)</f>
        <v/>
      </c>
      <c r="G233" s="86">
        <f>VLOOKUP(A233,Database!$A:$AS,MATCH($G$1,Database!$A$1:$AS$1,0),FALSE)</f>
        <v/>
      </c>
      <c r="H233" s="86">
        <f>(((Table134567891011121314151617343[[#This Row],[ITA]]-VLOOKUP($U$1,A:B,2,))/VLOOKUP($U$1,A:B,2,))*100)+100</f>
        <v/>
      </c>
      <c r="I233" s="86">
        <f>(((Table134567891011121314151617343[[#This Row],[FRA]]-VLOOKUP($U$1,A:C,3,))/VLOOKUP($U$1,A:C,3,))*100)+100</f>
        <v/>
      </c>
      <c r="J233" s="86">
        <f>(((Table134567891011121314151617343[[#This Row],[DEU]]-VLOOKUP($U$1,A:D,4,))/VLOOKUP($U$1,A:D,4,))*100)+100</f>
        <v/>
      </c>
      <c r="K233" s="86">
        <f>(((Table134567891011121314151617343[[#This Row],[ESP]]-VLOOKUP($U$1,A:E,5,))/VLOOKUP($U$1,A:E,5,))*100)+100</f>
        <v/>
      </c>
      <c r="L233" s="86">
        <f>(((Table134567891011121314151617343[[#This Row],[EA19]]-VLOOKUP($U$1,A:F,6,))/VLOOKUP($U$1,A:F,6,))*100)+100</f>
        <v/>
      </c>
      <c r="M233" s="86">
        <f>(((Table134567891011121314151617343[[#This Row],[GBR]]-VLOOKUP($U$1,A:G,7,))/VLOOKUP($U$1,A:G,7,))*100)+100</f>
        <v/>
      </c>
      <c r="N233" s="86">
        <f>VLOOKUP(A233,Database!$A:$AS,MATCH($N$1,Database!$A$1:$AS$1,0),FALSE)</f>
        <v/>
      </c>
      <c r="O233" s="86">
        <f>(((Table134567891011121314151617343[[#This Row],[USA]]-VLOOKUP($U$1,A:N,14,))/VLOOKUP($U$1,A:N,14,))*100)+100</f>
        <v/>
      </c>
      <c r="P233" s="86">
        <f>VLOOKUP(A233,Database!$A:$AS,MATCH($P$1,Database!$A$1:$AS$1,0),FALSE)</f>
        <v/>
      </c>
      <c r="Q233" s="86">
        <f>(((Table134567891011121314151617343[[#This Row],[JPN]]-VLOOKUP($U$1,A:Q,16,))/VLOOKUP($U$1,A:Q,16,))*100)+100</f>
        <v/>
      </c>
    </row>
    <row r="234" customFormat="1" s="94">
      <c r="A234" s="22" t="n">
        <v>39934</v>
      </c>
      <c r="B234" s="86">
        <f>VLOOKUP(A234,Database!$A:$AS,MATCH($B$1,Database!$A$1:$AS$1,0),FALSE)</f>
        <v/>
      </c>
      <c r="C234" s="86">
        <f>VLOOKUP(A234,Database!$A:$AS,MATCH($C$1,Database!$A$1:$AS$1,0),FALSE)</f>
        <v/>
      </c>
      <c r="D234" s="86">
        <f>VLOOKUP(A234,Database!$A:$AS,MATCH($D$1,Database!$A$1:$AS$1,0),FALSE)</f>
        <v/>
      </c>
      <c r="E234" s="86">
        <f>VLOOKUP(A234,Database!$A:$AS,MATCH($E$1,Database!$A$1:$AS$1,0),FALSE)</f>
        <v/>
      </c>
      <c r="F234" s="86">
        <f>VLOOKUP(A234,Database!$A:$AS,MATCH($F$1,Database!$A$1:$AS$1,0),FALSE)</f>
        <v/>
      </c>
      <c r="G234" s="86">
        <f>VLOOKUP(A234,Database!$A:$AS,MATCH($G$1,Database!$A$1:$AS$1,0),FALSE)</f>
        <v/>
      </c>
      <c r="H234" s="86">
        <f>(((Table134567891011121314151617343[[#This Row],[ITA]]-VLOOKUP($U$1,A:B,2,))/VLOOKUP($U$1,A:B,2,))*100)+100</f>
        <v/>
      </c>
      <c r="I234" s="86">
        <f>(((Table134567891011121314151617343[[#This Row],[FRA]]-VLOOKUP($U$1,A:C,3,))/VLOOKUP($U$1,A:C,3,))*100)+100</f>
        <v/>
      </c>
      <c r="J234" s="86">
        <f>(((Table134567891011121314151617343[[#This Row],[DEU]]-VLOOKUP($U$1,A:D,4,))/VLOOKUP($U$1,A:D,4,))*100)+100</f>
        <v/>
      </c>
      <c r="K234" s="86">
        <f>(((Table134567891011121314151617343[[#This Row],[ESP]]-VLOOKUP($U$1,A:E,5,))/VLOOKUP($U$1,A:E,5,))*100)+100</f>
        <v/>
      </c>
      <c r="L234" s="86">
        <f>(((Table134567891011121314151617343[[#This Row],[EA19]]-VLOOKUP($U$1,A:F,6,))/VLOOKUP($U$1,A:F,6,))*100)+100</f>
        <v/>
      </c>
      <c r="M234" s="86">
        <f>(((Table134567891011121314151617343[[#This Row],[GBR]]-VLOOKUP($U$1,A:G,7,))/VLOOKUP($U$1,A:G,7,))*100)+100</f>
        <v/>
      </c>
      <c r="N234" s="86">
        <f>VLOOKUP(A234,Database!$A:$AS,MATCH($N$1,Database!$A$1:$AS$1,0),FALSE)</f>
        <v/>
      </c>
      <c r="O234" s="86">
        <f>(((Table134567891011121314151617343[[#This Row],[USA]]-VLOOKUP($U$1,A:N,14,))/VLOOKUP($U$1,A:N,14,))*100)+100</f>
        <v/>
      </c>
      <c r="P234" s="86">
        <f>VLOOKUP(A234,Database!$A:$AS,MATCH($P$1,Database!$A$1:$AS$1,0),FALSE)</f>
        <v/>
      </c>
      <c r="Q234" s="86">
        <f>(((Table134567891011121314151617343[[#This Row],[JPN]]-VLOOKUP($U$1,A:Q,16,))/VLOOKUP($U$1,A:Q,16,))*100)+100</f>
        <v/>
      </c>
    </row>
    <row r="235" customFormat="1" s="94">
      <c r="A235" s="22" t="n">
        <v>39965</v>
      </c>
      <c r="B235" s="86">
        <f>VLOOKUP(A235,Database!$A:$AS,MATCH($B$1,Database!$A$1:$AS$1,0),FALSE)</f>
        <v/>
      </c>
      <c r="C235" s="86">
        <f>VLOOKUP(A235,Database!$A:$AS,MATCH($C$1,Database!$A$1:$AS$1,0),FALSE)</f>
        <v/>
      </c>
      <c r="D235" s="86">
        <f>VLOOKUP(A235,Database!$A:$AS,MATCH($D$1,Database!$A$1:$AS$1,0),FALSE)</f>
        <v/>
      </c>
      <c r="E235" s="86">
        <f>VLOOKUP(A235,Database!$A:$AS,MATCH($E$1,Database!$A$1:$AS$1,0),FALSE)</f>
        <v/>
      </c>
      <c r="F235" s="86">
        <f>VLOOKUP(A235,Database!$A:$AS,MATCH($F$1,Database!$A$1:$AS$1,0),FALSE)</f>
        <v/>
      </c>
      <c r="G235" s="86">
        <f>VLOOKUP(A235,Database!$A:$AS,MATCH($G$1,Database!$A$1:$AS$1,0),FALSE)</f>
        <v/>
      </c>
      <c r="H235" s="86">
        <f>(((Table134567891011121314151617343[[#This Row],[ITA]]-VLOOKUP($U$1,A:B,2,))/VLOOKUP($U$1,A:B,2,))*100)+100</f>
        <v/>
      </c>
      <c r="I235" s="86">
        <f>(((Table134567891011121314151617343[[#This Row],[FRA]]-VLOOKUP($U$1,A:C,3,))/VLOOKUP($U$1,A:C,3,))*100)+100</f>
        <v/>
      </c>
      <c r="J235" s="86">
        <f>(((Table134567891011121314151617343[[#This Row],[DEU]]-VLOOKUP($U$1,A:D,4,))/VLOOKUP($U$1,A:D,4,))*100)+100</f>
        <v/>
      </c>
      <c r="K235" s="86">
        <f>(((Table134567891011121314151617343[[#This Row],[ESP]]-VLOOKUP($U$1,A:E,5,))/VLOOKUP($U$1,A:E,5,))*100)+100</f>
        <v/>
      </c>
      <c r="L235" s="86">
        <f>(((Table134567891011121314151617343[[#This Row],[EA19]]-VLOOKUP($U$1,A:F,6,))/VLOOKUP($U$1,A:F,6,))*100)+100</f>
        <v/>
      </c>
      <c r="M235" s="86">
        <f>(((Table134567891011121314151617343[[#This Row],[GBR]]-VLOOKUP($U$1,A:G,7,))/VLOOKUP($U$1,A:G,7,))*100)+100</f>
        <v/>
      </c>
      <c r="N235" s="86">
        <f>VLOOKUP(A235,Database!$A:$AS,MATCH($N$1,Database!$A$1:$AS$1,0),FALSE)</f>
        <v/>
      </c>
      <c r="O235" s="86">
        <f>(((Table134567891011121314151617343[[#This Row],[USA]]-VLOOKUP($U$1,A:N,14,))/VLOOKUP($U$1,A:N,14,))*100)+100</f>
        <v/>
      </c>
      <c r="P235" s="86">
        <f>VLOOKUP(A235,Database!$A:$AS,MATCH($P$1,Database!$A$1:$AS$1,0),FALSE)</f>
        <v/>
      </c>
      <c r="Q235" s="86">
        <f>(((Table134567891011121314151617343[[#This Row],[JPN]]-VLOOKUP($U$1,A:Q,16,))/VLOOKUP($U$1,A:Q,16,))*100)+100</f>
        <v/>
      </c>
    </row>
    <row r="236" customFormat="1" s="94">
      <c r="A236" s="22" t="n">
        <v>39995</v>
      </c>
      <c r="B236" s="86">
        <f>VLOOKUP(A236,Database!$A:$AS,MATCH($B$1,Database!$A$1:$AS$1,0),FALSE)</f>
        <v/>
      </c>
      <c r="C236" s="86">
        <f>VLOOKUP(A236,Database!$A:$AS,MATCH($C$1,Database!$A$1:$AS$1,0),FALSE)</f>
        <v/>
      </c>
      <c r="D236" s="86">
        <f>VLOOKUP(A236,Database!$A:$AS,MATCH($D$1,Database!$A$1:$AS$1,0),FALSE)</f>
        <v/>
      </c>
      <c r="E236" s="86">
        <f>VLOOKUP(A236,Database!$A:$AS,MATCH($E$1,Database!$A$1:$AS$1,0),FALSE)</f>
        <v/>
      </c>
      <c r="F236" s="86">
        <f>VLOOKUP(A236,Database!$A:$AS,MATCH($F$1,Database!$A$1:$AS$1,0),FALSE)</f>
        <v/>
      </c>
      <c r="G236" s="86">
        <f>VLOOKUP(A236,Database!$A:$AS,MATCH($G$1,Database!$A$1:$AS$1,0),FALSE)</f>
        <v/>
      </c>
      <c r="H236" s="86">
        <f>(((Table134567891011121314151617343[[#This Row],[ITA]]-VLOOKUP($U$1,A:B,2,))/VLOOKUP($U$1,A:B,2,))*100)+100</f>
        <v/>
      </c>
      <c r="I236" s="86">
        <f>(((Table134567891011121314151617343[[#This Row],[FRA]]-VLOOKUP($U$1,A:C,3,))/VLOOKUP($U$1,A:C,3,))*100)+100</f>
        <v/>
      </c>
      <c r="J236" s="86">
        <f>(((Table134567891011121314151617343[[#This Row],[DEU]]-VLOOKUP($U$1,A:D,4,))/VLOOKUP($U$1,A:D,4,))*100)+100</f>
        <v/>
      </c>
      <c r="K236" s="86">
        <f>(((Table134567891011121314151617343[[#This Row],[ESP]]-VLOOKUP($U$1,A:E,5,))/VLOOKUP($U$1,A:E,5,))*100)+100</f>
        <v/>
      </c>
      <c r="L236" s="86">
        <f>(((Table134567891011121314151617343[[#This Row],[EA19]]-VLOOKUP($U$1,A:F,6,))/VLOOKUP($U$1,A:F,6,))*100)+100</f>
        <v/>
      </c>
      <c r="M236" s="86">
        <f>(((Table134567891011121314151617343[[#This Row],[GBR]]-VLOOKUP($U$1,A:G,7,))/VLOOKUP($U$1,A:G,7,))*100)+100</f>
        <v/>
      </c>
      <c r="N236" s="86">
        <f>VLOOKUP(A236,Database!$A:$AS,MATCH($N$1,Database!$A$1:$AS$1,0),FALSE)</f>
        <v/>
      </c>
      <c r="O236" s="86">
        <f>(((Table134567891011121314151617343[[#This Row],[USA]]-VLOOKUP($U$1,A:N,14,))/VLOOKUP($U$1,A:N,14,))*100)+100</f>
        <v/>
      </c>
      <c r="P236" s="86">
        <f>VLOOKUP(A236,Database!$A:$AS,MATCH($P$1,Database!$A$1:$AS$1,0),FALSE)</f>
        <v/>
      </c>
      <c r="Q236" s="86">
        <f>(((Table134567891011121314151617343[[#This Row],[JPN]]-VLOOKUP($U$1,A:Q,16,))/VLOOKUP($U$1,A:Q,16,))*100)+100</f>
        <v/>
      </c>
    </row>
    <row r="237" customFormat="1" s="94">
      <c r="A237" s="22" t="n">
        <v>40026</v>
      </c>
      <c r="B237" s="86">
        <f>VLOOKUP(A237,Database!$A:$AS,MATCH($B$1,Database!$A$1:$AS$1,0),FALSE)</f>
        <v/>
      </c>
      <c r="C237" s="86">
        <f>VLOOKUP(A237,Database!$A:$AS,MATCH($C$1,Database!$A$1:$AS$1,0),FALSE)</f>
        <v/>
      </c>
      <c r="D237" s="86">
        <f>VLOOKUP(A237,Database!$A:$AS,MATCH($D$1,Database!$A$1:$AS$1,0),FALSE)</f>
        <v/>
      </c>
      <c r="E237" s="86">
        <f>VLOOKUP(A237,Database!$A:$AS,MATCH($E$1,Database!$A$1:$AS$1,0),FALSE)</f>
        <v/>
      </c>
      <c r="F237" s="86">
        <f>VLOOKUP(A237,Database!$A:$AS,MATCH($F$1,Database!$A$1:$AS$1,0),FALSE)</f>
        <v/>
      </c>
      <c r="G237" s="86">
        <f>VLOOKUP(A237,Database!$A:$AS,MATCH($G$1,Database!$A$1:$AS$1,0),FALSE)</f>
        <v/>
      </c>
      <c r="H237" s="86">
        <f>(((Table134567891011121314151617343[[#This Row],[ITA]]-VLOOKUP($U$1,A:B,2,))/VLOOKUP($U$1,A:B,2,))*100)+100</f>
        <v/>
      </c>
      <c r="I237" s="86">
        <f>(((Table134567891011121314151617343[[#This Row],[FRA]]-VLOOKUP($U$1,A:C,3,))/VLOOKUP($U$1,A:C,3,))*100)+100</f>
        <v/>
      </c>
      <c r="J237" s="86">
        <f>(((Table134567891011121314151617343[[#This Row],[DEU]]-VLOOKUP($U$1,A:D,4,))/VLOOKUP($U$1,A:D,4,))*100)+100</f>
        <v/>
      </c>
      <c r="K237" s="86">
        <f>(((Table134567891011121314151617343[[#This Row],[ESP]]-VLOOKUP($U$1,A:E,5,))/VLOOKUP($U$1,A:E,5,))*100)+100</f>
        <v/>
      </c>
      <c r="L237" s="86">
        <f>(((Table134567891011121314151617343[[#This Row],[EA19]]-VLOOKUP($U$1,A:F,6,))/VLOOKUP($U$1,A:F,6,))*100)+100</f>
        <v/>
      </c>
      <c r="M237" s="86">
        <f>(((Table134567891011121314151617343[[#This Row],[GBR]]-VLOOKUP($U$1,A:G,7,))/VLOOKUP($U$1,A:G,7,))*100)+100</f>
        <v/>
      </c>
      <c r="N237" s="86">
        <f>VLOOKUP(A237,Database!$A:$AS,MATCH($N$1,Database!$A$1:$AS$1,0),FALSE)</f>
        <v/>
      </c>
      <c r="O237" s="86">
        <f>(((Table134567891011121314151617343[[#This Row],[USA]]-VLOOKUP($U$1,A:N,14,))/VLOOKUP($U$1,A:N,14,))*100)+100</f>
        <v/>
      </c>
      <c r="P237" s="86">
        <f>VLOOKUP(A237,Database!$A:$AS,MATCH($P$1,Database!$A$1:$AS$1,0),FALSE)</f>
        <v/>
      </c>
      <c r="Q237" s="86">
        <f>(((Table134567891011121314151617343[[#This Row],[JPN]]-VLOOKUP($U$1,A:Q,16,))/VLOOKUP($U$1,A:Q,16,))*100)+100</f>
        <v/>
      </c>
    </row>
    <row r="238" customFormat="1" s="94">
      <c r="A238" s="22" t="n">
        <v>40057</v>
      </c>
      <c r="B238" s="86">
        <f>VLOOKUP(A238,Database!$A:$AS,MATCH($B$1,Database!$A$1:$AS$1,0),FALSE)</f>
        <v/>
      </c>
      <c r="C238" s="86">
        <f>VLOOKUP(A238,Database!$A:$AS,MATCH($C$1,Database!$A$1:$AS$1,0),FALSE)</f>
        <v/>
      </c>
      <c r="D238" s="86">
        <f>VLOOKUP(A238,Database!$A:$AS,MATCH($D$1,Database!$A$1:$AS$1,0),FALSE)</f>
        <v/>
      </c>
      <c r="E238" s="86">
        <f>VLOOKUP(A238,Database!$A:$AS,MATCH($E$1,Database!$A$1:$AS$1,0),FALSE)</f>
        <v/>
      </c>
      <c r="F238" s="86">
        <f>VLOOKUP(A238,Database!$A:$AS,MATCH($F$1,Database!$A$1:$AS$1,0),FALSE)</f>
        <v/>
      </c>
      <c r="G238" s="86">
        <f>VLOOKUP(A238,Database!$A:$AS,MATCH($G$1,Database!$A$1:$AS$1,0),FALSE)</f>
        <v/>
      </c>
      <c r="H238" s="86">
        <f>(((Table134567891011121314151617343[[#This Row],[ITA]]-VLOOKUP($U$1,A:B,2,))/VLOOKUP($U$1,A:B,2,))*100)+100</f>
        <v/>
      </c>
      <c r="I238" s="86">
        <f>(((Table134567891011121314151617343[[#This Row],[FRA]]-VLOOKUP($U$1,A:C,3,))/VLOOKUP($U$1,A:C,3,))*100)+100</f>
        <v/>
      </c>
      <c r="J238" s="86">
        <f>(((Table134567891011121314151617343[[#This Row],[DEU]]-VLOOKUP($U$1,A:D,4,))/VLOOKUP($U$1,A:D,4,))*100)+100</f>
        <v/>
      </c>
      <c r="K238" s="86">
        <f>(((Table134567891011121314151617343[[#This Row],[ESP]]-VLOOKUP($U$1,A:E,5,))/VLOOKUP($U$1,A:E,5,))*100)+100</f>
        <v/>
      </c>
      <c r="L238" s="86">
        <f>(((Table134567891011121314151617343[[#This Row],[EA19]]-VLOOKUP($U$1,A:F,6,))/VLOOKUP($U$1,A:F,6,))*100)+100</f>
        <v/>
      </c>
      <c r="M238" s="86">
        <f>(((Table134567891011121314151617343[[#This Row],[GBR]]-VLOOKUP($U$1,A:G,7,))/VLOOKUP($U$1,A:G,7,))*100)+100</f>
        <v/>
      </c>
      <c r="N238" s="86">
        <f>VLOOKUP(A238,Database!$A:$AS,MATCH($N$1,Database!$A$1:$AS$1,0),FALSE)</f>
        <v/>
      </c>
      <c r="O238" s="86">
        <f>(((Table134567891011121314151617343[[#This Row],[USA]]-VLOOKUP($U$1,A:N,14,))/VLOOKUP($U$1,A:N,14,))*100)+100</f>
        <v/>
      </c>
      <c r="P238" s="86">
        <f>VLOOKUP(A238,Database!$A:$AS,MATCH($P$1,Database!$A$1:$AS$1,0),FALSE)</f>
        <v/>
      </c>
      <c r="Q238" s="86">
        <f>(((Table134567891011121314151617343[[#This Row],[JPN]]-VLOOKUP($U$1,A:Q,16,))/VLOOKUP($U$1,A:Q,16,))*100)+100</f>
        <v/>
      </c>
    </row>
    <row r="239" customFormat="1" s="94">
      <c r="A239" s="22" t="n">
        <v>40087</v>
      </c>
      <c r="B239" s="86">
        <f>VLOOKUP(A239,Database!$A:$AS,MATCH($B$1,Database!$A$1:$AS$1,0),FALSE)</f>
        <v/>
      </c>
      <c r="C239" s="86">
        <f>VLOOKUP(A239,Database!$A:$AS,MATCH($C$1,Database!$A$1:$AS$1,0),FALSE)</f>
        <v/>
      </c>
      <c r="D239" s="86">
        <f>VLOOKUP(A239,Database!$A:$AS,MATCH($D$1,Database!$A$1:$AS$1,0),FALSE)</f>
        <v/>
      </c>
      <c r="E239" s="86">
        <f>VLOOKUP(A239,Database!$A:$AS,MATCH($E$1,Database!$A$1:$AS$1,0),FALSE)</f>
        <v/>
      </c>
      <c r="F239" s="86">
        <f>VLOOKUP(A239,Database!$A:$AS,MATCH($F$1,Database!$A$1:$AS$1,0),FALSE)</f>
        <v/>
      </c>
      <c r="G239" s="86">
        <f>VLOOKUP(A239,Database!$A:$AS,MATCH($G$1,Database!$A$1:$AS$1,0),FALSE)</f>
        <v/>
      </c>
      <c r="H239" s="86">
        <f>(((Table134567891011121314151617343[[#This Row],[ITA]]-VLOOKUP($U$1,A:B,2,))/VLOOKUP($U$1,A:B,2,))*100)+100</f>
        <v/>
      </c>
      <c r="I239" s="86">
        <f>(((Table134567891011121314151617343[[#This Row],[FRA]]-VLOOKUP($U$1,A:C,3,))/VLOOKUP($U$1,A:C,3,))*100)+100</f>
        <v/>
      </c>
      <c r="J239" s="86">
        <f>(((Table134567891011121314151617343[[#This Row],[DEU]]-VLOOKUP($U$1,A:D,4,))/VLOOKUP($U$1,A:D,4,))*100)+100</f>
        <v/>
      </c>
      <c r="K239" s="86">
        <f>(((Table134567891011121314151617343[[#This Row],[ESP]]-VLOOKUP($U$1,A:E,5,))/VLOOKUP($U$1,A:E,5,))*100)+100</f>
        <v/>
      </c>
      <c r="L239" s="86">
        <f>(((Table134567891011121314151617343[[#This Row],[EA19]]-VLOOKUP($U$1,A:F,6,))/VLOOKUP($U$1,A:F,6,))*100)+100</f>
        <v/>
      </c>
      <c r="M239" s="86">
        <f>(((Table134567891011121314151617343[[#This Row],[GBR]]-VLOOKUP($U$1,A:G,7,))/VLOOKUP($U$1,A:G,7,))*100)+100</f>
        <v/>
      </c>
      <c r="N239" s="86">
        <f>VLOOKUP(A239,Database!$A:$AS,MATCH($N$1,Database!$A$1:$AS$1,0),FALSE)</f>
        <v/>
      </c>
      <c r="O239" s="86">
        <f>(((Table134567891011121314151617343[[#This Row],[USA]]-VLOOKUP($U$1,A:N,14,))/VLOOKUP($U$1,A:N,14,))*100)+100</f>
        <v/>
      </c>
      <c r="P239" s="86">
        <f>VLOOKUP(A239,Database!$A:$AS,MATCH($P$1,Database!$A$1:$AS$1,0),FALSE)</f>
        <v/>
      </c>
      <c r="Q239" s="86">
        <f>(((Table134567891011121314151617343[[#This Row],[JPN]]-VLOOKUP($U$1,A:Q,16,))/VLOOKUP($U$1,A:Q,16,))*100)+100</f>
        <v/>
      </c>
    </row>
    <row r="240" customFormat="1" s="94">
      <c r="A240" s="22" t="n">
        <v>40118</v>
      </c>
      <c r="B240" s="86">
        <f>VLOOKUP(A240,Database!$A:$AS,MATCH($B$1,Database!$A$1:$AS$1,0),FALSE)</f>
        <v/>
      </c>
      <c r="C240" s="86">
        <f>VLOOKUP(A240,Database!$A:$AS,MATCH($C$1,Database!$A$1:$AS$1,0),FALSE)</f>
        <v/>
      </c>
      <c r="D240" s="86">
        <f>VLOOKUP(A240,Database!$A:$AS,MATCH($D$1,Database!$A$1:$AS$1,0),FALSE)</f>
        <v/>
      </c>
      <c r="E240" s="86">
        <f>VLOOKUP(A240,Database!$A:$AS,MATCH($E$1,Database!$A$1:$AS$1,0),FALSE)</f>
        <v/>
      </c>
      <c r="F240" s="86">
        <f>VLOOKUP(A240,Database!$A:$AS,MATCH($F$1,Database!$A$1:$AS$1,0),FALSE)</f>
        <v/>
      </c>
      <c r="G240" s="86">
        <f>VLOOKUP(A240,Database!$A:$AS,MATCH($G$1,Database!$A$1:$AS$1,0),FALSE)</f>
        <v/>
      </c>
      <c r="H240" s="86">
        <f>(((Table134567891011121314151617343[[#This Row],[ITA]]-VLOOKUP($U$1,A:B,2,))/VLOOKUP($U$1,A:B,2,))*100)+100</f>
        <v/>
      </c>
      <c r="I240" s="86">
        <f>(((Table134567891011121314151617343[[#This Row],[FRA]]-VLOOKUP($U$1,A:C,3,))/VLOOKUP($U$1,A:C,3,))*100)+100</f>
        <v/>
      </c>
      <c r="J240" s="86">
        <f>(((Table134567891011121314151617343[[#This Row],[DEU]]-VLOOKUP($U$1,A:D,4,))/VLOOKUP($U$1,A:D,4,))*100)+100</f>
        <v/>
      </c>
      <c r="K240" s="86">
        <f>(((Table134567891011121314151617343[[#This Row],[ESP]]-VLOOKUP($U$1,A:E,5,))/VLOOKUP($U$1,A:E,5,))*100)+100</f>
        <v/>
      </c>
      <c r="L240" s="86">
        <f>(((Table134567891011121314151617343[[#This Row],[EA19]]-VLOOKUP($U$1,A:F,6,))/VLOOKUP($U$1,A:F,6,))*100)+100</f>
        <v/>
      </c>
      <c r="M240" s="86">
        <f>(((Table134567891011121314151617343[[#This Row],[GBR]]-VLOOKUP($U$1,A:G,7,))/VLOOKUP($U$1,A:G,7,))*100)+100</f>
        <v/>
      </c>
      <c r="N240" s="86">
        <f>VLOOKUP(A240,Database!$A:$AS,MATCH($N$1,Database!$A$1:$AS$1,0),FALSE)</f>
        <v/>
      </c>
      <c r="O240" s="86">
        <f>(((Table134567891011121314151617343[[#This Row],[USA]]-VLOOKUP($U$1,A:N,14,))/VLOOKUP($U$1,A:N,14,))*100)+100</f>
        <v/>
      </c>
      <c r="P240" s="86">
        <f>VLOOKUP(A240,Database!$A:$AS,MATCH($P$1,Database!$A$1:$AS$1,0),FALSE)</f>
        <v/>
      </c>
      <c r="Q240" s="86">
        <f>(((Table134567891011121314151617343[[#This Row],[JPN]]-VLOOKUP($U$1,A:Q,16,))/VLOOKUP($U$1,A:Q,16,))*100)+100</f>
        <v/>
      </c>
    </row>
    <row r="241" customFormat="1" s="94">
      <c r="A241" s="22" t="n">
        <v>40148</v>
      </c>
      <c r="B241" s="86">
        <f>VLOOKUP(A241,Database!$A:$AS,MATCH($B$1,Database!$A$1:$AS$1,0),FALSE)</f>
        <v/>
      </c>
      <c r="C241" s="86">
        <f>VLOOKUP(A241,Database!$A:$AS,MATCH($C$1,Database!$A$1:$AS$1,0),FALSE)</f>
        <v/>
      </c>
      <c r="D241" s="86">
        <f>VLOOKUP(A241,Database!$A:$AS,MATCH($D$1,Database!$A$1:$AS$1,0),FALSE)</f>
        <v/>
      </c>
      <c r="E241" s="86">
        <f>VLOOKUP(A241,Database!$A:$AS,MATCH($E$1,Database!$A$1:$AS$1,0),FALSE)</f>
        <v/>
      </c>
      <c r="F241" s="86">
        <f>VLOOKUP(A241,Database!$A:$AS,MATCH($F$1,Database!$A$1:$AS$1,0),FALSE)</f>
        <v/>
      </c>
      <c r="G241" s="86">
        <f>VLOOKUP(A241,Database!$A:$AS,MATCH($G$1,Database!$A$1:$AS$1,0),FALSE)</f>
        <v/>
      </c>
      <c r="H241" s="86">
        <f>(((Table134567891011121314151617343[[#This Row],[ITA]]-VLOOKUP($U$1,A:B,2,))/VLOOKUP($U$1,A:B,2,))*100)+100</f>
        <v/>
      </c>
      <c r="I241" s="86">
        <f>(((Table134567891011121314151617343[[#This Row],[FRA]]-VLOOKUP($U$1,A:C,3,))/VLOOKUP($U$1,A:C,3,))*100)+100</f>
        <v/>
      </c>
      <c r="J241" s="86">
        <f>(((Table134567891011121314151617343[[#This Row],[DEU]]-VLOOKUP($U$1,A:D,4,))/VLOOKUP($U$1,A:D,4,))*100)+100</f>
        <v/>
      </c>
      <c r="K241" s="86">
        <f>(((Table134567891011121314151617343[[#This Row],[ESP]]-VLOOKUP($U$1,A:E,5,))/VLOOKUP($U$1,A:E,5,))*100)+100</f>
        <v/>
      </c>
      <c r="L241" s="86">
        <f>(((Table134567891011121314151617343[[#This Row],[EA19]]-VLOOKUP($U$1,A:F,6,))/VLOOKUP($U$1,A:F,6,))*100)+100</f>
        <v/>
      </c>
      <c r="M241" s="86">
        <f>(((Table134567891011121314151617343[[#This Row],[GBR]]-VLOOKUP($U$1,A:G,7,))/VLOOKUP($U$1,A:G,7,))*100)+100</f>
        <v/>
      </c>
      <c r="N241" s="86">
        <f>VLOOKUP(A241,Database!$A:$AS,MATCH($N$1,Database!$A$1:$AS$1,0),FALSE)</f>
        <v/>
      </c>
      <c r="O241" s="86">
        <f>(((Table134567891011121314151617343[[#This Row],[USA]]-VLOOKUP($U$1,A:N,14,))/VLOOKUP($U$1,A:N,14,))*100)+100</f>
        <v/>
      </c>
      <c r="P241" s="86">
        <f>VLOOKUP(A241,Database!$A:$AS,MATCH($P$1,Database!$A$1:$AS$1,0),FALSE)</f>
        <v/>
      </c>
      <c r="Q241" s="86">
        <f>(((Table134567891011121314151617343[[#This Row],[JPN]]-VLOOKUP($U$1,A:Q,16,))/VLOOKUP($U$1,A:Q,16,))*100)+100</f>
        <v/>
      </c>
    </row>
    <row r="242" customFormat="1" s="94">
      <c r="A242" s="22" t="n">
        <v>40179</v>
      </c>
      <c r="B242" s="86">
        <f>VLOOKUP(A242,Database!$A:$AS,MATCH($B$1,Database!$A$1:$AS$1,0),FALSE)</f>
        <v/>
      </c>
      <c r="C242" s="86">
        <f>VLOOKUP(A242,Database!$A:$AS,MATCH($C$1,Database!$A$1:$AS$1,0),FALSE)</f>
        <v/>
      </c>
      <c r="D242" s="86">
        <f>VLOOKUP(A242,Database!$A:$AS,MATCH($D$1,Database!$A$1:$AS$1,0),FALSE)</f>
        <v/>
      </c>
      <c r="E242" s="86">
        <f>VLOOKUP(A242,Database!$A:$AS,MATCH($E$1,Database!$A$1:$AS$1,0),FALSE)</f>
        <v/>
      </c>
      <c r="F242" s="86">
        <f>VLOOKUP(A242,Database!$A:$AS,MATCH($F$1,Database!$A$1:$AS$1,0),FALSE)</f>
        <v/>
      </c>
      <c r="G242" s="86">
        <f>VLOOKUP(A242,Database!$A:$AS,MATCH($G$1,Database!$A$1:$AS$1,0),FALSE)</f>
        <v/>
      </c>
      <c r="H242" s="86">
        <f>(((Table134567891011121314151617343[[#This Row],[ITA]]-VLOOKUP($U$1,A:B,2,))/VLOOKUP($U$1,A:B,2,))*100)+100</f>
        <v/>
      </c>
      <c r="I242" s="86">
        <f>(((Table134567891011121314151617343[[#This Row],[FRA]]-VLOOKUP($U$1,A:C,3,))/VLOOKUP($U$1,A:C,3,))*100)+100</f>
        <v/>
      </c>
      <c r="J242" s="86">
        <f>(((Table134567891011121314151617343[[#This Row],[DEU]]-VLOOKUP($U$1,A:D,4,))/VLOOKUP($U$1,A:D,4,))*100)+100</f>
        <v/>
      </c>
      <c r="K242" s="86">
        <f>(((Table134567891011121314151617343[[#This Row],[ESP]]-VLOOKUP($U$1,A:E,5,))/VLOOKUP($U$1,A:E,5,))*100)+100</f>
        <v/>
      </c>
      <c r="L242" s="86">
        <f>(((Table134567891011121314151617343[[#This Row],[EA19]]-VLOOKUP($U$1,A:F,6,))/VLOOKUP($U$1,A:F,6,))*100)+100</f>
        <v/>
      </c>
      <c r="M242" s="86">
        <f>(((Table134567891011121314151617343[[#This Row],[GBR]]-VLOOKUP($U$1,A:G,7,))/VLOOKUP($U$1,A:G,7,))*100)+100</f>
        <v/>
      </c>
      <c r="N242" s="86">
        <f>VLOOKUP(A242,Database!$A:$AS,MATCH($N$1,Database!$A$1:$AS$1,0),FALSE)</f>
        <v/>
      </c>
      <c r="O242" s="86">
        <f>(((Table134567891011121314151617343[[#This Row],[USA]]-VLOOKUP($U$1,A:N,14,))/VLOOKUP($U$1,A:N,14,))*100)+100</f>
        <v/>
      </c>
      <c r="P242" s="86">
        <f>VLOOKUP(A242,Database!$A:$AS,MATCH($P$1,Database!$A$1:$AS$1,0),FALSE)</f>
        <v/>
      </c>
      <c r="Q242" s="86">
        <f>(((Table134567891011121314151617343[[#This Row],[JPN]]-VLOOKUP($U$1,A:Q,16,))/VLOOKUP($U$1,A:Q,16,))*100)+100</f>
        <v/>
      </c>
    </row>
    <row r="243" customFormat="1" s="94">
      <c r="A243" s="22" t="n">
        <v>40210</v>
      </c>
      <c r="B243" s="86">
        <f>VLOOKUP(A243,Database!$A:$AS,MATCH($B$1,Database!$A$1:$AS$1,0),FALSE)</f>
        <v/>
      </c>
      <c r="C243" s="86">
        <f>VLOOKUP(A243,Database!$A:$AS,MATCH($C$1,Database!$A$1:$AS$1,0),FALSE)</f>
        <v/>
      </c>
      <c r="D243" s="86">
        <f>VLOOKUP(A243,Database!$A:$AS,MATCH($D$1,Database!$A$1:$AS$1,0),FALSE)</f>
        <v/>
      </c>
      <c r="E243" s="86">
        <f>VLOOKUP(A243,Database!$A:$AS,MATCH($E$1,Database!$A$1:$AS$1,0),FALSE)</f>
        <v/>
      </c>
      <c r="F243" s="86">
        <f>VLOOKUP(A243,Database!$A:$AS,MATCH($F$1,Database!$A$1:$AS$1,0),FALSE)</f>
        <v/>
      </c>
      <c r="G243" s="86">
        <f>VLOOKUP(A243,Database!$A:$AS,MATCH($G$1,Database!$A$1:$AS$1,0),FALSE)</f>
        <v/>
      </c>
      <c r="H243" s="86">
        <f>(((Table134567891011121314151617343[[#This Row],[ITA]]-VLOOKUP($U$1,A:B,2,))/VLOOKUP($U$1,A:B,2,))*100)+100</f>
        <v/>
      </c>
      <c r="I243" s="86">
        <f>(((Table134567891011121314151617343[[#This Row],[FRA]]-VLOOKUP($U$1,A:C,3,))/VLOOKUP($U$1,A:C,3,))*100)+100</f>
        <v/>
      </c>
      <c r="J243" s="86">
        <f>(((Table134567891011121314151617343[[#This Row],[DEU]]-VLOOKUP($U$1,A:D,4,))/VLOOKUP($U$1,A:D,4,))*100)+100</f>
        <v/>
      </c>
      <c r="K243" s="86">
        <f>(((Table134567891011121314151617343[[#This Row],[ESP]]-VLOOKUP($U$1,A:E,5,))/VLOOKUP($U$1,A:E,5,))*100)+100</f>
        <v/>
      </c>
      <c r="L243" s="86">
        <f>(((Table134567891011121314151617343[[#This Row],[EA19]]-VLOOKUP($U$1,A:F,6,))/VLOOKUP($U$1,A:F,6,))*100)+100</f>
        <v/>
      </c>
      <c r="M243" s="86">
        <f>(((Table134567891011121314151617343[[#This Row],[GBR]]-VLOOKUP($U$1,A:G,7,))/VLOOKUP($U$1,A:G,7,))*100)+100</f>
        <v/>
      </c>
      <c r="N243" s="86">
        <f>VLOOKUP(A243,Database!$A:$AS,MATCH($N$1,Database!$A$1:$AS$1,0),FALSE)</f>
        <v/>
      </c>
      <c r="O243" s="86">
        <f>(((Table134567891011121314151617343[[#This Row],[USA]]-VLOOKUP($U$1,A:N,14,))/VLOOKUP($U$1,A:N,14,))*100)+100</f>
        <v/>
      </c>
      <c r="P243" s="86">
        <f>VLOOKUP(A243,Database!$A:$AS,MATCH($P$1,Database!$A$1:$AS$1,0),FALSE)</f>
        <v/>
      </c>
      <c r="Q243" s="86">
        <f>(((Table134567891011121314151617343[[#This Row],[JPN]]-VLOOKUP($U$1,A:Q,16,))/VLOOKUP($U$1,A:Q,16,))*100)+100</f>
        <v/>
      </c>
    </row>
    <row r="244" customFormat="1" s="94">
      <c r="A244" s="22" t="n">
        <v>40238</v>
      </c>
      <c r="B244" s="86">
        <f>VLOOKUP(A244,Database!$A:$AS,MATCH($B$1,Database!$A$1:$AS$1,0),FALSE)</f>
        <v/>
      </c>
      <c r="C244" s="86">
        <f>VLOOKUP(A244,Database!$A:$AS,MATCH($C$1,Database!$A$1:$AS$1,0),FALSE)</f>
        <v/>
      </c>
      <c r="D244" s="86">
        <f>VLOOKUP(A244,Database!$A:$AS,MATCH($D$1,Database!$A$1:$AS$1,0),FALSE)</f>
        <v/>
      </c>
      <c r="E244" s="86">
        <f>VLOOKUP(A244,Database!$A:$AS,MATCH($E$1,Database!$A$1:$AS$1,0),FALSE)</f>
        <v/>
      </c>
      <c r="F244" s="86">
        <f>VLOOKUP(A244,Database!$A:$AS,MATCH($F$1,Database!$A$1:$AS$1,0),FALSE)</f>
        <v/>
      </c>
      <c r="G244" s="86">
        <f>VLOOKUP(A244,Database!$A:$AS,MATCH($G$1,Database!$A$1:$AS$1,0),FALSE)</f>
        <v/>
      </c>
      <c r="H244" s="86">
        <f>(((Table134567891011121314151617343[[#This Row],[ITA]]-VLOOKUP($U$1,A:B,2,))/VLOOKUP($U$1,A:B,2,))*100)+100</f>
        <v/>
      </c>
      <c r="I244" s="86">
        <f>(((Table134567891011121314151617343[[#This Row],[FRA]]-VLOOKUP($U$1,A:C,3,))/VLOOKUP($U$1,A:C,3,))*100)+100</f>
        <v/>
      </c>
      <c r="J244" s="86">
        <f>(((Table134567891011121314151617343[[#This Row],[DEU]]-VLOOKUP($U$1,A:D,4,))/VLOOKUP($U$1,A:D,4,))*100)+100</f>
        <v/>
      </c>
      <c r="K244" s="86">
        <f>(((Table134567891011121314151617343[[#This Row],[ESP]]-VLOOKUP($U$1,A:E,5,))/VLOOKUP($U$1,A:E,5,))*100)+100</f>
        <v/>
      </c>
      <c r="L244" s="86">
        <f>(((Table134567891011121314151617343[[#This Row],[EA19]]-VLOOKUP($U$1,A:F,6,))/VLOOKUP($U$1,A:F,6,))*100)+100</f>
        <v/>
      </c>
      <c r="M244" s="86">
        <f>(((Table134567891011121314151617343[[#This Row],[GBR]]-VLOOKUP($U$1,A:G,7,))/VLOOKUP($U$1,A:G,7,))*100)+100</f>
        <v/>
      </c>
      <c r="N244" s="86">
        <f>VLOOKUP(A244,Database!$A:$AS,MATCH($N$1,Database!$A$1:$AS$1,0),FALSE)</f>
        <v/>
      </c>
      <c r="O244" s="86">
        <f>(((Table134567891011121314151617343[[#This Row],[USA]]-VLOOKUP($U$1,A:N,14,))/VLOOKUP($U$1,A:N,14,))*100)+100</f>
        <v/>
      </c>
      <c r="P244" s="86">
        <f>VLOOKUP(A244,Database!$A:$AS,MATCH($P$1,Database!$A$1:$AS$1,0),FALSE)</f>
        <v/>
      </c>
      <c r="Q244" s="86">
        <f>(((Table134567891011121314151617343[[#This Row],[JPN]]-VLOOKUP($U$1,A:Q,16,))/VLOOKUP($U$1,A:Q,16,))*100)+100</f>
        <v/>
      </c>
    </row>
    <row r="245" customFormat="1" s="94">
      <c r="A245" s="22" t="n">
        <v>40269</v>
      </c>
      <c r="B245" s="86">
        <f>VLOOKUP(A245,Database!$A:$AS,MATCH($B$1,Database!$A$1:$AS$1,0),FALSE)</f>
        <v/>
      </c>
      <c r="C245" s="86">
        <f>VLOOKUP(A245,Database!$A:$AS,MATCH($C$1,Database!$A$1:$AS$1,0),FALSE)</f>
        <v/>
      </c>
      <c r="D245" s="86">
        <f>VLOOKUP(A245,Database!$A:$AS,MATCH($D$1,Database!$A$1:$AS$1,0),FALSE)</f>
        <v/>
      </c>
      <c r="E245" s="86">
        <f>VLOOKUP(A245,Database!$A:$AS,MATCH($E$1,Database!$A$1:$AS$1,0),FALSE)</f>
        <v/>
      </c>
      <c r="F245" s="86">
        <f>VLOOKUP(A245,Database!$A:$AS,MATCH($F$1,Database!$A$1:$AS$1,0),FALSE)</f>
        <v/>
      </c>
      <c r="G245" s="86">
        <f>VLOOKUP(A245,Database!$A:$AS,MATCH($G$1,Database!$A$1:$AS$1,0),FALSE)</f>
        <v/>
      </c>
      <c r="H245" s="86">
        <f>(((Table134567891011121314151617343[[#This Row],[ITA]]-VLOOKUP($U$1,A:B,2,))/VLOOKUP($U$1,A:B,2,))*100)+100</f>
        <v/>
      </c>
      <c r="I245" s="86">
        <f>(((Table134567891011121314151617343[[#This Row],[FRA]]-VLOOKUP($U$1,A:C,3,))/VLOOKUP($U$1,A:C,3,))*100)+100</f>
        <v/>
      </c>
      <c r="J245" s="86">
        <f>(((Table134567891011121314151617343[[#This Row],[DEU]]-VLOOKUP($U$1,A:D,4,))/VLOOKUP($U$1,A:D,4,))*100)+100</f>
        <v/>
      </c>
      <c r="K245" s="86">
        <f>(((Table134567891011121314151617343[[#This Row],[ESP]]-VLOOKUP($U$1,A:E,5,))/VLOOKUP($U$1,A:E,5,))*100)+100</f>
        <v/>
      </c>
      <c r="L245" s="86">
        <f>(((Table134567891011121314151617343[[#This Row],[EA19]]-VLOOKUP($U$1,A:F,6,))/VLOOKUP($U$1,A:F,6,))*100)+100</f>
        <v/>
      </c>
      <c r="M245" s="86">
        <f>(((Table134567891011121314151617343[[#This Row],[GBR]]-VLOOKUP($U$1,A:G,7,))/VLOOKUP($U$1,A:G,7,))*100)+100</f>
        <v/>
      </c>
      <c r="N245" s="86">
        <f>VLOOKUP(A245,Database!$A:$AS,MATCH($N$1,Database!$A$1:$AS$1,0),FALSE)</f>
        <v/>
      </c>
      <c r="O245" s="86">
        <f>(((Table134567891011121314151617343[[#This Row],[USA]]-VLOOKUP($U$1,A:N,14,))/VLOOKUP($U$1,A:N,14,))*100)+100</f>
        <v/>
      </c>
      <c r="P245" s="86">
        <f>VLOOKUP(A245,Database!$A:$AS,MATCH($P$1,Database!$A$1:$AS$1,0),FALSE)</f>
        <v/>
      </c>
      <c r="Q245" s="86">
        <f>(((Table134567891011121314151617343[[#This Row],[JPN]]-VLOOKUP($U$1,A:Q,16,))/VLOOKUP($U$1,A:Q,16,))*100)+100</f>
        <v/>
      </c>
    </row>
    <row r="246" customFormat="1" s="94">
      <c r="A246" s="22" t="n">
        <v>40299</v>
      </c>
      <c r="B246" s="86">
        <f>VLOOKUP(A246,Database!$A:$AS,MATCH($B$1,Database!$A$1:$AS$1,0),FALSE)</f>
        <v/>
      </c>
      <c r="C246" s="86">
        <f>VLOOKUP(A246,Database!$A:$AS,MATCH($C$1,Database!$A$1:$AS$1,0),FALSE)</f>
        <v/>
      </c>
      <c r="D246" s="86">
        <f>VLOOKUP(A246,Database!$A:$AS,MATCH($D$1,Database!$A$1:$AS$1,0),FALSE)</f>
        <v/>
      </c>
      <c r="E246" s="86">
        <f>VLOOKUP(A246,Database!$A:$AS,MATCH($E$1,Database!$A$1:$AS$1,0),FALSE)</f>
        <v/>
      </c>
      <c r="F246" s="86">
        <f>VLOOKUP(A246,Database!$A:$AS,MATCH($F$1,Database!$A$1:$AS$1,0),FALSE)</f>
        <v/>
      </c>
      <c r="G246" s="86">
        <f>VLOOKUP(A246,Database!$A:$AS,MATCH($G$1,Database!$A$1:$AS$1,0),FALSE)</f>
        <v/>
      </c>
      <c r="H246" s="86">
        <f>(((Table134567891011121314151617343[[#This Row],[ITA]]-VLOOKUP($U$1,A:B,2,))/VLOOKUP($U$1,A:B,2,))*100)+100</f>
        <v/>
      </c>
      <c r="I246" s="86">
        <f>(((Table134567891011121314151617343[[#This Row],[FRA]]-VLOOKUP($U$1,A:C,3,))/VLOOKUP($U$1,A:C,3,))*100)+100</f>
        <v/>
      </c>
      <c r="J246" s="86">
        <f>(((Table134567891011121314151617343[[#This Row],[DEU]]-VLOOKUP($U$1,A:D,4,))/VLOOKUP($U$1,A:D,4,))*100)+100</f>
        <v/>
      </c>
      <c r="K246" s="86">
        <f>(((Table134567891011121314151617343[[#This Row],[ESP]]-VLOOKUP($U$1,A:E,5,))/VLOOKUP($U$1,A:E,5,))*100)+100</f>
        <v/>
      </c>
      <c r="L246" s="86">
        <f>(((Table134567891011121314151617343[[#This Row],[EA19]]-VLOOKUP($U$1,A:F,6,))/VLOOKUP($U$1,A:F,6,))*100)+100</f>
        <v/>
      </c>
      <c r="M246" s="86">
        <f>(((Table134567891011121314151617343[[#This Row],[GBR]]-VLOOKUP($U$1,A:G,7,))/VLOOKUP($U$1,A:G,7,))*100)+100</f>
        <v/>
      </c>
      <c r="N246" s="86">
        <f>VLOOKUP(A246,Database!$A:$AS,MATCH($N$1,Database!$A$1:$AS$1,0),FALSE)</f>
        <v/>
      </c>
      <c r="O246" s="86">
        <f>(((Table134567891011121314151617343[[#This Row],[USA]]-VLOOKUP($U$1,A:N,14,))/VLOOKUP($U$1,A:N,14,))*100)+100</f>
        <v/>
      </c>
      <c r="P246" s="86">
        <f>VLOOKUP(A246,Database!$A:$AS,MATCH($P$1,Database!$A$1:$AS$1,0),FALSE)</f>
        <v/>
      </c>
      <c r="Q246" s="86">
        <f>(((Table134567891011121314151617343[[#This Row],[JPN]]-VLOOKUP($U$1,A:Q,16,))/VLOOKUP($U$1,A:Q,16,))*100)+100</f>
        <v/>
      </c>
    </row>
    <row r="247" customFormat="1" s="94">
      <c r="A247" s="22" t="n">
        <v>40330</v>
      </c>
      <c r="B247" s="86">
        <f>VLOOKUP(A247,Database!$A:$AS,MATCH($B$1,Database!$A$1:$AS$1,0),FALSE)</f>
        <v/>
      </c>
      <c r="C247" s="86">
        <f>VLOOKUP(A247,Database!$A:$AS,MATCH($C$1,Database!$A$1:$AS$1,0),FALSE)</f>
        <v/>
      </c>
      <c r="D247" s="86">
        <f>VLOOKUP(A247,Database!$A:$AS,MATCH($D$1,Database!$A$1:$AS$1,0),FALSE)</f>
        <v/>
      </c>
      <c r="E247" s="86">
        <f>VLOOKUP(A247,Database!$A:$AS,MATCH($E$1,Database!$A$1:$AS$1,0),FALSE)</f>
        <v/>
      </c>
      <c r="F247" s="86">
        <f>VLOOKUP(A247,Database!$A:$AS,MATCH($F$1,Database!$A$1:$AS$1,0),FALSE)</f>
        <v/>
      </c>
      <c r="G247" s="86">
        <f>VLOOKUP(A247,Database!$A:$AS,MATCH($G$1,Database!$A$1:$AS$1,0),FALSE)</f>
        <v/>
      </c>
      <c r="H247" s="86">
        <f>(((Table134567891011121314151617343[[#This Row],[ITA]]-VLOOKUP($U$1,A:B,2,))/VLOOKUP($U$1,A:B,2,))*100)+100</f>
        <v/>
      </c>
      <c r="I247" s="86">
        <f>(((Table134567891011121314151617343[[#This Row],[FRA]]-VLOOKUP($U$1,A:C,3,))/VLOOKUP($U$1,A:C,3,))*100)+100</f>
        <v/>
      </c>
      <c r="J247" s="86">
        <f>(((Table134567891011121314151617343[[#This Row],[DEU]]-VLOOKUP($U$1,A:D,4,))/VLOOKUP($U$1,A:D,4,))*100)+100</f>
        <v/>
      </c>
      <c r="K247" s="86">
        <f>(((Table134567891011121314151617343[[#This Row],[ESP]]-VLOOKUP($U$1,A:E,5,))/VLOOKUP($U$1,A:E,5,))*100)+100</f>
        <v/>
      </c>
      <c r="L247" s="86">
        <f>(((Table134567891011121314151617343[[#This Row],[EA19]]-VLOOKUP($U$1,A:F,6,))/VLOOKUP($U$1,A:F,6,))*100)+100</f>
        <v/>
      </c>
      <c r="M247" s="86">
        <f>(((Table134567891011121314151617343[[#This Row],[GBR]]-VLOOKUP($U$1,A:G,7,))/VLOOKUP($U$1,A:G,7,))*100)+100</f>
        <v/>
      </c>
      <c r="N247" s="86">
        <f>VLOOKUP(A247,Database!$A:$AS,MATCH($N$1,Database!$A$1:$AS$1,0),FALSE)</f>
        <v/>
      </c>
      <c r="O247" s="86">
        <f>(((Table134567891011121314151617343[[#This Row],[USA]]-VLOOKUP($U$1,A:N,14,))/VLOOKUP($U$1,A:N,14,))*100)+100</f>
        <v/>
      </c>
      <c r="P247" s="86">
        <f>VLOOKUP(A247,Database!$A:$AS,MATCH($P$1,Database!$A$1:$AS$1,0),FALSE)</f>
        <v/>
      </c>
      <c r="Q247" s="86">
        <f>(((Table134567891011121314151617343[[#This Row],[JPN]]-VLOOKUP($U$1,A:Q,16,))/VLOOKUP($U$1,A:Q,16,))*100)+100</f>
        <v/>
      </c>
    </row>
    <row r="248" customFormat="1" s="94">
      <c r="A248" s="22" t="n">
        <v>40360</v>
      </c>
      <c r="B248" s="86">
        <f>VLOOKUP(A248,Database!$A:$AS,MATCH($B$1,Database!$A$1:$AS$1,0),FALSE)</f>
        <v/>
      </c>
      <c r="C248" s="86">
        <f>VLOOKUP(A248,Database!$A:$AS,MATCH($C$1,Database!$A$1:$AS$1,0),FALSE)</f>
        <v/>
      </c>
      <c r="D248" s="86">
        <f>VLOOKUP(A248,Database!$A:$AS,MATCH($D$1,Database!$A$1:$AS$1,0),FALSE)</f>
        <v/>
      </c>
      <c r="E248" s="86">
        <f>VLOOKUP(A248,Database!$A:$AS,MATCH($E$1,Database!$A$1:$AS$1,0),FALSE)</f>
        <v/>
      </c>
      <c r="F248" s="86">
        <f>VLOOKUP(A248,Database!$A:$AS,MATCH($F$1,Database!$A$1:$AS$1,0),FALSE)</f>
        <v/>
      </c>
      <c r="G248" s="86">
        <f>VLOOKUP(A248,Database!$A:$AS,MATCH($G$1,Database!$A$1:$AS$1,0),FALSE)</f>
        <v/>
      </c>
      <c r="H248" s="86">
        <f>(((Table134567891011121314151617343[[#This Row],[ITA]]-VLOOKUP($U$1,A:B,2,))/VLOOKUP($U$1,A:B,2,))*100)+100</f>
        <v/>
      </c>
      <c r="I248" s="86">
        <f>(((Table134567891011121314151617343[[#This Row],[FRA]]-VLOOKUP($U$1,A:C,3,))/VLOOKUP($U$1,A:C,3,))*100)+100</f>
        <v/>
      </c>
      <c r="J248" s="86">
        <f>(((Table134567891011121314151617343[[#This Row],[DEU]]-VLOOKUP($U$1,A:D,4,))/VLOOKUP($U$1,A:D,4,))*100)+100</f>
        <v/>
      </c>
      <c r="K248" s="86">
        <f>(((Table134567891011121314151617343[[#This Row],[ESP]]-VLOOKUP($U$1,A:E,5,))/VLOOKUP($U$1,A:E,5,))*100)+100</f>
        <v/>
      </c>
      <c r="L248" s="86">
        <f>(((Table134567891011121314151617343[[#This Row],[EA19]]-VLOOKUP($U$1,A:F,6,))/VLOOKUP($U$1,A:F,6,))*100)+100</f>
        <v/>
      </c>
      <c r="M248" s="86">
        <f>(((Table134567891011121314151617343[[#This Row],[GBR]]-VLOOKUP($U$1,A:G,7,))/VLOOKUP($U$1,A:G,7,))*100)+100</f>
        <v/>
      </c>
      <c r="N248" s="86">
        <f>VLOOKUP(A248,Database!$A:$AS,MATCH($N$1,Database!$A$1:$AS$1,0),FALSE)</f>
        <v/>
      </c>
      <c r="O248" s="86">
        <f>(((Table134567891011121314151617343[[#This Row],[USA]]-VLOOKUP($U$1,A:N,14,))/VLOOKUP($U$1,A:N,14,))*100)+100</f>
        <v/>
      </c>
      <c r="P248" s="86">
        <f>VLOOKUP(A248,Database!$A:$AS,MATCH($P$1,Database!$A$1:$AS$1,0),FALSE)</f>
        <v/>
      </c>
      <c r="Q248" s="86">
        <f>(((Table134567891011121314151617343[[#This Row],[JPN]]-VLOOKUP($U$1,A:Q,16,))/VLOOKUP($U$1,A:Q,16,))*100)+100</f>
        <v/>
      </c>
    </row>
    <row r="249" customFormat="1" s="94">
      <c r="A249" s="22" t="n">
        <v>40391</v>
      </c>
      <c r="B249" s="86">
        <f>VLOOKUP(A249,Database!$A:$AS,MATCH($B$1,Database!$A$1:$AS$1,0),FALSE)</f>
        <v/>
      </c>
      <c r="C249" s="86">
        <f>VLOOKUP(A249,Database!$A:$AS,MATCH($C$1,Database!$A$1:$AS$1,0),FALSE)</f>
        <v/>
      </c>
      <c r="D249" s="86">
        <f>VLOOKUP(A249,Database!$A:$AS,MATCH($D$1,Database!$A$1:$AS$1,0),FALSE)</f>
        <v/>
      </c>
      <c r="E249" s="86">
        <f>VLOOKUP(A249,Database!$A:$AS,MATCH($E$1,Database!$A$1:$AS$1,0),FALSE)</f>
        <v/>
      </c>
      <c r="F249" s="86">
        <f>VLOOKUP(A249,Database!$A:$AS,MATCH($F$1,Database!$A$1:$AS$1,0),FALSE)</f>
        <v/>
      </c>
      <c r="G249" s="86">
        <f>VLOOKUP(A249,Database!$A:$AS,MATCH($G$1,Database!$A$1:$AS$1,0),FALSE)</f>
        <v/>
      </c>
      <c r="H249" s="86">
        <f>(((Table134567891011121314151617343[[#This Row],[ITA]]-VLOOKUP($U$1,A:B,2,))/VLOOKUP($U$1,A:B,2,))*100)+100</f>
        <v/>
      </c>
      <c r="I249" s="86">
        <f>(((Table134567891011121314151617343[[#This Row],[FRA]]-VLOOKUP($U$1,A:C,3,))/VLOOKUP($U$1,A:C,3,))*100)+100</f>
        <v/>
      </c>
      <c r="J249" s="86">
        <f>(((Table134567891011121314151617343[[#This Row],[DEU]]-VLOOKUP($U$1,A:D,4,))/VLOOKUP($U$1,A:D,4,))*100)+100</f>
        <v/>
      </c>
      <c r="K249" s="86">
        <f>(((Table134567891011121314151617343[[#This Row],[ESP]]-VLOOKUP($U$1,A:E,5,))/VLOOKUP($U$1,A:E,5,))*100)+100</f>
        <v/>
      </c>
      <c r="L249" s="86">
        <f>(((Table134567891011121314151617343[[#This Row],[EA19]]-VLOOKUP($U$1,A:F,6,))/VLOOKUP($U$1,A:F,6,))*100)+100</f>
        <v/>
      </c>
      <c r="M249" s="86">
        <f>(((Table134567891011121314151617343[[#This Row],[GBR]]-VLOOKUP($U$1,A:G,7,))/VLOOKUP($U$1,A:G,7,))*100)+100</f>
        <v/>
      </c>
      <c r="N249" s="86">
        <f>VLOOKUP(A249,Database!$A:$AS,MATCH($N$1,Database!$A$1:$AS$1,0),FALSE)</f>
        <v/>
      </c>
      <c r="O249" s="86">
        <f>(((Table134567891011121314151617343[[#This Row],[USA]]-VLOOKUP($U$1,A:N,14,))/VLOOKUP($U$1,A:N,14,))*100)+100</f>
        <v/>
      </c>
      <c r="P249" s="86">
        <f>VLOOKUP(A249,Database!$A:$AS,MATCH($P$1,Database!$A$1:$AS$1,0),FALSE)</f>
        <v/>
      </c>
      <c r="Q249" s="86">
        <f>(((Table134567891011121314151617343[[#This Row],[JPN]]-VLOOKUP($U$1,A:Q,16,))/VLOOKUP($U$1,A:Q,16,))*100)+100</f>
        <v/>
      </c>
    </row>
    <row r="250" customFormat="1" s="94">
      <c r="A250" s="22" t="n">
        <v>40422</v>
      </c>
      <c r="B250" s="86">
        <f>VLOOKUP(A250,Database!$A:$AS,MATCH($B$1,Database!$A$1:$AS$1,0),FALSE)</f>
        <v/>
      </c>
      <c r="C250" s="86">
        <f>VLOOKUP(A250,Database!$A:$AS,MATCH($C$1,Database!$A$1:$AS$1,0),FALSE)</f>
        <v/>
      </c>
      <c r="D250" s="86">
        <f>VLOOKUP(A250,Database!$A:$AS,MATCH($D$1,Database!$A$1:$AS$1,0),FALSE)</f>
        <v/>
      </c>
      <c r="E250" s="86">
        <f>VLOOKUP(A250,Database!$A:$AS,MATCH($E$1,Database!$A$1:$AS$1,0),FALSE)</f>
        <v/>
      </c>
      <c r="F250" s="86">
        <f>VLOOKUP(A250,Database!$A:$AS,MATCH($F$1,Database!$A$1:$AS$1,0),FALSE)</f>
        <v/>
      </c>
      <c r="G250" s="86">
        <f>VLOOKUP(A250,Database!$A:$AS,MATCH($G$1,Database!$A$1:$AS$1,0),FALSE)</f>
        <v/>
      </c>
      <c r="H250" s="86">
        <f>(((Table134567891011121314151617343[[#This Row],[ITA]]-VLOOKUP($U$1,A:B,2,))/VLOOKUP($U$1,A:B,2,))*100)+100</f>
        <v/>
      </c>
      <c r="I250" s="86">
        <f>(((Table134567891011121314151617343[[#This Row],[FRA]]-VLOOKUP($U$1,A:C,3,))/VLOOKUP($U$1,A:C,3,))*100)+100</f>
        <v/>
      </c>
      <c r="J250" s="86">
        <f>(((Table134567891011121314151617343[[#This Row],[DEU]]-VLOOKUP($U$1,A:D,4,))/VLOOKUP($U$1,A:D,4,))*100)+100</f>
        <v/>
      </c>
      <c r="K250" s="86">
        <f>(((Table134567891011121314151617343[[#This Row],[ESP]]-VLOOKUP($U$1,A:E,5,))/VLOOKUP($U$1,A:E,5,))*100)+100</f>
        <v/>
      </c>
      <c r="L250" s="86">
        <f>(((Table134567891011121314151617343[[#This Row],[EA19]]-VLOOKUP($U$1,A:F,6,))/VLOOKUP($U$1,A:F,6,))*100)+100</f>
        <v/>
      </c>
      <c r="M250" s="86">
        <f>(((Table134567891011121314151617343[[#This Row],[GBR]]-VLOOKUP($U$1,A:G,7,))/VLOOKUP($U$1,A:G,7,))*100)+100</f>
        <v/>
      </c>
      <c r="N250" s="86">
        <f>VLOOKUP(A250,Database!$A:$AS,MATCH($N$1,Database!$A$1:$AS$1,0),FALSE)</f>
        <v/>
      </c>
      <c r="O250" s="86">
        <f>(((Table134567891011121314151617343[[#This Row],[USA]]-VLOOKUP($U$1,A:N,14,))/VLOOKUP($U$1,A:N,14,))*100)+100</f>
        <v/>
      </c>
      <c r="P250" s="86">
        <f>VLOOKUP(A250,Database!$A:$AS,MATCH($P$1,Database!$A$1:$AS$1,0),FALSE)</f>
        <v/>
      </c>
      <c r="Q250" s="86">
        <f>(((Table134567891011121314151617343[[#This Row],[JPN]]-VLOOKUP($U$1,A:Q,16,))/VLOOKUP($U$1,A:Q,16,))*100)+100</f>
        <v/>
      </c>
    </row>
    <row r="251" customFormat="1" s="94">
      <c r="A251" s="22" t="n">
        <v>40452</v>
      </c>
      <c r="B251" s="86">
        <f>VLOOKUP(A251,Database!$A:$AS,MATCH($B$1,Database!$A$1:$AS$1,0),FALSE)</f>
        <v/>
      </c>
      <c r="C251" s="86">
        <f>VLOOKUP(A251,Database!$A:$AS,MATCH($C$1,Database!$A$1:$AS$1,0),FALSE)</f>
        <v/>
      </c>
      <c r="D251" s="86">
        <f>VLOOKUP(A251,Database!$A:$AS,MATCH($D$1,Database!$A$1:$AS$1,0),FALSE)</f>
        <v/>
      </c>
      <c r="E251" s="86">
        <f>VLOOKUP(A251,Database!$A:$AS,MATCH($E$1,Database!$A$1:$AS$1,0),FALSE)</f>
        <v/>
      </c>
      <c r="F251" s="86">
        <f>VLOOKUP(A251,Database!$A:$AS,MATCH($F$1,Database!$A$1:$AS$1,0),FALSE)</f>
        <v/>
      </c>
      <c r="G251" s="86">
        <f>VLOOKUP(A251,Database!$A:$AS,MATCH($G$1,Database!$A$1:$AS$1,0),FALSE)</f>
        <v/>
      </c>
      <c r="H251" s="86">
        <f>(((Table134567891011121314151617343[[#This Row],[ITA]]-VLOOKUP($U$1,A:B,2,))/VLOOKUP($U$1,A:B,2,))*100)+100</f>
        <v/>
      </c>
      <c r="I251" s="86">
        <f>(((Table134567891011121314151617343[[#This Row],[FRA]]-VLOOKUP($U$1,A:C,3,))/VLOOKUP($U$1,A:C,3,))*100)+100</f>
        <v/>
      </c>
      <c r="J251" s="86">
        <f>(((Table134567891011121314151617343[[#This Row],[DEU]]-VLOOKUP($U$1,A:D,4,))/VLOOKUP($U$1,A:D,4,))*100)+100</f>
        <v/>
      </c>
      <c r="K251" s="86">
        <f>(((Table134567891011121314151617343[[#This Row],[ESP]]-VLOOKUP($U$1,A:E,5,))/VLOOKUP($U$1,A:E,5,))*100)+100</f>
        <v/>
      </c>
      <c r="L251" s="86">
        <f>(((Table134567891011121314151617343[[#This Row],[EA19]]-VLOOKUP($U$1,A:F,6,))/VLOOKUP($U$1,A:F,6,))*100)+100</f>
        <v/>
      </c>
      <c r="M251" s="86">
        <f>(((Table134567891011121314151617343[[#This Row],[GBR]]-VLOOKUP($U$1,A:G,7,))/VLOOKUP($U$1,A:G,7,))*100)+100</f>
        <v/>
      </c>
      <c r="N251" s="86">
        <f>VLOOKUP(A251,Database!$A:$AS,MATCH($N$1,Database!$A$1:$AS$1,0),FALSE)</f>
        <v/>
      </c>
      <c r="O251" s="86">
        <f>(((Table134567891011121314151617343[[#This Row],[USA]]-VLOOKUP($U$1,A:N,14,))/VLOOKUP($U$1,A:N,14,))*100)+100</f>
        <v/>
      </c>
      <c r="P251" s="86">
        <f>VLOOKUP(A251,Database!$A:$AS,MATCH($P$1,Database!$A$1:$AS$1,0),FALSE)</f>
        <v/>
      </c>
      <c r="Q251" s="86">
        <f>(((Table134567891011121314151617343[[#This Row],[JPN]]-VLOOKUP($U$1,A:Q,16,))/VLOOKUP($U$1,A:Q,16,))*100)+100</f>
        <v/>
      </c>
    </row>
    <row r="252" customFormat="1" s="94">
      <c r="A252" s="22" t="n">
        <v>40483</v>
      </c>
      <c r="B252" s="86">
        <f>VLOOKUP(A252,Database!$A:$AS,MATCH($B$1,Database!$A$1:$AS$1,0),FALSE)</f>
        <v/>
      </c>
      <c r="C252" s="86">
        <f>VLOOKUP(A252,Database!$A:$AS,MATCH($C$1,Database!$A$1:$AS$1,0),FALSE)</f>
        <v/>
      </c>
      <c r="D252" s="86">
        <f>VLOOKUP(A252,Database!$A:$AS,MATCH($D$1,Database!$A$1:$AS$1,0),FALSE)</f>
        <v/>
      </c>
      <c r="E252" s="86">
        <f>VLOOKUP(A252,Database!$A:$AS,MATCH($E$1,Database!$A$1:$AS$1,0),FALSE)</f>
        <v/>
      </c>
      <c r="F252" s="86">
        <f>VLOOKUP(A252,Database!$A:$AS,MATCH($F$1,Database!$A$1:$AS$1,0),FALSE)</f>
        <v/>
      </c>
      <c r="G252" s="86">
        <f>VLOOKUP(A252,Database!$A:$AS,MATCH($G$1,Database!$A$1:$AS$1,0),FALSE)</f>
        <v/>
      </c>
      <c r="H252" s="86">
        <f>(((Table134567891011121314151617343[[#This Row],[ITA]]-VLOOKUP($U$1,A:B,2,))/VLOOKUP($U$1,A:B,2,))*100)+100</f>
        <v/>
      </c>
      <c r="I252" s="86">
        <f>(((Table134567891011121314151617343[[#This Row],[FRA]]-VLOOKUP($U$1,A:C,3,))/VLOOKUP($U$1,A:C,3,))*100)+100</f>
        <v/>
      </c>
      <c r="J252" s="86">
        <f>(((Table134567891011121314151617343[[#This Row],[DEU]]-VLOOKUP($U$1,A:D,4,))/VLOOKUP($U$1,A:D,4,))*100)+100</f>
        <v/>
      </c>
      <c r="K252" s="86">
        <f>(((Table134567891011121314151617343[[#This Row],[ESP]]-VLOOKUP($U$1,A:E,5,))/VLOOKUP($U$1,A:E,5,))*100)+100</f>
        <v/>
      </c>
      <c r="L252" s="86">
        <f>(((Table134567891011121314151617343[[#This Row],[EA19]]-VLOOKUP($U$1,A:F,6,))/VLOOKUP($U$1,A:F,6,))*100)+100</f>
        <v/>
      </c>
      <c r="M252" s="86">
        <f>(((Table134567891011121314151617343[[#This Row],[GBR]]-VLOOKUP($U$1,A:G,7,))/VLOOKUP($U$1,A:G,7,))*100)+100</f>
        <v/>
      </c>
      <c r="N252" s="86">
        <f>VLOOKUP(A252,Database!$A:$AS,MATCH($N$1,Database!$A$1:$AS$1,0),FALSE)</f>
        <v/>
      </c>
      <c r="O252" s="86">
        <f>(((Table134567891011121314151617343[[#This Row],[USA]]-VLOOKUP($U$1,A:N,14,))/VLOOKUP($U$1,A:N,14,))*100)+100</f>
        <v/>
      </c>
      <c r="P252" s="86">
        <f>VLOOKUP(A252,Database!$A:$AS,MATCH($P$1,Database!$A$1:$AS$1,0),FALSE)</f>
        <v/>
      </c>
      <c r="Q252" s="86">
        <f>(((Table134567891011121314151617343[[#This Row],[JPN]]-VLOOKUP($U$1,A:Q,16,))/VLOOKUP($U$1,A:Q,16,))*100)+100</f>
        <v/>
      </c>
    </row>
    <row r="253" customFormat="1" s="94">
      <c r="A253" s="22" t="n">
        <v>40513</v>
      </c>
      <c r="B253" s="86">
        <f>VLOOKUP(A253,Database!$A:$AS,MATCH($B$1,Database!$A$1:$AS$1,0),FALSE)</f>
        <v/>
      </c>
      <c r="C253" s="86">
        <f>VLOOKUP(A253,Database!$A:$AS,MATCH($C$1,Database!$A$1:$AS$1,0),FALSE)</f>
        <v/>
      </c>
      <c r="D253" s="86">
        <f>VLOOKUP(A253,Database!$A:$AS,MATCH($D$1,Database!$A$1:$AS$1,0),FALSE)</f>
        <v/>
      </c>
      <c r="E253" s="86">
        <f>VLOOKUP(A253,Database!$A:$AS,MATCH($E$1,Database!$A$1:$AS$1,0),FALSE)</f>
        <v/>
      </c>
      <c r="F253" s="86">
        <f>VLOOKUP(A253,Database!$A:$AS,MATCH($F$1,Database!$A$1:$AS$1,0),FALSE)</f>
        <v/>
      </c>
      <c r="G253" s="86">
        <f>VLOOKUP(A253,Database!$A:$AS,MATCH($G$1,Database!$A$1:$AS$1,0),FALSE)</f>
        <v/>
      </c>
      <c r="H253" s="86">
        <f>(((Table134567891011121314151617343[[#This Row],[ITA]]-VLOOKUP($U$1,A:B,2,))/VLOOKUP($U$1,A:B,2,))*100)+100</f>
        <v/>
      </c>
      <c r="I253" s="86">
        <f>(((Table134567891011121314151617343[[#This Row],[FRA]]-VLOOKUP($U$1,A:C,3,))/VLOOKUP($U$1,A:C,3,))*100)+100</f>
        <v/>
      </c>
      <c r="J253" s="86">
        <f>(((Table134567891011121314151617343[[#This Row],[DEU]]-VLOOKUP($U$1,A:D,4,))/VLOOKUP($U$1,A:D,4,))*100)+100</f>
        <v/>
      </c>
      <c r="K253" s="86">
        <f>(((Table134567891011121314151617343[[#This Row],[ESP]]-VLOOKUP($U$1,A:E,5,))/VLOOKUP($U$1,A:E,5,))*100)+100</f>
        <v/>
      </c>
      <c r="L253" s="86">
        <f>(((Table134567891011121314151617343[[#This Row],[EA19]]-VLOOKUP($U$1,A:F,6,))/VLOOKUP($U$1,A:F,6,))*100)+100</f>
        <v/>
      </c>
      <c r="M253" s="86">
        <f>(((Table134567891011121314151617343[[#This Row],[GBR]]-VLOOKUP($U$1,A:G,7,))/VLOOKUP($U$1,A:G,7,))*100)+100</f>
        <v/>
      </c>
      <c r="N253" s="86">
        <f>VLOOKUP(A253,Database!$A:$AS,MATCH($N$1,Database!$A$1:$AS$1,0),FALSE)</f>
        <v/>
      </c>
      <c r="O253" s="86">
        <f>(((Table134567891011121314151617343[[#This Row],[USA]]-VLOOKUP($U$1,A:N,14,))/VLOOKUP($U$1,A:N,14,))*100)+100</f>
        <v/>
      </c>
      <c r="P253" s="86">
        <f>VLOOKUP(A253,Database!$A:$AS,MATCH($P$1,Database!$A$1:$AS$1,0),FALSE)</f>
        <v/>
      </c>
      <c r="Q253" s="86">
        <f>(((Table134567891011121314151617343[[#This Row],[JPN]]-VLOOKUP($U$1,A:Q,16,))/VLOOKUP($U$1,A:Q,16,))*100)+100</f>
        <v/>
      </c>
    </row>
    <row r="254" customFormat="1" s="94">
      <c r="A254" s="22" t="n">
        <v>40544</v>
      </c>
      <c r="B254" s="86">
        <f>VLOOKUP(A254,Database!$A:$AS,MATCH($B$1,Database!$A$1:$AS$1,0),FALSE)</f>
        <v/>
      </c>
      <c r="C254" s="86">
        <f>VLOOKUP(A254,Database!$A:$AS,MATCH($C$1,Database!$A$1:$AS$1,0),FALSE)</f>
        <v/>
      </c>
      <c r="D254" s="86">
        <f>VLOOKUP(A254,Database!$A:$AS,MATCH($D$1,Database!$A$1:$AS$1,0),FALSE)</f>
        <v/>
      </c>
      <c r="E254" s="86">
        <f>VLOOKUP(A254,Database!$A:$AS,MATCH($E$1,Database!$A$1:$AS$1,0),FALSE)</f>
        <v/>
      </c>
      <c r="F254" s="86">
        <f>VLOOKUP(A254,Database!$A:$AS,MATCH($F$1,Database!$A$1:$AS$1,0),FALSE)</f>
        <v/>
      </c>
      <c r="G254" s="86">
        <f>VLOOKUP(A254,Database!$A:$AS,MATCH($G$1,Database!$A$1:$AS$1,0),FALSE)</f>
        <v/>
      </c>
      <c r="H254" s="86">
        <f>(((Table134567891011121314151617343[[#This Row],[ITA]]-VLOOKUP($U$1,A:B,2,))/VLOOKUP($U$1,A:B,2,))*100)+100</f>
        <v/>
      </c>
      <c r="I254" s="86">
        <f>(((Table134567891011121314151617343[[#This Row],[FRA]]-VLOOKUP($U$1,A:C,3,))/VLOOKUP($U$1,A:C,3,))*100)+100</f>
        <v/>
      </c>
      <c r="J254" s="86">
        <f>(((Table134567891011121314151617343[[#This Row],[DEU]]-VLOOKUP($U$1,A:D,4,))/VLOOKUP($U$1,A:D,4,))*100)+100</f>
        <v/>
      </c>
      <c r="K254" s="86">
        <f>(((Table134567891011121314151617343[[#This Row],[ESP]]-VLOOKUP($U$1,A:E,5,))/VLOOKUP($U$1,A:E,5,))*100)+100</f>
        <v/>
      </c>
      <c r="L254" s="86">
        <f>(((Table134567891011121314151617343[[#This Row],[EA19]]-VLOOKUP($U$1,A:F,6,))/VLOOKUP($U$1,A:F,6,))*100)+100</f>
        <v/>
      </c>
      <c r="M254" s="86">
        <f>(((Table134567891011121314151617343[[#This Row],[GBR]]-VLOOKUP($U$1,A:G,7,))/VLOOKUP($U$1,A:G,7,))*100)+100</f>
        <v/>
      </c>
      <c r="N254" s="86">
        <f>VLOOKUP(A254,Database!$A:$AS,MATCH($N$1,Database!$A$1:$AS$1,0),FALSE)</f>
        <v/>
      </c>
      <c r="O254" s="86">
        <f>(((Table134567891011121314151617343[[#This Row],[USA]]-VLOOKUP($U$1,A:N,14,))/VLOOKUP($U$1,A:N,14,))*100)+100</f>
        <v/>
      </c>
      <c r="P254" s="86">
        <f>VLOOKUP(A254,Database!$A:$AS,MATCH($P$1,Database!$A$1:$AS$1,0),FALSE)</f>
        <v/>
      </c>
      <c r="Q254" s="86">
        <f>(((Table134567891011121314151617343[[#This Row],[JPN]]-VLOOKUP($U$1,A:Q,16,))/VLOOKUP($U$1,A:Q,16,))*100)+100</f>
        <v/>
      </c>
    </row>
    <row r="255" customFormat="1" s="94">
      <c r="A255" s="22" t="n">
        <v>40575</v>
      </c>
      <c r="B255" s="86">
        <f>VLOOKUP(A255,Database!$A:$AS,MATCH($B$1,Database!$A$1:$AS$1,0),FALSE)</f>
        <v/>
      </c>
      <c r="C255" s="86">
        <f>VLOOKUP(A255,Database!$A:$AS,MATCH($C$1,Database!$A$1:$AS$1,0),FALSE)</f>
        <v/>
      </c>
      <c r="D255" s="86">
        <f>VLOOKUP(A255,Database!$A:$AS,MATCH($D$1,Database!$A$1:$AS$1,0),FALSE)</f>
        <v/>
      </c>
      <c r="E255" s="86">
        <f>VLOOKUP(A255,Database!$A:$AS,MATCH($E$1,Database!$A$1:$AS$1,0),FALSE)</f>
        <v/>
      </c>
      <c r="F255" s="86">
        <f>VLOOKUP(A255,Database!$A:$AS,MATCH($F$1,Database!$A$1:$AS$1,0),FALSE)</f>
        <v/>
      </c>
      <c r="G255" s="86">
        <f>VLOOKUP(A255,Database!$A:$AS,MATCH($G$1,Database!$A$1:$AS$1,0),FALSE)</f>
        <v/>
      </c>
      <c r="H255" s="86">
        <f>(((Table134567891011121314151617343[[#This Row],[ITA]]-VLOOKUP($U$1,A:B,2,))/VLOOKUP($U$1,A:B,2,))*100)+100</f>
        <v/>
      </c>
      <c r="I255" s="86">
        <f>(((Table134567891011121314151617343[[#This Row],[FRA]]-VLOOKUP($U$1,A:C,3,))/VLOOKUP($U$1,A:C,3,))*100)+100</f>
        <v/>
      </c>
      <c r="J255" s="86">
        <f>(((Table134567891011121314151617343[[#This Row],[DEU]]-VLOOKUP($U$1,A:D,4,))/VLOOKUP($U$1,A:D,4,))*100)+100</f>
        <v/>
      </c>
      <c r="K255" s="86">
        <f>(((Table134567891011121314151617343[[#This Row],[ESP]]-VLOOKUP($U$1,A:E,5,))/VLOOKUP($U$1,A:E,5,))*100)+100</f>
        <v/>
      </c>
      <c r="L255" s="86">
        <f>(((Table134567891011121314151617343[[#This Row],[EA19]]-VLOOKUP($U$1,A:F,6,))/VLOOKUP($U$1,A:F,6,))*100)+100</f>
        <v/>
      </c>
      <c r="M255" s="86">
        <f>(((Table134567891011121314151617343[[#This Row],[GBR]]-VLOOKUP($U$1,A:G,7,))/VLOOKUP($U$1,A:G,7,))*100)+100</f>
        <v/>
      </c>
      <c r="N255" s="86">
        <f>VLOOKUP(A255,Database!$A:$AS,MATCH($N$1,Database!$A$1:$AS$1,0),FALSE)</f>
        <v/>
      </c>
      <c r="O255" s="86">
        <f>(((Table134567891011121314151617343[[#This Row],[USA]]-VLOOKUP($U$1,A:N,14,))/VLOOKUP($U$1,A:N,14,))*100)+100</f>
        <v/>
      </c>
      <c r="P255" s="86">
        <f>VLOOKUP(A255,Database!$A:$AS,MATCH($P$1,Database!$A$1:$AS$1,0),FALSE)</f>
        <v/>
      </c>
      <c r="Q255" s="86">
        <f>(((Table134567891011121314151617343[[#This Row],[JPN]]-VLOOKUP($U$1,A:Q,16,))/VLOOKUP($U$1,A:Q,16,))*100)+100</f>
        <v/>
      </c>
    </row>
    <row r="256" customFormat="1" s="94">
      <c r="A256" s="22" t="n">
        <v>40603</v>
      </c>
      <c r="B256" s="86">
        <f>VLOOKUP(A256,Database!$A:$AS,MATCH($B$1,Database!$A$1:$AS$1,0),FALSE)</f>
        <v/>
      </c>
      <c r="C256" s="86">
        <f>VLOOKUP(A256,Database!$A:$AS,MATCH($C$1,Database!$A$1:$AS$1,0),FALSE)</f>
        <v/>
      </c>
      <c r="D256" s="86">
        <f>VLOOKUP(A256,Database!$A:$AS,MATCH($D$1,Database!$A$1:$AS$1,0),FALSE)</f>
        <v/>
      </c>
      <c r="E256" s="86">
        <f>VLOOKUP(A256,Database!$A:$AS,MATCH($E$1,Database!$A$1:$AS$1,0),FALSE)</f>
        <v/>
      </c>
      <c r="F256" s="86">
        <f>VLOOKUP(A256,Database!$A:$AS,MATCH($F$1,Database!$A$1:$AS$1,0),FALSE)</f>
        <v/>
      </c>
      <c r="G256" s="86">
        <f>VLOOKUP(A256,Database!$A:$AS,MATCH($G$1,Database!$A$1:$AS$1,0),FALSE)</f>
        <v/>
      </c>
      <c r="H256" s="86">
        <f>(((Table134567891011121314151617343[[#This Row],[ITA]]-VLOOKUP($U$1,A:B,2,))/VLOOKUP($U$1,A:B,2,))*100)+100</f>
        <v/>
      </c>
      <c r="I256" s="86">
        <f>(((Table134567891011121314151617343[[#This Row],[FRA]]-VLOOKUP($U$1,A:C,3,))/VLOOKUP($U$1,A:C,3,))*100)+100</f>
        <v/>
      </c>
      <c r="J256" s="86">
        <f>(((Table134567891011121314151617343[[#This Row],[DEU]]-VLOOKUP($U$1,A:D,4,))/VLOOKUP($U$1,A:D,4,))*100)+100</f>
        <v/>
      </c>
      <c r="K256" s="86">
        <f>(((Table134567891011121314151617343[[#This Row],[ESP]]-VLOOKUP($U$1,A:E,5,))/VLOOKUP($U$1,A:E,5,))*100)+100</f>
        <v/>
      </c>
      <c r="L256" s="86">
        <f>(((Table134567891011121314151617343[[#This Row],[EA19]]-VLOOKUP($U$1,A:F,6,))/VLOOKUP($U$1,A:F,6,))*100)+100</f>
        <v/>
      </c>
      <c r="M256" s="86">
        <f>(((Table134567891011121314151617343[[#This Row],[GBR]]-VLOOKUP($U$1,A:G,7,))/VLOOKUP($U$1,A:G,7,))*100)+100</f>
        <v/>
      </c>
      <c r="N256" s="86">
        <f>VLOOKUP(A256,Database!$A:$AS,MATCH($N$1,Database!$A$1:$AS$1,0),FALSE)</f>
        <v/>
      </c>
      <c r="O256" s="86">
        <f>(((Table134567891011121314151617343[[#This Row],[USA]]-VLOOKUP($U$1,A:N,14,))/VLOOKUP($U$1,A:N,14,))*100)+100</f>
        <v/>
      </c>
      <c r="P256" s="86">
        <f>VLOOKUP(A256,Database!$A:$AS,MATCH($P$1,Database!$A$1:$AS$1,0),FALSE)</f>
        <v/>
      </c>
      <c r="Q256" s="86">
        <f>(((Table134567891011121314151617343[[#This Row],[JPN]]-VLOOKUP($U$1,A:Q,16,))/VLOOKUP($U$1,A:Q,16,))*100)+100</f>
        <v/>
      </c>
    </row>
    <row r="257" customFormat="1" s="94">
      <c r="A257" s="22" t="n">
        <v>40634</v>
      </c>
      <c r="B257" s="86">
        <f>VLOOKUP(A257,Database!$A:$AS,MATCH($B$1,Database!$A$1:$AS$1,0),FALSE)</f>
        <v/>
      </c>
      <c r="C257" s="86">
        <f>VLOOKUP(A257,Database!$A:$AS,MATCH($C$1,Database!$A$1:$AS$1,0),FALSE)</f>
        <v/>
      </c>
      <c r="D257" s="86">
        <f>VLOOKUP(A257,Database!$A:$AS,MATCH($D$1,Database!$A$1:$AS$1,0),FALSE)</f>
        <v/>
      </c>
      <c r="E257" s="86">
        <f>VLOOKUP(A257,Database!$A:$AS,MATCH($E$1,Database!$A$1:$AS$1,0),FALSE)</f>
        <v/>
      </c>
      <c r="F257" s="86">
        <f>VLOOKUP(A257,Database!$A:$AS,MATCH($F$1,Database!$A$1:$AS$1,0),FALSE)</f>
        <v/>
      </c>
      <c r="G257" s="86">
        <f>VLOOKUP(A257,Database!$A:$AS,MATCH($G$1,Database!$A$1:$AS$1,0),FALSE)</f>
        <v/>
      </c>
      <c r="H257" s="86">
        <f>(((Table134567891011121314151617343[[#This Row],[ITA]]-VLOOKUP($U$1,A:B,2,))/VLOOKUP($U$1,A:B,2,))*100)+100</f>
        <v/>
      </c>
      <c r="I257" s="86">
        <f>(((Table134567891011121314151617343[[#This Row],[FRA]]-VLOOKUP($U$1,A:C,3,))/VLOOKUP($U$1,A:C,3,))*100)+100</f>
        <v/>
      </c>
      <c r="J257" s="86">
        <f>(((Table134567891011121314151617343[[#This Row],[DEU]]-VLOOKUP($U$1,A:D,4,))/VLOOKUP($U$1,A:D,4,))*100)+100</f>
        <v/>
      </c>
      <c r="K257" s="86">
        <f>(((Table134567891011121314151617343[[#This Row],[ESP]]-VLOOKUP($U$1,A:E,5,))/VLOOKUP($U$1,A:E,5,))*100)+100</f>
        <v/>
      </c>
      <c r="L257" s="86">
        <f>(((Table134567891011121314151617343[[#This Row],[EA19]]-VLOOKUP($U$1,A:F,6,))/VLOOKUP($U$1,A:F,6,))*100)+100</f>
        <v/>
      </c>
      <c r="M257" s="86">
        <f>(((Table134567891011121314151617343[[#This Row],[GBR]]-VLOOKUP($U$1,A:G,7,))/VLOOKUP($U$1,A:G,7,))*100)+100</f>
        <v/>
      </c>
      <c r="N257" s="86">
        <f>VLOOKUP(A257,Database!$A:$AS,MATCH($N$1,Database!$A$1:$AS$1,0),FALSE)</f>
        <v/>
      </c>
      <c r="O257" s="86">
        <f>(((Table134567891011121314151617343[[#This Row],[USA]]-VLOOKUP($U$1,A:N,14,))/VLOOKUP($U$1,A:N,14,))*100)+100</f>
        <v/>
      </c>
      <c r="P257" s="86">
        <f>VLOOKUP(A257,Database!$A:$AS,MATCH($P$1,Database!$A$1:$AS$1,0),FALSE)</f>
        <v/>
      </c>
      <c r="Q257" s="86">
        <f>(((Table134567891011121314151617343[[#This Row],[JPN]]-VLOOKUP($U$1,A:Q,16,))/VLOOKUP($U$1,A:Q,16,))*100)+100</f>
        <v/>
      </c>
    </row>
    <row r="258" customFormat="1" s="94">
      <c r="A258" s="22" t="n">
        <v>40664</v>
      </c>
      <c r="B258" s="86">
        <f>VLOOKUP(A258,Database!$A:$AS,MATCH($B$1,Database!$A$1:$AS$1,0),FALSE)</f>
        <v/>
      </c>
      <c r="C258" s="86">
        <f>VLOOKUP(A258,Database!$A:$AS,MATCH($C$1,Database!$A$1:$AS$1,0),FALSE)</f>
        <v/>
      </c>
      <c r="D258" s="86">
        <f>VLOOKUP(A258,Database!$A:$AS,MATCH($D$1,Database!$A$1:$AS$1,0),FALSE)</f>
        <v/>
      </c>
      <c r="E258" s="86">
        <f>VLOOKUP(A258,Database!$A:$AS,MATCH($E$1,Database!$A$1:$AS$1,0),FALSE)</f>
        <v/>
      </c>
      <c r="F258" s="86">
        <f>VLOOKUP(A258,Database!$A:$AS,MATCH($F$1,Database!$A$1:$AS$1,0),FALSE)</f>
        <v/>
      </c>
      <c r="G258" s="86">
        <f>VLOOKUP(A258,Database!$A:$AS,MATCH($G$1,Database!$A$1:$AS$1,0),FALSE)</f>
        <v/>
      </c>
      <c r="H258" s="86">
        <f>(((Table134567891011121314151617343[[#This Row],[ITA]]-VLOOKUP($U$1,A:B,2,))/VLOOKUP($U$1,A:B,2,))*100)+100</f>
        <v/>
      </c>
      <c r="I258" s="86">
        <f>(((Table134567891011121314151617343[[#This Row],[FRA]]-VLOOKUP($U$1,A:C,3,))/VLOOKUP($U$1,A:C,3,))*100)+100</f>
        <v/>
      </c>
      <c r="J258" s="86">
        <f>(((Table134567891011121314151617343[[#This Row],[DEU]]-VLOOKUP($U$1,A:D,4,))/VLOOKUP($U$1,A:D,4,))*100)+100</f>
        <v/>
      </c>
      <c r="K258" s="86">
        <f>(((Table134567891011121314151617343[[#This Row],[ESP]]-VLOOKUP($U$1,A:E,5,))/VLOOKUP($U$1,A:E,5,))*100)+100</f>
        <v/>
      </c>
      <c r="L258" s="86">
        <f>(((Table134567891011121314151617343[[#This Row],[EA19]]-VLOOKUP($U$1,A:F,6,))/VLOOKUP($U$1,A:F,6,))*100)+100</f>
        <v/>
      </c>
      <c r="M258" s="86">
        <f>(((Table134567891011121314151617343[[#This Row],[GBR]]-VLOOKUP($U$1,A:G,7,))/VLOOKUP($U$1,A:G,7,))*100)+100</f>
        <v/>
      </c>
      <c r="N258" s="86">
        <f>VLOOKUP(A258,Database!$A:$AS,MATCH($N$1,Database!$A$1:$AS$1,0),FALSE)</f>
        <v/>
      </c>
      <c r="O258" s="86">
        <f>(((Table134567891011121314151617343[[#This Row],[USA]]-VLOOKUP($U$1,A:N,14,))/VLOOKUP($U$1,A:N,14,))*100)+100</f>
        <v/>
      </c>
      <c r="P258" s="86">
        <f>VLOOKUP(A258,Database!$A:$AS,MATCH($P$1,Database!$A$1:$AS$1,0),FALSE)</f>
        <v/>
      </c>
      <c r="Q258" s="86">
        <f>(((Table134567891011121314151617343[[#This Row],[JPN]]-VLOOKUP($U$1,A:Q,16,))/VLOOKUP($U$1,A:Q,16,))*100)+100</f>
        <v/>
      </c>
    </row>
    <row r="259" customFormat="1" s="94">
      <c r="A259" s="22" t="n">
        <v>40695</v>
      </c>
      <c r="B259" s="86">
        <f>VLOOKUP(A259,Database!$A:$AS,MATCH($B$1,Database!$A$1:$AS$1,0),FALSE)</f>
        <v/>
      </c>
      <c r="C259" s="86">
        <f>VLOOKUP(A259,Database!$A:$AS,MATCH($C$1,Database!$A$1:$AS$1,0),FALSE)</f>
        <v/>
      </c>
      <c r="D259" s="86">
        <f>VLOOKUP(A259,Database!$A:$AS,MATCH($D$1,Database!$A$1:$AS$1,0),FALSE)</f>
        <v/>
      </c>
      <c r="E259" s="86">
        <f>VLOOKUP(A259,Database!$A:$AS,MATCH($E$1,Database!$A$1:$AS$1,0),FALSE)</f>
        <v/>
      </c>
      <c r="F259" s="86">
        <f>VLOOKUP(A259,Database!$A:$AS,MATCH($F$1,Database!$A$1:$AS$1,0),FALSE)</f>
        <v/>
      </c>
      <c r="G259" s="86">
        <f>VLOOKUP(A259,Database!$A:$AS,MATCH($G$1,Database!$A$1:$AS$1,0),FALSE)</f>
        <v/>
      </c>
      <c r="H259" s="86">
        <f>(((Table134567891011121314151617343[[#This Row],[ITA]]-VLOOKUP($U$1,A:B,2,))/VLOOKUP($U$1,A:B,2,))*100)+100</f>
        <v/>
      </c>
      <c r="I259" s="86">
        <f>(((Table134567891011121314151617343[[#This Row],[FRA]]-VLOOKUP($U$1,A:C,3,))/VLOOKUP($U$1,A:C,3,))*100)+100</f>
        <v/>
      </c>
      <c r="J259" s="86">
        <f>(((Table134567891011121314151617343[[#This Row],[DEU]]-VLOOKUP($U$1,A:D,4,))/VLOOKUP($U$1,A:D,4,))*100)+100</f>
        <v/>
      </c>
      <c r="K259" s="86">
        <f>(((Table134567891011121314151617343[[#This Row],[ESP]]-VLOOKUP($U$1,A:E,5,))/VLOOKUP($U$1,A:E,5,))*100)+100</f>
        <v/>
      </c>
      <c r="L259" s="86">
        <f>(((Table134567891011121314151617343[[#This Row],[EA19]]-VLOOKUP($U$1,A:F,6,))/VLOOKUP($U$1,A:F,6,))*100)+100</f>
        <v/>
      </c>
      <c r="M259" s="86">
        <f>(((Table134567891011121314151617343[[#This Row],[GBR]]-VLOOKUP($U$1,A:G,7,))/VLOOKUP($U$1,A:G,7,))*100)+100</f>
        <v/>
      </c>
      <c r="N259" s="86">
        <f>VLOOKUP(A259,Database!$A:$AS,MATCH($N$1,Database!$A$1:$AS$1,0),FALSE)</f>
        <v/>
      </c>
      <c r="O259" s="86">
        <f>(((Table134567891011121314151617343[[#This Row],[USA]]-VLOOKUP($U$1,A:N,14,))/VLOOKUP($U$1,A:N,14,))*100)+100</f>
        <v/>
      </c>
      <c r="P259" s="86">
        <f>VLOOKUP(A259,Database!$A:$AS,MATCH($P$1,Database!$A$1:$AS$1,0),FALSE)</f>
        <v/>
      </c>
      <c r="Q259" s="86">
        <f>(((Table134567891011121314151617343[[#This Row],[JPN]]-VLOOKUP($U$1,A:Q,16,))/VLOOKUP($U$1,A:Q,16,))*100)+100</f>
        <v/>
      </c>
    </row>
    <row r="260" customFormat="1" s="94">
      <c r="A260" s="22" t="n">
        <v>40725</v>
      </c>
      <c r="B260" s="86">
        <f>VLOOKUP(A260,Database!$A:$AS,MATCH($B$1,Database!$A$1:$AS$1,0),FALSE)</f>
        <v/>
      </c>
      <c r="C260" s="86">
        <f>VLOOKUP(A260,Database!$A:$AS,MATCH($C$1,Database!$A$1:$AS$1,0),FALSE)</f>
        <v/>
      </c>
      <c r="D260" s="86">
        <f>VLOOKUP(A260,Database!$A:$AS,MATCH($D$1,Database!$A$1:$AS$1,0),FALSE)</f>
        <v/>
      </c>
      <c r="E260" s="86">
        <f>VLOOKUP(A260,Database!$A:$AS,MATCH($E$1,Database!$A$1:$AS$1,0),FALSE)</f>
        <v/>
      </c>
      <c r="F260" s="86">
        <f>VLOOKUP(A260,Database!$A:$AS,MATCH($F$1,Database!$A$1:$AS$1,0),FALSE)</f>
        <v/>
      </c>
      <c r="G260" s="86">
        <f>VLOOKUP(A260,Database!$A:$AS,MATCH($G$1,Database!$A$1:$AS$1,0),FALSE)</f>
        <v/>
      </c>
      <c r="H260" s="86">
        <f>(((Table134567891011121314151617343[[#This Row],[ITA]]-VLOOKUP($U$1,A:B,2,))/VLOOKUP($U$1,A:B,2,))*100)+100</f>
        <v/>
      </c>
      <c r="I260" s="86">
        <f>(((Table134567891011121314151617343[[#This Row],[FRA]]-VLOOKUP($U$1,A:C,3,))/VLOOKUP($U$1,A:C,3,))*100)+100</f>
        <v/>
      </c>
      <c r="J260" s="86">
        <f>(((Table134567891011121314151617343[[#This Row],[DEU]]-VLOOKUP($U$1,A:D,4,))/VLOOKUP($U$1,A:D,4,))*100)+100</f>
        <v/>
      </c>
      <c r="K260" s="86">
        <f>(((Table134567891011121314151617343[[#This Row],[ESP]]-VLOOKUP($U$1,A:E,5,))/VLOOKUP($U$1,A:E,5,))*100)+100</f>
        <v/>
      </c>
      <c r="L260" s="86">
        <f>(((Table134567891011121314151617343[[#This Row],[EA19]]-VLOOKUP($U$1,A:F,6,))/VLOOKUP($U$1,A:F,6,))*100)+100</f>
        <v/>
      </c>
      <c r="M260" s="86">
        <f>(((Table134567891011121314151617343[[#This Row],[GBR]]-VLOOKUP($U$1,A:G,7,))/VLOOKUP($U$1,A:G,7,))*100)+100</f>
        <v/>
      </c>
      <c r="N260" s="86">
        <f>VLOOKUP(A260,Database!$A:$AS,MATCH($N$1,Database!$A$1:$AS$1,0),FALSE)</f>
        <v/>
      </c>
      <c r="O260" s="86">
        <f>(((Table134567891011121314151617343[[#This Row],[USA]]-VLOOKUP($U$1,A:N,14,))/VLOOKUP($U$1,A:N,14,))*100)+100</f>
        <v/>
      </c>
      <c r="P260" s="86">
        <f>VLOOKUP(A260,Database!$A:$AS,MATCH($P$1,Database!$A$1:$AS$1,0),FALSE)</f>
        <v/>
      </c>
      <c r="Q260" s="86">
        <f>(((Table134567891011121314151617343[[#This Row],[JPN]]-VLOOKUP($U$1,A:Q,16,))/VLOOKUP($U$1,A:Q,16,))*100)+100</f>
        <v/>
      </c>
    </row>
    <row r="261" customFormat="1" s="94">
      <c r="A261" s="22" t="n">
        <v>40756</v>
      </c>
      <c r="B261" s="86">
        <f>VLOOKUP(A261,Database!$A:$AS,MATCH($B$1,Database!$A$1:$AS$1,0),FALSE)</f>
        <v/>
      </c>
      <c r="C261" s="86">
        <f>VLOOKUP(A261,Database!$A:$AS,MATCH($C$1,Database!$A$1:$AS$1,0),FALSE)</f>
        <v/>
      </c>
      <c r="D261" s="86">
        <f>VLOOKUP(A261,Database!$A:$AS,MATCH($D$1,Database!$A$1:$AS$1,0),FALSE)</f>
        <v/>
      </c>
      <c r="E261" s="86">
        <f>VLOOKUP(A261,Database!$A:$AS,MATCH($E$1,Database!$A$1:$AS$1,0),FALSE)</f>
        <v/>
      </c>
      <c r="F261" s="86">
        <f>VLOOKUP(A261,Database!$A:$AS,MATCH($F$1,Database!$A$1:$AS$1,0),FALSE)</f>
        <v/>
      </c>
      <c r="G261" s="86">
        <f>VLOOKUP(A261,Database!$A:$AS,MATCH($G$1,Database!$A$1:$AS$1,0),FALSE)</f>
        <v/>
      </c>
      <c r="H261" s="86">
        <f>(((Table134567891011121314151617343[[#This Row],[ITA]]-VLOOKUP($U$1,A:B,2,))/VLOOKUP($U$1,A:B,2,))*100)+100</f>
        <v/>
      </c>
      <c r="I261" s="86">
        <f>(((Table134567891011121314151617343[[#This Row],[FRA]]-VLOOKUP($U$1,A:C,3,))/VLOOKUP($U$1,A:C,3,))*100)+100</f>
        <v/>
      </c>
      <c r="J261" s="86">
        <f>(((Table134567891011121314151617343[[#This Row],[DEU]]-VLOOKUP($U$1,A:D,4,))/VLOOKUP($U$1,A:D,4,))*100)+100</f>
        <v/>
      </c>
      <c r="K261" s="86">
        <f>(((Table134567891011121314151617343[[#This Row],[ESP]]-VLOOKUP($U$1,A:E,5,))/VLOOKUP($U$1,A:E,5,))*100)+100</f>
        <v/>
      </c>
      <c r="L261" s="86">
        <f>(((Table134567891011121314151617343[[#This Row],[EA19]]-VLOOKUP($U$1,A:F,6,))/VLOOKUP($U$1,A:F,6,))*100)+100</f>
        <v/>
      </c>
      <c r="M261" s="86">
        <f>(((Table134567891011121314151617343[[#This Row],[GBR]]-VLOOKUP($U$1,A:G,7,))/VLOOKUP($U$1,A:G,7,))*100)+100</f>
        <v/>
      </c>
      <c r="N261" s="86">
        <f>VLOOKUP(A261,Database!$A:$AS,MATCH($N$1,Database!$A$1:$AS$1,0),FALSE)</f>
        <v/>
      </c>
      <c r="O261" s="86">
        <f>(((Table134567891011121314151617343[[#This Row],[USA]]-VLOOKUP($U$1,A:N,14,))/VLOOKUP($U$1,A:N,14,))*100)+100</f>
        <v/>
      </c>
      <c r="P261" s="86">
        <f>VLOOKUP(A261,Database!$A:$AS,MATCH($P$1,Database!$A$1:$AS$1,0),FALSE)</f>
        <v/>
      </c>
      <c r="Q261" s="86">
        <f>(((Table134567891011121314151617343[[#This Row],[JPN]]-VLOOKUP($U$1,A:Q,16,))/VLOOKUP($U$1,A:Q,16,))*100)+100</f>
        <v/>
      </c>
    </row>
    <row r="262" customFormat="1" s="94">
      <c r="A262" s="22" t="n">
        <v>40787</v>
      </c>
      <c r="B262" s="86">
        <f>VLOOKUP(A262,Database!$A:$AS,MATCH($B$1,Database!$A$1:$AS$1,0),FALSE)</f>
        <v/>
      </c>
      <c r="C262" s="86">
        <f>VLOOKUP(A262,Database!$A:$AS,MATCH($C$1,Database!$A$1:$AS$1,0),FALSE)</f>
        <v/>
      </c>
      <c r="D262" s="86">
        <f>VLOOKUP(A262,Database!$A:$AS,MATCH($D$1,Database!$A$1:$AS$1,0),FALSE)</f>
        <v/>
      </c>
      <c r="E262" s="86">
        <f>VLOOKUP(A262,Database!$A:$AS,MATCH($E$1,Database!$A$1:$AS$1,0),FALSE)</f>
        <v/>
      </c>
      <c r="F262" s="86">
        <f>VLOOKUP(A262,Database!$A:$AS,MATCH($F$1,Database!$A$1:$AS$1,0),FALSE)</f>
        <v/>
      </c>
      <c r="G262" s="86">
        <f>VLOOKUP(A262,Database!$A:$AS,MATCH($G$1,Database!$A$1:$AS$1,0),FALSE)</f>
        <v/>
      </c>
      <c r="H262" s="86">
        <f>(((Table134567891011121314151617343[[#This Row],[ITA]]-VLOOKUP($U$1,A:B,2,))/VLOOKUP($U$1,A:B,2,))*100)+100</f>
        <v/>
      </c>
      <c r="I262" s="86">
        <f>(((Table134567891011121314151617343[[#This Row],[FRA]]-VLOOKUP($U$1,A:C,3,))/VLOOKUP($U$1,A:C,3,))*100)+100</f>
        <v/>
      </c>
      <c r="J262" s="86">
        <f>(((Table134567891011121314151617343[[#This Row],[DEU]]-VLOOKUP($U$1,A:D,4,))/VLOOKUP($U$1,A:D,4,))*100)+100</f>
        <v/>
      </c>
      <c r="K262" s="86">
        <f>(((Table134567891011121314151617343[[#This Row],[ESP]]-VLOOKUP($U$1,A:E,5,))/VLOOKUP($U$1,A:E,5,))*100)+100</f>
        <v/>
      </c>
      <c r="L262" s="86">
        <f>(((Table134567891011121314151617343[[#This Row],[EA19]]-VLOOKUP($U$1,A:F,6,))/VLOOKUP($U$1,A:F,6,))*100)+100</f>
        <v/>
      </c>
      <c r="M262" s="86">
        <f>(((Table134567891011121314151617343[[#This Row],[GBR]]-VLOOKUP($U$1,A:G,7,))/VLOOKUP($U$1,A:G,7,))*100)+100</f>
        <v/>
      </c>
      <c r="N262" s="86">
        <f>VLOOKUP(A262,Database!$A:$AS,MATCH($N$1,Database!$A$1:$AS$1,0),FALSE)</f>
        <v/>
      </c>
      <c r="O262" s="86">
        <f>(((Table134567891011121314151617343[[#This Row],[USA]]-VLOOKUP($U$1,A:N,14,))/VLOOKUP($U$1,A:N,14,))*100)+100</f>
        <v/>
      </c>
      <c r="P262" s="86">
        <f>VLOOKUP(A262,Database!$A:$AS,MATCH($P$1,Database!$A$1:$AS$1,0),FALSE)</f>
        <v/>
      </c>
      <c r="Q262" s="86">
        <f>(((Table134567891011121314151617343[[#This Row],[JPN]]-VLOOKUP($U$1,A:Q,16,))/VLOOKUP($U$1,A:Q,16,))*100)+100</f>
        <v/>
      </c>
    </row>
    <row r="263" customFormat="1" s="94">
      <c r="A263" s="22" t="n">
        <v>40817</v>
      </c>
      <c r="B263" s="86">
        <f>VLOOKUP(A263,Database!$A:$AS,MATCH($B$1,Database!$A$1:$AS$1,0),FALSE)</f>
        <v/>
      </c>
      <c r="C263" s="86">
        <f>VLOOKUP(A263,Database!$A:$AS,MATCH($C$1,Database!$A$1:$AS$1,0),FALSE)</f>
        <v/>
      </c>
      <c r="D263" s="86">
        <f>VLOOKUP(A263,Database!$A:$AS,MATCH($D$1,Database!$A$1:$AS$1,0),FALSE)</f>
        <v/>
      </c>
      <c r="E263" s="86">
        <f>VLOOKUP(A263,Database!$A:$AS,MATCH($E$1,Database!$A$1:$AS$1,0),FALSE)</f>
        <v/>
      </c>
      <c r="F263" s="86">
        <f>VLOOKUP(A263,Database!$A:$AS,MATCH($F$1,Database!$A$1:$AS$1,0),FALSE)</f>
        <v/>
      </c>
      <c r="G263" s="86">
        <f>VLOOKUP(A263,Database!$A:$AS,MATCH($G$1,Database!$A$1:$AS$1,0),FALSE)</f>
        <v/>
      </c>
      <c r="H263" s="86">
        <f>(((Table134567891011121314151617343[[#This Row],[ITA]]-VLOOKUP($U$1,A:B,2,))/VLOOKUP($U$1,A:B,2,))*100)+100</f>
        <v/>
      </c>
      <c r="I263" s="86">
        <f>(((Table134567891011121314151617343[[#This Row],[FRA]]-VLOOKUP($U$1,A:C,3,))/VLOOKUP($U$1,A:C,3,))*100)+100</f>
        <v/>
      </c>
      <c r="J263" s="86">
        <f>(((Table134567891011121314151617343[[#This Row],[DEU]]-VLOOKUP($U$1,A:D,4,))/VLOOKUP($U$1,A:D,4,))*100)+100</f>
        <v/>
      </c>
      <c r="K263" s="86">
        <f>(((Table134567891011121314151617343[[#This Row],[ESP]]-VLOOKUP($U$1,A:E,5,))/VLOOKUP($U$1,A:E,5,))*100)+100</f>
        <v/>
      </c>
      <c r="L263" s="86">
        <f>(((Table134567891011121314151617343[[#This Row],[EA19]]-VLOOKUP($U$1,A:F,6,))/VLOOKUP($U$1,A:F,6,))*100)+100</f>
        <v/>
      </c>
      <c r="M263" s="86">
        <f>(((Table134567891011121314151617343[[#This Row],[GBR]]-VLOOKUP($U$1,A:G,7,))/VLOOKUP($U$1,A:G,7,))*100)+100</f>
        <v/>
      </c>
      <c r="N263" s="86">
        <f>VLOOKUP(A263,Database!$A:$AS,MATCH($N$1,Database!$A$1:$AS$1,0),FALSE)</f>
        <v/>
      </c>
      <c r="O263" s="86">
        <f>(((Table134567891011121314151617343[[#This Row],[USA]]-VLOOKUP($U$1,A:N,14,))/VLOOKUP($U$1,A:N,14,))*100)+100</f>
        <v/>
      </c>
      <c r="P263" s="86">
        <f>VLOOKUP(A263,Database!$A:$AS,MATCH($P$1,Database!$A$1:$AS$1,0),FALSE)</f>
        <v/>
      </c>
      <c r="Q263" s="86">
        <f>(((Table134567891011121314151617343[[#This Row],[JPN]]-VLOOKUP($U$1,A:Q,16,))/VLOOKUP($U$1,A:Q,16,))*100)+100</f>
        <v/>
      </c>
    </row>
    <row r="264" customFormat="1" s="94">
      <c r="A264" s="22" t="n">
        <v>40848</v>
      </c>
      <c r="B264" s="86">
        <f>VLOOKUP(A264,Database!$A:$AS,MATCH($B$1,Database!$A$1:$AS$1,0),FALSE)</f>
        <v/>
      </c>
      <c r="C264" s="86">
        <f>VLOOKUP(A264,Database!$A:$AS,MATCH($C$1,Database!$A$1:$AS$1,0),FALSE)</f>
        <v/>
      </c>
      <c r="D264" s="86">
        <f>VLOOKUP(A264,Database!$A:$AS,MATCH($D$1,Database!$A$1:$AS$1,0),FALSE)</f>
        <v/>
      </c>
      <c r="E264" s="86">
        <f>VLOOKUP(A264,Database!$A:$AS,MATCH($E$1,Database!$A$1:$AS$1,0),FALSE)</f>
        <v/>
      </c>
      <c r="F264" s="86">
        <f>VLOOKUP(A264,Database!$A:$AS,MATCH($F$1,Database!$A$1:$AS$1,0),FALSE)</f>
        <v/>
      </c>
      <c r="G264" s="86">
        <f>VLOOKUP(A264,Database!$A:$AS,MATCH($G$1,Database!$A$1:$AS$1,0),FALSE)</f>
        <v/>
      </c>
      <c r="H264" s="86">
        <f>(((Table134567891011121314151617343[[#This Row],[ITA]]-VLOOKUP($U$1,A:B,2,))/VLOOKUP($U$1,A:B,2,))*100)+100</f>
        <v/>
      </c>
      <c r="I264" s="86">
        <f>(((Table134567891011121314151617343[[#This Row],[FRA]]-VLOOKUP($U$1,A:C,3,))/VLOOKUP($U$1,A:C,3,))*100)+100</f>
        <v/>
      </c>
      <c r="J264" s="86">
        <f>(((Table134567891011121314151617343[[#This Row],[DEU]]-VLOOKUP($U$1,A:D,4,))/VLOOKUP($U$1,A:D,4,))*100)+100</f>
        <v/>
      </c>
      <c r="K264" s="86">
        <f>(((Table134567891011121314151617343[[#This Row],[ESP]]-VLOOKUP($U$1,A:E,5,))/VLOOKUP($U$1,A:E,5,))*100)+100</f>
        <v/>
      </c>
      <c r="L264" s="86">
        <f>(((Table134567891011121314151617343[[#This Row],[EA19]]-VLOOKUP($U$1,A:F,6,))/VLOOKUP($U$1,A:F,6,))*100)+100</f>
        <v/>
      </c>
      <c r="M264" s="86">
        <f>(((Table134567891011121314151617343[[#This Row],[GBR]]-VLOOKUP($U$1,A:G,7,))/VLOOKUP($U$1,A:G,7,))*100)+100</f>
        <v/>
      </c>
      <c r="N264" s="86">
        <f>VLOOKUP(A264,Database!$A:$AS,MATCH($N$1,Database!$A$1:$AS$1,0),FALSE)</f>
        <v/>
      </c>
      <c r="O264" s="86">
        <f>(((Table134567891011121314151617343[[#This Row],[USA]]-VLOOKUP($U$1,A:N,14,))/VLOOKUP($U$1,A:N,14,))*100)+100</f>
        <v/>
      </c>
      <c r="P264" s="86">
        <f>VLOOKUP(A264,Database!$A:$AS,MATCH($P$1,Database!$A$1:$AS$1,0),FALSE)</f>
        <v/>
      </c>
      <c r="Q264" s="86">
        <f>(((Table134567891011121314151617343[[#This Row],[JPN]]-VLOOKUP($U$1,A:Q,16,))/VLOOKUP($U$1,A:Q,16,))*100)+100</f>
        <v/>
      </c>
    </row>
    <row r="265" customFormat="1" s="94">
      <c r="A265" s="22" t="n">
        <v>40878</v>
      </c>
      <c r="B265" s="86">
        <f>VLOOKUP(A265,Database!$A:$AS,MATCH($B$1,Database!$A$1:$AS$1,0),FALSE)</f>
        <v/>
      </c>
      <c r="C265" s="86">
        <f>VLOOKUP(A265,Database!$A:$AS,MATCH($C$1,Database!$A$1:$AS$1,0),FALSE)</f>
        <v/>
      </c>
      <c r="D265" s="86">
        <f>VLOOKUP(A265,Database!$A:$AS,MATCH($D$1,Database!$A$1:$AS$1,0),FALSE)</f>
        <v/>
      </c>
      <c r="E265" s="86">
        <f>VLOOKUP(A265,Database!$A:$AS,MATCH($E$1,Database!$A$1:$AS$1,0),FALSE)</f>
        <v/>
      </c>
      <c r="F265" s="86">
        <f>VLOOKUP(A265,Database!$A:$AS,MATCH($F$1,Database!$A$1:$AS$1,0),FALSE)</f>
        <v/>
      </c>
      <c r="G265" s="86">
        <f>VLOOKUP(A265,Database!$A:$AS,MATCH($G$1,Database!$A$1:$AS$1,0),FALSE)</f>
        <v/>
      </c>
      <c r="H265" s="86">
        <f>(((Table134567891011121314151617343[[#This Row],[ITA]]-VLOOKUP($U$1,A:B,2,))/VLOOKUP($U$1,A:B,2,))*100)+100</f>
        <v/>
      </c>
      <c r="I265" s="86">
        <f>(((Table134567891011121314151617343[[#This Row],[FRA]]-VLOOKUP($U$1,A:C,3,))/VLOOKUP($U$1,A:C,3,))*100)+100</f>
        <v/>
      </c>
      <c r="J265" s="86">
        <f>(((Table134567891011121314151617343[[#This Row],[DEU]]-VLOOKUP($U$1,A:D,4,))/VLOOKUP($U$1,A:D,4,))*100)+100</f>
        <v/>
      </c>
      <c r="K265" s="86">
        <f>(((Table134567891011121314151617343[[#This Row],[ESP]]-VLOOKUP($U$1,A:E,5,))/VLOOKUP($U$1,A:E,5,))*100)+100</f>
        <v/>
      </c>
      <c r="L265" s="86">
        <f>(((Table134567891011121314151617343[[#This Row],[EA19]]-VLOOKUP($U$1,A:F,6,))/VLOOKUP($U$1,A:F,6,))*100)+100</f>
        <v/>
      </c>
      <c r="M265" s="86">
        <f>(((Table134567891011121314151617343[[#This Row],[GBR]]-VLOOKUP($U$1,A:G,7,))/VLOOKUP($U$1,A:G,7,))*100)+100</f>
        <v/>
      </c>
      <c r="N265" s="86">
        <f>VLOOKUP(A265,Database!$A:$AS,MATCH($N$1,Database!$A$1:$AS$1,0),FALSE)</f>
        <v/>
      </c>
      <c r="O265" s="86">
        <f>(((Table134567891011121314151617343[[#This Row],[USA]]-VLOOKUP($U$1,A:N,14,))/VLOOKUP($U$1,A:N,14,))*100)+100</f>
        <v/>
      </c>
      <c r="P265" s="86">
        <f>VLOOKUP(A265,Database!$A:$AS,MATCH($P$1,Database!$A$1:$AS$1,0),FALSE)</f>
        <v/>
      </c>
      <c r="Q265" s="86">
        <f>(((Table134567891011121314151617343[[#This Row],[JPN]]-VLOOKUP($U$1,A:Q,16,))/VLOOKUP($U$1,A:Q,16,))*100)+100</f>
        <v/>
      </c>
    </row>
    <row r="266" customFormat="1" s="94">
      <c r="A266" s="22" t="n">
        <v>40909</v>
      </c>
      <c r="B266" s="86">
        <f>VLOOKUP(A266,Database!$A:$AS,MATCH($B$1,Database!$A$1:$AS$1,0),FALSE)</f>
        <v/>
      </c>
      <c r="C266" s="86">
        <f>VLOOKUP(A266,Database!$A:$AS,MATCH($C$1,Database!$A$1:$AS$1,0),FALSE)</f>
        <v/>
      </c>
      <c r="D266" s="86">
        <f>VLOOKUP(A266,Database!$A:$AS,MATCH($D$1,Database!$A$1:$AS$1,0),FALSE)</f>
        <v/>
      </c>
      <c r="E266" s="86">
        <f>VLOOKUP(A266,Database!$A:$AS,MATCH($E$1,Database!$A$1:$AS$1,0),FALSE)</f>
        <v/>
      </c>
      <c r="F266" s="86">
        <f>VLOOKUP(A266,Database!$A:$AS,MATCH($F$1,Database!$A$1:$AS$1,0),FALSE)</f>
        <v/>
      </c>
      <c r="G266" s="86">
        <f>VLOOKUP(A266,Database!$A:$AS,MATCH($G$1,Database!$A$1:$AS$1,0),FALSE)</f>
        <v/>
      </c>
      <c r="H266" s="86">
        <f>(((Table134567891011121314151617343[[#This Row],[ITA]]-VLOOKUP($U$1,A:B,2,))/VLOOKUP($U$1,A:B,2,))*100)+100</f>
        <v/>
      </c>
      <c r="I266" s="86">
        <f>(((Table134567891011121314151617343[[#This Row],[FRA]]-VLOOKUP($U$1,A:C,3,))/VLOOKUP($U$1,A:C,3,))*100)+100</f>
        <v/>
      </c>
      <c r="J266" s="86">
        <f>(((Table134567891011121314151617343[[#This Row],[DEU]]-VLOOKUP($U$1,A:D,4,))/VLOOKUP($U$1,A:D,4,))*100)+100</f>
        <v/>
      </c>
      <c r="K266" s="86">
        <f>(((Table134567891011121314151617343[[#This Row],[ESP]]-VLOOKUP($U$1,A:E,5,))/VLOOKUP($U$1,A:E,5,))*100)+100</f>
        <v/>
      </c>
      <c r="L266" s="86">
        <f>(((Table134567891011121314151617343[[#This Row],[EA19]]-VLOOKUP($U$1,A:F,6,))/VLOOKUP($U$1,A:F,6,))*100)+100</f>
        <v/>
      </c>
      <c r="M266" s="86">
        <f>(((Table134567891011121314151617343[[#This Row],[GBR]]-VLOOKUP($U$1,A:G,7,))/VLOOKUP($U$1,A:G,7,))*100)+100</f>
        <v/>
      </c>
      <c r="N266" s="86">
        <f>VLOOKUP(A266,Database!$A:$AS,MATCH($N$1,Database!$A$1:$AS$1,0),FALSE)</f>
        <v/>
      </c>
      <c r="O266" s="86">
        <f>(((Table134567891011121314151617343[[#This Row],[USA]]-VLOOKUP($U$1,A:N,14,))/VLOOKUP($U$1,A:N,14,))*100)+100</f>
        <v/>
      </c>
      <c r="P266" s="86">
        <f>VLOOKUP(A266,Database!$A:$AS,MATCH($P$1,Database!$A$1:$AS$1,0),FALSE)</f>
        <v/>
      </c>
      <c r="Q266" s="86">
        <f>(((Table134567891011121314151617343[[#This Row],[JPN]]-VLOOKUP($U$1,A:Q,16,))/VLOOKUP($U$1,A:Q,16,))*100)+100</f>
        <v/>
      </c>
    </row>
    <row r="267" customFormat="1" s="94">
      <c r="A267" s="22" t="n">
        <v>40940</v>
      </c>
      <c r="B267" s="86">
        <f>VLOOKUP(A267,Database!$A:$AS,MATCH($B$1,Database!$A$1:$AS$1,0),FALSE)</f>
        <v/>
      </c>
      <c r="C267" s="86">
        <f>VLOOKUP(A267,Database!$A:$AS,MATCH($C$1,Database!$A$1:$AS$1,0),FALSE)</f>
        <v/>
      </c>
      <c r="D267" s="86">
        <f>VLOOKUP(A267,Database!$A:$AS,MATCH($D$1,Database!$A$1:$AS$1,0),FALSE)</f>
        <v/>
      </c>
      <c r="E267" s="86">
        <f>VLOOKUP(A267,Database!$A:$AS,MATCH($E$1,Database!$A$1:$AS$1,0),FALSE)</f>
        <v/>
      </c>
      <c r="F267" s="86">
        <f>VLOOKUP(A267,Database!$A:$AS,MATCH($F$1,Database!$A$1:$AS$1,0),FALSE)</f>
        <v/>
      </c>
      <c r="G267" s="86">
        <f>VLOOKUP(A267,Database!$A:$AS,MATCH($G$1,Database!$A$1:$AS$1,0),FALSE)</f>
        <v/>
      </c>
      <c r="H267" s="86">
        <f>(((Table134567891011121314151617343[[#This Row],[ITA]]-VLOOKUP($U$1,A:B,2,))/VLOOKUP($U$1,A:B,2,))*100)+100</f>
        <v/>
      </c>
      <c r="I267" s="86">
        <f>(((Table134567891011121314151617343[[#This Row],[FRA]]-VLOOKUP($U$1,A:C,3,))/VLOOKUP($U$1,A:C,3,))*100)+100</f>
        <v/>
      </c>
      <c r="J267" s="86">
        <f>(((Table134567891011121314151617343[[#This Row],[DEU]]-VLOOKUP($U$1,A:D,4,))/VLOOKUP($U$1,A:D,4,))*100)+100</f>
        <v/>
      </c>
      <c r="K267" s="86">
        <f>(((Table134567891011121314151617343[[#This Row],[ESP]]-VLOOKUP($U$1,A:E,5,))/VLOOKUP($U$1,A:E,5,))*100)+100</f>
        <v/>
      </c>
      <c r="L267" s="86">
        <f>(((Table134567891011121314151617343[[#This Row],[EA19]]-VLOOKUP($U$1,A:F,6,))/VLOOKUP($U$1,A:F,6,))*100)+100</f>
        <v/>
      </c>
      <c r="M267" s="86">
        <f>(((Table134567891011121314151617343[[#This Row],[GBR]]-VLOOKUP($U$1,A:G,7,))/VLOOKUP($U$1,A:G,7,))*100)+100</f>
        <v/>
      </c>
      <c r="N267" s="86">
        <f>VLOOKUP(A267,Database!$A:$AS,MATCH($N$1,Database!$A$1:$AS$1,0),FALSE)</f>
        <v/>
      </c>
      <c r="O267" s="86">
        <f>(((Table134567891011121314151617343[[#This Row],[USA]]-VLOOKUP($U$1,A:N,14,))/VLOOKUP($U$1,A:N,14,))*100)+100</f>
        <v/>
      </c>
      <c r="P267" s="86">
        <f>VLOOKUP(A267,Database!$A:$AS,MATCH($P$1,Database!$A$1:$AS$1,0),FALSE)</f>
        <v/>
      </c>
      <c r="Q267" s="86">
        <f>(((Table134567891011121314151617343[[#This Row],[JPN]]-VLOOKUP($U$1,A:Q,16,))/VLOOKUP($U$1,A:Q,16,))*100)+100</f>
        <v/>
      </c>
    </row>
    <row r="268" customFormat="1" s="94">
      <c r="A268" s="22" t="n">
        <v>40969</v>
      </c>
      <c r="B268" s="86">
        <f>VLOOKUP(A268,Database!$A:$AS,MATCH($B$1,Database!$A$1:$AS$1,0),FALSE)</f>
        <v/>
      </c>
      <c r="C268" s="86">
        <f>VLOOKUP(A268,Database!$A:$AS,MATCH($C$1,Database!$A$1:$AS$1,0),FALSE)</f>
        <v/>
      </c>
      <c r="D268" s="86">
        <f>VLOOKUP(A268,Database!$A:$AS,MATCH($D$1,Database!$A$1:$AS$1,0),FALSE)</f>
        <v/>
      </c>
      <c r="E268" s="86">
        <f>VLOOKUP(A268,Database!$A:$AS,MATCH($E$1,Database!$A$1:$AS$1,0),FALSE)</f>
        <v/>
      </c>
      <c r="F268" s="86">
        <f>VLOOKUP(A268,Database!$A:$AS,MATCH($F$1,Database!$A$1:$AS$1,0),FALSE)</f>
        <v/>
      </c>
      <c r="G268" s="86">
        <f>VLOOKUP(A268,Database!$A:$AS,MATCH($G$1,Database!$A$1:$AS$1,0),FALSE)</f>
        <v/>
      </c>
      <c r="H268" s="86">
        <f>(((Table134567891011121314151617343[[#This Row],[ITA]]-VLOOKUP($U$1,A:B,2,))/VLOOKUP($U$1,A:B,2,))*100)+100</f>
        <v/>
      </c>
      <c r="I268" s="86">
        <f>(((Table134567891011121314151617343[[#This Row],[FRA]]-VLOOKUP($U$1,A:C,3,))/VLOOKUP($U$1,A:C,3,))*100)+100</f>
        <v/>
      </c>
      <c r="J268" s="86">
        <f>(((Table134567891011121314151617343[[#This Row],[DEU]]-VLOOKUP($U$1,A:D,4,))/VLOOKUP($U$1,A:D,4,))*100)+100</f>
        <v/>
      </c>
      <c r="K268" s="86">
        <f>(((Table134567891011121314151617343[[#This Row],[ESP]]-VLOOKUP($U$1,A:E,5,))/VLOOKUP($U$1,A:E,5,))*100)+100</f>
        <v/>
      </c>
      <c r="L268" s="86">
        <f>(((Table134567891011121314151617343[[#This Row],[EA19]]-VLOOKUP($U$1,A:F,6,))/VLOOKUP($U$1,A:F,6,))*100)+100</f>
        <v/>
      </c>
      <c r="M268" s="86">
        <f>(((Table134567891011121314151617343[[#This Row],[GBR]]-VLOOKUP($U$1,A:G,7,))/VLOOKUP($U$1,A:G,7,))*100)+100</f>
        <v/>
      </c>
      <c r="N268" s="86">
        <f>VLOOKUP(A268,Database!$A:$AS,MATCH($N$1,Database!$A$1:$AS$1,0),FALSE)</f>
        <v/>
      </c>
      <c r="O268" s="86">
        <f>(((Table134567891011121314151617343[[#This Row],[USA]]-VLOOKUP($U$1,A:N,14,))/VLOOKUP($U$1,A:N,14,))*100)+100</f>
        <v/>
      </c>
      <c r="P268" s="86">
        <f>VLOOKUP(A268,Database!$A:$AS,MATCH($P$1,Database!$A$1:$AS$1,0),FALSE)</f>
        <v/>
      </c>
      <c r="Q268" s="86">
        <f>(((Table134567891011121314151617343[[#This Row],[JPN]]-VLOOKUP($U$1,A:Q,16,))/VLOOKUP($U$1,A:Q,16,))*100)+100</f>
        <v/>
      </c>
    </row>
    <row r="269" customFormat="1" s="94">
      <c r="A269" s="22" t="n">
        <v>41000</v>
      </c>
      <c r="B269" s="86">
        <f>VLOOKUP(A269,Database!$A:$AS,MATCH($B$1,Database!$A$1:$AS$1,0),FALSE)</f>
        <v/>
      </c>
      <c r="C269" s="86">
        <f>VLOOKUP(A269,Database!$A:$AS,MATCH($C$1,Database!$A$1:$AS$1,0),FALSE)</f>
        <v/>
      </c>
      <c r="D269" s="86">
        <f>VLOOKUP(A269,Database!$A:$AS,MATCH($D$1,Database!$A$1:$AS$1,0),FALSE)</f>
        <v/>
      </c>
      <c r="E269" s="86">
        <f>VLOOKUP(A269,Database!$A:$AS,MATCH($E$1,Database!$A$1:$AS$1,0),FALSE)</f>
        <v/>
      </c>
      <c r="F269" s="86">
        <f>VLOOKUP(A269,Database!$A:$AS,MATCH($F$1,Database!$A$1:$AS$1,0),FALSE)</f>
        <v/>
      </c>
      <c r="G269" s="86">
        <f>VLOOKUP(A269,Database!$A:$AS,MATCH($G$1,Database!$A$1:$AS$1,0),FALSE)</f>
        <v/>
      </c>
      <c r="H269" s="86">
        <f>(((Table134567891011121314151617343[[#This Row],[ITA]]-VLOOKUP($U$1,A:B,2,))/VLOOKUP($U$1,A:B,2,))*100)+100</f>
        <v/>
      </c>
      <c r="I269" s="86">
        <f>(((Table134567891011121314151617343[[#This Row],[FRA]]-VLOOKUP($U$1,A:C,3,))/VLOOKUP($U$1,A:C,3,))*100)+100</f>
        <v/>
      </c>
      <c r="J269" s="86">
        <f>(((Table134567891011121314151617343[[#This Row],[DEU]]-VLOOKUP($U$1,A:D,4,))/VLOOKUP($U$1,A:D,4,))*100)+100</f>
        <v/>
      </c>
      <c r="K269" s="86">
        <f>(((Table134567891011121314151617343[[#This Row],[ESP]]-VLOOKUP($U$1,A:E,5,))/VLOOKUP($U$1,A:E,5,))*100)+100</f>
        <v/>
      </c>
      <c r="L269" s="86">
        <f>(((Table134567891011121314151617343[[#This Row],[EA19]]-VLOOKUP($U$1,A:F,6,))/VLOOKUP($U$1,A:F,6,))*100)+100</f>
        <v/>
      </c>
      <c r="M269" s="86">
        <f>(((Table134567891011121314151617343[[#This Row],[GBR]]-VLOOKUP($U$1,A:G,7,))/VLOOKUP($U$1,A:G,7,))*100)+100</f>
        <v/>
      </c>
      <c r="N269" s="86">
        <f>VLOOKUP(A269,Database!$A:$AS,MATCH($N$1,Database!$A$1:$AS$1,0),FALSE)</f>
        <v/>
      </c>
      <c r="O269" s="86">
        <f>(((Table134567891011121314151617343[[#This Row],[USA]]-VLOOKUP($U$1,A:N,14,))/VLOOKUP($U$1,A:N,14,))*100)+100</f>
        <v/>
      </c>
      <c r="P269" s="86">
        <f>VLOOKUP(A269,Database!$A:$AS,MATCH($P$1,Database!$A$1:$AS$1,0),FALSE)</f>
        <v/>
      </c>
      <c r="Q269" s="86">
        <f>(((Table134567891011121314151617343[[#This Row],[JPN]]-VLOOKUP($U$1,A:Q,16,))/VLOOKUP($U$1,A:Q,16,))*100)+100</f>
        <v/>
      </c>
    </row>
    <row r="270" customFormat="1" s="94">
      <c r="A270" s="22" t="n">
        <v>41030</v>
      </c>
      <c r="B270" s="86">
        <f>VLOOKUP(A270,Database!$A:$AS,MATCH($B$1,Database!$A$1:$AS$1,0),FALSE)</f>
        <v/>
      </c>
      <c r="C270" s="86">
        <f>VLOOKUP(A270,Database!$A:$AS,MATCH($C$1,Database!$A$1:$AS$1,0),FALSE)</f>
        <v/>
      </c>
      <c r="D270" s="86">
        <f>VLOOKUP(A270,Database!$A:$AS,MATCH($D$1,Database!$A$1:$AS$1,0),FALSE)</f>
        <v/>
      </c>
      <c r="E270" s="86">
        <f>VLOOKUP(A270,Database!$A:$AS,MATCH($E$1,Database!$A$1:$AS$1,0),FALSE)</f>
        <v/>
      </c>
      <c r="F270" s="86">
        <f>VLOOKUP(A270,Database!$A:$AS,MATCH($F$1,Database!$A$1:$AS$1,0),FALSE)</f>
        <v/>
      </c>
      <c r="G270" s="86">
        <f>VLOOKUP(A270,Database!$A:$AS,MATCH($G$1,Database!$A$1:$AS$1,0),FALSE)</f>
        <v/>
      </c>
      <c r="H270" s="86">
        <f>(((Table134567891011121314151617343[[#This Row],[ITA]]-VLOOKUP($U$1,A:B,2,))/VLOOKUP($U$1,A:B,2,))*100)+100</f>
        <v/>
      </c>
      <c r="I270" s="86">
        <f>(((Table134567891011121314151617343[[#This Row],[FRA]]-VLOOKUP($U$1,A:C,3,))/VLOOKUP($U$1,A:C,3,))*100)+100</f>
        <v/>
      </c>
      <c r="J270" s="86">
        <f>(((Table134567891011121314151617343[[#This Row],[DEU]]-VLOOKUP($U$1,A:D,4,))/VLOOKUP($U$1,A:D,4,))*100)+100</f>
        <v/>
      </c>
      <c r="K270" s="86">
        <f>(((Table134567891011121314151617343[[#This Row],[ESP]]-VLOOKUP($U$1,A:E,5,))/VLOOKUP($U$1,A:E,5,))*100)+100</f>
        <v/>
      </c>
      <c r="L270" s="86">
        <f>(((Table134567891011121314151617343[[#This Row],[EA19]]-VLOOKUP($U$1,A:F,6,))/VLOOKUP($U$1,A:F,6,))*100)+100</f>
        <v/>
      </c>
      <c r="M270" s="86">
        <f>(((Table134567891011121314151617343[[#This Row],[GBR]]-VLOOKUP($U$1,A:G,7,))/VLOOKUP($U$1,A:G,7,))*100)+100</f>
        <v/>
      </c>
      <c r="N270" s="86">
        <f>VLOOKUP(A270,Database!$A:$AS,MATCH($N$1,Database!$A$1:$AS$1,0),FALSE)</f>
        <v/>
      </c>
      <c r="O270" s="86">
        <f>(((Table134567891011121314151617343[[#This Row],[USA]]-VLOOKUP($U$1,A:N,14,))/VLOOKUP($U$1,A:N,14,))*100)+100</f>
        <v/>
      </c>
      <c r="P270" s="86">
        <f>VLOOKUP(A270,Database!$A:$AS,MATCH($P$1,Database!$A$1:$AS$1,0),FALSE)</f>
        <v/>
      </c>
      <c r="Q270" s="86">
        <f>(((Table134567891011121314151617343[[#This Row],[JPN]]-VLOOKUP($U$1,A:Q,16,))/VLOOKUP($U$1,A:Q,16,))*100)+100</f>
        <v/>
      </c>
    </row>
    <row r="271" customFormat="1" s="94">
      <c r="A271" s="22" t="n">
        <v>41061</v>
      </c>
      <c r="B271" s="86">
        <f>VLOOKUP(A271,Database!$A:$AS,MATCH($B$1,Database!$A$1:$AS$1,0),FALSE)</f>
        <v/>
      </c>
      <c r="C271" s="86">
        <f>VLOOKUP(A271,Database!$A:$AS,MATCH($C$1,Database!$A$1:$AS$1,0),FALSE)</f>
        <v/>
      </c>
      <c r="D271" s="86">
        <f>VLOOKUP(A271,Database!$A:$AS,MATCH($D$1,Database!$A$1:$AS$1,0),FALSE)</f>
        <v/>
      </c>
      <c r="E271" s="86">
        <f>VLOOKUP(A271,Database!$A:$AS,MATCH($E$1,Database!$A$1:$AS$1,0),FALSE)</f>
        <v/>
      </c>
      <c r="F271" s="86">
        <f>VLOOKUP(A271,Database!$A:$AS,MATCH($F$1,Database!$A$1:$AS$1,0),FALSE)</f>
        <v/>
      </c>
      <c r="G271" s="86">
        <f>VLOOKUP(A271,Database!$A:$AS,MATCH($G$1,Database!$A$1:$AS$1,0),FALSE)</f>
        <v/>
      </c>
      <c r="H271" s="86">
        <f>(((Table134567891011121314151617343[[#This Row],[ITA]]-VLOOKUP($U$1,A:B,2,))/VLOOKUP($U$1,A:B,2,))*100)+100</f>
        <v/>
      </c>
      <c r="I271" s="86">
        <f>(((Table134567891011121314151617343[[#This Row],[FRA]]-VLOOKUP($U$1,A:C,3,))/VLOOKUP($U$1,A:C,3,))*100)+100</f>
        <v/>
      </c>
      <c r="J271" s="86">
        <f>(((Table134567891011121314151617343[[#This Row],[DEU]]-VLOOKUP($U$1,A:D,4,))/VLOOKUP($U$1,A:D,4,))*100)+100</f>
        <v/>
      </c>
      <c r="K271" s="86">
        <f>(((Table134567891011121314151617343[[#This Row],[ESP]]-VLOOKUP($U$1,A:E,5,))/VLOOKUP($U$1,A:E,5,))*100)+100</f>
        <v/>
      </c>
      <c r="L271" s="86">
        <f>(((Table134567891011121314151617343[[#This Row],[EA19]]-VLOOKUP($U$1,A:F,6,))/VLOOKUP($U$1,A:F,6,))*100)+100</f>
        <v/>
      </c>
      <c r="M271" s="86">
        <f>(((Table134567891011121314151617343[[#This Row],[GBR]]-VLOOKUP($U$1,A:G,7,))/VLOOKUP($U$1,A:G,7,))*100)+100</f>
        <v/>
      </c>
      <c r="N271" s="86">
        <f>VLOOKUP(A271,Database!$A:$AS,MATCH($N$1,Database!$A$1:$AS$1,0),FALSE)</f>
        <v/>
      </c>
      <c r="O271" s="86">
        <f>(((Table134567891011121314151617343[[#This Row],[USA]]-VLOOKUP($U$1,A:N,14,))/VLOOKUP($U$1,A:N,14,))*100)+100</f>
        <v/>
      </c>
      <c r="P271" s="86">
        <f>VLOOKUP(A271,Database!$A:$AS,MATCH($P$1,Database!$A$1:$AS$1,0),FALSE)</f>
        <v/>
      </c>
      <c r="Q271" s="86">
        <f>(((Table134567891011121314151617343[[#This Row],[JPN]]-VLOOKUP($U$1,A:Q,16,))/VLOOKUP($U$1,A:Q,16,))*100)+100</f>
        <v/>
      </c>
    </row>
    <row r="272" customFormat="1" s="94">
      <c r="A272" s="22" t="n">
        <v>41091</v>
      </c>
      <c r="B272" s="86">
        <f>VLOOKUP(A272,Database!$A:$AS,MATCH($B$1,Database!$A$1:$AS$1,0),FALSE)</f>
        <v/>
      </c>
      <c r="C272" s="86">
        <f>VLOOKUP(A272,Database!$A:$AS,MATCH($C$1,Database!$A$1:$AS$1,0),FALSE)</f>
        <v/>
      </c>
      <c r="D272" s="86">
        <f>VLOOKUP(A272,Database!$A:$AS,MATCH($D$1,Database!$A$1:$AS$1,0),FALSE)</f>
        <v/>
      </c>
      <c r="E272" s="86">
        <f>VLOOKUP(A272,Database!$A:$AS,MATCH($E$1,Database!$A$1:$AS$1,0),FALSE)</f>
        <v/>
      </c>
      <c r="F272" s="86">
        <f>VLOOKUP(A272,Database!$A:$AS,MATCH($F$1,Database!$A$1:$AS$1,0),FALSE)</f>
        <v/>
      </c>
      <c r="G272" s="86">
        <f>VLOOKUP(A272,Database!$A:$AS,MATCH($G$1,Database!$A$1:$AS$1,0),FALSE)</f>
        <v/>
      </c>
      <c r="H272" s="86">
        <f>(((Table134567891011121314151617343[[#This Row],[ITA]]-VLOOKUP($U$1,A:B,2,))/VLOOKUP($U$1,A:B,2,))*100)+100</f>
        <v/>
      </c>
      <c r="I272" s="86">
        <f>(((Table134567891011121314151617343[[#This Row],[FRA]]-VLOOKUP($U$1,A:C,3,))/VLOOKUP($U$1,A:C,3,))*100)+100</f>
        <v/>
      </c>
      <c r="J272" s="86">
        <f>(((Table134567891011121314151617343[[#This Row],[DEU]]-VLOOKUP($U$1,A:D,4,))/VLOOKUP($U$1,A:D,4,))*100)+100</f>
        <v/>
      </c>
      <c r="K272" s="86">
        <f>(((Table134567891011121314151617343[[#This Row],[ESP]]-VLOOKUP($U$1,A:E,5,))/VLOOKUP($U$1,A:E,5,))*100)+100</f>
        <v/>
      </c>
      <c r="L272" s="86">
        <f>(((Table134567891011121314151617343[[#This Row],[EA19]]-VLOOKUP($U$1,A:F,6,))/VLOOKUP($U$1,A:F,6,))*100)+100</f>
        <v/>
      </c>
      <c r="M272" s="86">
        <f>(((Table134567891011121314151617343[[#This Row],[GBR]]-VLOOKUP($U$1,A:G,7,))/VLOOKUP($U$1,A:G,7,))*100)+100</f>
        <v/>
      </c>
      <c r="N272" s="86">
        <f>VLOOKUP(A272,Database!$A:$AS,MATCH($N$1,Database!$A$1:$AS$1,0),FALSE)</f>
        <v/>
      </c>
      <c r="O272" s="86">
        <f>(((Table134567891011121314151617343[[#This Row],[USA]]-VLOOKUP($U$1,A:N,14,))/VLOOKUP($U$1,A:N,14,))*100)+100</f>
        <v/>
      </c>
      <c r="P272" s="86">
        <f>VLOOKUP(A272,Database!$A:$AS,MATCH($P$1,Database!$A$1:$AS$1,0),FALSE)</f>
        <v/>
      </c>
      <c r="Q272" s="86">
        <f>(((Table134567891011121314151617343[[#This Row],[JPN]]-VLOOKUP($U$1,A:Q,16,))/VLOOKUP($U$1,A:Q,16,))*100)+100</f>
        <v/>
      </c>
    </row>
    <row r="273" customFormat="1" s="94">
      <c r="A273" s="22" t="n">
        <v>41122</v>
      </c>
      <c r="B273" s="86">
        <f>VLOOKUP(A273,Database!$A:$AS,MATCH($B$1,Database!$A$1:$AS$1,0),FALSE)</f>
        <v/>
      </c>
      <c r="C273" s="86">
        <f>VLOOKUP(A273,Database!$A:$AS,MATCH($C$1,Database!$A$1:$AS$1,0),FALSE)</f>
        <v/>
      </c>
      <c r="D273" s="86">
        <f>VLOOKUP(A273,Database!$A:$AS,MATCH($D$1,Database!$A$1:$AS$1,0),FALSE)</f>
        <v/>
      </c>
      <c r="E273" s="86">
        <f>VLOOKUP(A273,Database!$A:$AS,MATCH($E$1,Database!$A$1:$AS$1,0),FALSE)</f>
        <v/>
      </c>
      <c r="F273" s="86">
        <f>VLOOKUP(A273,Database!$A:$AS,MATCH($F$1,Database!$A$1:$AS$1,0),FALSE)</f>
        <v/>
      </c>
      <c r="G273" s="86">
        <f>VLOOKUP(A273,Database!$A:$AS,MATCH($G$1,Database!$A$1:$AS$1,0),FALSE)</f>
        <v/>
      </c>
      <c r="H273" s="86">
        <f>(((Table134567891011121314151617343[[#This Row],[ITA]]-VLOOKUP($U$1,A:B,2,))/VLOOKUP($U$1,A:B,2,))*100)+100</f>
        <v/>
      </c>
      <c r="I273" s="86">
        <f>(((Table134567891011121314151617343[[#This Row],[FRA]]-VLOOKUP($U$1,A:C,3,))/VLOOKUP($U$1,A:C,3,))*100)+100</f>
        <v/>
      </c>
      <c r="J273" s="86">
        <f>(((Table134567891011121314151617343[[#This Row],[DEU]]-VLOOKUP($U$1,A:D,4,))/VLOOKUP($U$1,A:D,4,))*100)+100</f>
        <v/>
      </c>
      <c r="K273" s="86">
        <f>(((Table134567891011121314151617343[[#This Row],[ESP]]-VLOOKUP($U$1,A:E,5,))/VLOOKUP($U$1,A:E,5,))*100)+100</f>
        <v/>
      </c>
      <c r="L273" s="86">
        <f>(((Table134567891011121314151617343[[#This Row],[EA19]]-VLOOKUP($U$1,A:F,6,))/VLOOKUP($U$1,A:F,6,))*100)+100</f>
        <v/>
      </c>
      <c r="M273" s="86">
        <f>(((Table134567891011121314151617343[[#This Row],[GBR]]-VLOOKUP($U$1,A:G,7,))/VLOOKUP($U$1,A:G,7,))*100)+100</f>
        <v/>
      </c>
      <c r="N273" s="86">
        <f>VLOOKUP(A273,Database!$A:$AS,MATCH($N$1,Database!$A$1:$AS$1,0),FALSE)</f>
        <v/>
      </c>
      <c r="O273" s="86">
        <f>(((Table134567891011121314151617343[[#This Row],[USA]]-VLOOKUP($U$1,A:N,14,))/VLOOKUP($U$1,A:N,14,))*100)+100</f>
        <v/>
      </c>
      <c r="P273" s="86">
        <f>VLOOKUP(A273,Database!$A:$AS,MATCH($P$1,Database!$A$1:$AS$1,0),FALSE)</f>
        <v/>
      </c>
      <c r="Q273" s="86">
        <f>(((Table134567891011121314151617343[[#This Row],[JPN]]-VLOOKUP($U$1,A:Q,16,))/VLOOKUP($U$1,A:Q,16,))*100)+100</f>
        <v/>
      </c>
    </row>
    <row r="274" customFormat="1" s="94">
      <c r="A274" s="22" t="n">
        <v>41153</v>
      </c>
      <c r="B274" s="86">
        <f>VLOOKUP(A274,Database!$A:$AS,MATCH($B$1,Database!$A$1:$AS$1,0),FALSE)</f>
        <v/>
      </c>
      <c r="C274" s="86">
        <f>VLOOKUP(A274,Database!$A:$AS,MATCH($C$1,Database!$A$1:$AS$1,0),FALSE)</f>
        <v/>
      </c>
      <c r="D274" s="86">
        <f>VLOOKUP(A274,Database!$A:$AS,MATCH($D$1,Database!$A$1:$AS$1,0),FALSE)</f>
        <v/>
      </c>
      <c r="E274" s="86">
        <f>VLOOKUP(A274,Database!$A:$AS,MATCH($E$1,Database!$A$1:$AS$1,0),FALSE)</f>
        <v/>
      </c>
      <c r="F274" s="86">
        <f>VLOOKUP(A274,Database!$A:$AS,MATCH($F$1,Database!$A$1:$AS$1,0),FALSE)</f>
        <v/>
      </c>
      <c r="G274" s="86">
        <f>VLOOKUP(A274,Database!$A:$AS,MATCH($G$1,Database!$A$1:$AS$1,0),FALSE)</f>
        <v/>
      </c>
      <c r="H274" s="86">
        <f>(((Table134567891011121314151617343[[#This Row],[ITA]]-VLOOKUP($U$1,A:B,2,))/VLOOKUP($U$1,A:B,2,))*100)+100</f>
        <v/>
      </c>
      <c r="I274" s="86">
        <f>(((Table134567891011121314151617343[[#This Row],[FRA]]-VLOOKUP($U$1,A:C,3,))/VLOOKUP($U$1,A:C,3,))*100)+100</f>
        <v/>
      </c>
      <c r="J274" s="86">
        <f>(((Table134567891011121314151617343[[#This Row],[DEU]]-VLOOKUP($U$1,A:D,4,))/VLOOKUP($U$1,A:D,4,))*100)+100</f>
        <v/>
      </c>
      <c r="K274" s="86">
        <f>(((Table134567891011121314151617343[[#This Row],[ESP]]-VLOOKUP($U$1,A:E,5,))/VLOOKUP($U$1,A:E,5,))*100)+100</f>
        <v/>
      </c>
      <c r="L274" s="86">
        <f>(((Table134567891011121314151617343[[#This Row],[EA19]]-VLOOKUP($U$1,A:F,6,))/VLOOKUP($U$1,A:F,6,))*100)+100</f>
        <v/>
      </c>
      <c r="M274" s="86">
        <f>(((Table134567891011121314151617343[[#This Row],[GBR]]-VLOOKUP($U$1,A:G,7,))/VLOOKUP($U$1,A:G,7,))*100)+100</f>
        <v/>
      </c>
      <c r="N274" s="86">
        <f>VLOOKUP(A274,Database!$A:$AS,MATCH($N$1,Database!$A$1:$AS$1,0),FALSE)</f>
        <v/>
      </c>
      <c r="O274" s="86">
        <f>(((Table134567891011121314151617343[[#This Row],[USA]]-VLOOKUP($U$1,A:N,14,))/VLOOKUP($U$1,A:N,14,))*100)+100</f>
        <v/>
      </c>
      <c r="P274" s="86">
        <f>VLOOKUP(A274,Database!$A:$AS,MATCH($P$1,Database!$A$1:$AS$1,0),FALSE)</f>
        <v/>
      </c>
      <c r="Q274" s="86">
        <f>(((Table134567891011121314151617343[[#This Row],[JPN]]-VLOOKUP($U$1,A:Q,16,))/VLOOKUP($U$1,A:Q,16,))*100)+100</f>
        <v/>
      </c>
    </row>
    <row r="275" customFormat="1" s="94">
      <c r="A275" s="22" t="n">
        <v>41183</v>
      </c>
      <c r="B275" s="86">
        <f>VLOOKUP(A275,Database!$A:$AS,MATCH($B$1,Database!$A$1:$AS$1,0),FALSE)</f>
        <v/>
      </c>
      <c r="C275" s="86">
        <f>VLOOKUP(A275,Database!$A:$AS,MATCH($C$1,Database!$A$1:$AS$1,0),FALSE)</f>
        <v/>
      </c>
      <c r="D275" s="86">
        <f>VLOOKUP(A275,Database!$A:$AS,MATCH($D$1,Database!$A$1:$AS$1,0),FALSE)</f>
        <v/>
      </c>
      <c r="E275" s="86">
        <f>VLOOKUP(A275,Database!$A:$AS,MATCH($E$1,Database!$A$1:$AS$1,0),FALSE)</f>
        <v/>
      </c>
      <c r="F275" s="86">
        <f>VLOOKUP(A275,Database!$A:$AS,MATCH($F$1,Database!$A$1:$AS$1,0),FALSE)</f>
        <v/>
      </c>
      <c r="G275" s="86">
        <f>VLOOKUP(A275,Database!$A:$AS,MATCH($G$1,Database!$A$1:$AS$1,0),FALSE)</f>
        <v/>
      </c>
      <c r="H275" s="86">
        <f>(((Table134567891011121314151617343[[#This Row],[ITA]]-VLOOKUP($U$1,A:B,2,))/VLOOKUP($U$1,A:B,2,))*100)+100</f>
        <v/>
      </c>
      <c r="I275" s="86">
        <f>(((Table134567891011121314151617343[[#This Row],[FRA]]-VLOOKUP($U$1,A:C,3,))/VLOOKUP($U$1,A:C,3,))*100)+100</f>
        <v/>
      </c>
      <c r="J275" s="86">
        <f>(((Table134567891011121314151617343[[#This Row],[DEU]]-VLOOKUP($U$1,A:D,4,))/VLOOKUP($U$1,A:D,4,))*100)+100</f>
        <v/>
      </c>
      <c r="K275" s="86">
        <f>(((Table134567891011121314151617343[[#This Row],[ESP]]-VLOOKUP($U$1,A:E,5,))/VLOOKUP($U$1,A:E,5,))*100)+100</f>
        <v/>
      </c>
      <c r="L275" s="86">
        <f>(((Table134567891011121314151617343[[#This Row],[EA19]]-VLOOKUP($U$1,A:F,6,))/VLOOKUP($U$1,A:F,6,))*100)+100</f>
        <v/>
      </c>
      <c r="M275" s="86">
        <f>(((Table134567891011121314151617343[[#This Row],[GBR]]-VLOOKUP($U$1,A:G,7,))/VLOOKUP($U$1,A:G,7,))*100)+100</f>
        <v/>
      </c>
      <c r="N275" s="86">
        <f>VLOOKUP(A275,Database!$A:$AS,MATCH($N$1,Database!$A$1:$AS$1,0),FALSE)</f>
        <v/>
      </c>
      <c r="O275" s="86">
        <f>(((Table134567891011121314151617343[[#This Row],[USA]]-VLOOKUP($U$1,A:N,14,))/VLOOKUP($U$1,A:N,14,))*100)+100</f>
        <v/>
      </c>
      <c r="P275" s="86">
        <f>VLOOKUP(A275,Database!$A:$AS,MATCH($P$1,Database!$A$1:$AS$1,0),FALSE)</f>
        <v/>
      </c>
      <c r="Q275" s="86">
        <f>(((Table134567891011121314151617343[[#This Row],[JPN]]-VLOOKUP($U$1,A:Q,16,))/VLOOKUP($U$1,A:Q,16,))*100)+100</f>
        <v/>
      </c>
    </row>
    <row r="276" customFormat="1" s="94">
      <c r="A276" s="22" t="n">
        <v>41214</v>
      </c>
      <c r="B276" s="86">
        <f>VLOOKUP(A276,Database!$A:$AS,MATCH($B$1,Database!$A$1:$AS$1,0),FALSE)</f>
        <v/>
      </c>
      <c r="C276" s="86">
        <f>VLOOKUP(A276,Database!$A:$AS,MATCH($C$1,Database!$A$1:$AS$1,0),FALSE)</f>
        <v/>
      </c>
      <c r="D276" s="86">
        <f>VLOOKUP(A276,Database!$A:$AS,MATCH($D$1,Database!$A$1:$AS$1,0),FALSE)</f>
        <v/>
      </c>
      <c r="E276" s="86">
        <f>VLOOKUP(A276,Database!$A:$AS,MATCH($E$1,Database!$A$1:$AS$1,0),FALSE)</f>
        <v/>
      </c>
      <c r="F276" s="86">
        <f>VLOOKUP(A276,Database!$A:$AS,MATCH($F$1,Database!$A$1:$AS$1,0),FALSE)</f>
        <v/>
      </c>
      <c r="G276" s="86">
        <f>VLOOKUP(A276,Database!$A:$AS,MATCH($G$1,Database!$A$1:$AS$1,0),FALSE)</f>
        <v/>
      </c>
      <c r="H276" s="86">
        <f>(((Table134567891011121314151617343[[#This Row],[ITA]]-VLOOKUP($U$1,A:B,2,))/VLOOKUP($U$1,A:B,2,))*100)+100</f>
        <v/>
      </c>
      <c r="I276" s="86">
        <f>(((Table134567891011121314151617343[[#This Row],[FRA]]-VLOOKUP($U$1,A:C,3,))/VLOOKUP($U$1,A:C,3,))*100)+100</f>
        <v/>
      </c>
      <c r="J276" s="86">
        <f>(((Table134567891011121314151617343[[#This Row],[DEU]]-VLOOKUP($U$1,A:D,4,))/VLOOKUP($U$1,A:D,4,))*100)+100</f>
        <v/>
      </c>
      <c r="K276" s="86">
        <f>(((Table134567891011121314151617343[[#This Row],[ESP]]-VLOOKUP($U$1,A:E,5,))/VLOOKUP($U$1,A:E,5,))*100)+100</f>
        <v/>
      </c>
      <c r="L276" s="86">
        <f>(((Table134567891011121314151617343[[#This Row],[EA19]]-VLOOKUP($U$1,A:F,6,))/VLOOKUP($U$1,A:F,6,))*100)+100</f>
        <v/>
      </c>
      <c r="M276" s="86">
        <f>(((Table134567891011121314151617343[[#This Row],[GBR]]-VLOOKUP($U$1,A:G,7,))/VLOOKUP($U$1,A:G,7,))*100)+100</f>
        <v/>
      </c>
      <c r="N276" s="86">
        <f>VLOOKUP(A276,Database!$A:$AS,MATCH($N$1,Database!$A$1:$AS$1,0),FALSE)</f>
        <v/>
      </c>
      <c r="O276" s="86">
        <f>(((Table134567891011121314151617343[[#This Row],[USA]]-VLOOKUP($U$1,A:N,14,))/VLOOKUP($U$1,A:N,14,))*100)+100</f>
        <v/>
      </c>
      <c r="P276" s="86">
        <f>VLOOKUP(A276,Database!$A:$AS,MATCH($P$1,Database!$A$1:$AS$1,0),FALSE)</f>
        <v/>
      </c>
      <c r="Q276" s="86">
        <f>(((Table134567891011121314151617343[[#This Row],[JPN]]-VLOOKUP($U$1,A:Q,16,))/VLOOKUP($U$1,A:Q,16,))*100)+100</f>
        <v/>
      </c>
    </row>
    <row r="277" customFormat="1" s="94">
      <c r="A277" s="22" t="n">
        <v>41244</v>
      </c>
      <c r="B277" s="86">
        <f>VLOOKUP(A277,Database!$A:$AS,MATCH($B$1,Database!$A$1:$AS$1,0),FALSE)</f>
        <v/>
      </c>
      <c r="C277" s="86">
        <f>VLOOKUP(A277,Database!$A:$AS,MATCH($C$1,Database!$A$1:$AS$1,0),FALSE)</f>
        <v/>
      </c>
      <c r="D277" s="86">
        <f>VLOOKUP(A277,Database!$A:$AS,MATCH($D$1,Database!$A$1:$AS$1,0),FALSE)</f>
        <v/>
      </c>
      <c r="E277" s="86">
        <f>VLOOKUP(A277,Database!$A:$AS,MATCH($E$1,Database!$A$1:$AS$1,0),FALSE)</f>
        <v/>
      </c>
      <c r="F277" s="86">
        <f>VLOOKUP(A277,Database!$A:$AS,MATCH($F$1,Database!$A$1:$AS$1,0),FALSE)</f>
        <v/>
      </c>
      <c r="G277" s="86">
        <f>VLOOKUP(A277,Database!$A:$AS,MATCH($G$1,Database!$A$1:$AS$1,0),FALSE)</f>
        <v/>
      </c>
      <c r="H277" s="86">
        <f>(((Table134567891011121314151617343[[#This Row],[ITA]]-VLOOKUP($U$1,A:B,2,))/VLOOKUP($U$1,A:B,2,))*100)+100</f>
        <v/>
      </c>
      <c r="I277" s="86">
        <f>(((Table134567891011121314151617343[[#This Row],[FRA]]-VLOOKUP($U$1,A:C,3,))/VLOOKUP($U$1,A:C,3,))*100)+100</f>
        <v/>
      </c>
      <c r="J277" s="86">
        <f>(((Table134567891011121314151617343[[#This Row],[DEU]]-VLOOKUP($U$1,A:D,4,))/VLOOKUP($U$1,A:D,4,))*100)+100</f>
        <v/>
      </c>
      <c r="K277" s="86">
        <f>(((Table134567891011121314151617343[[#This Row],[ESP]]-VLOOKUP($U$1,A:E,5,))/VLOOKUP($U$1,A:E,5,))*100)+100</f>
        <v/>
      </c>
      <c r="L277" s="86">
        <f>(((Table134567891011121314151617343[[#This Row],[EA19]]-VLOOKUP($U$1,A:F,6,))/VLOOKUP($U$1,A:F,6,))*100)+100</f>
        <v/>
      </c>
      <c r="M277" s="86">
        <f>(((Table134567891011121314151617343[[#This Row],[GBR]]-VLOOKUP($U$1,A:G,7,))/VLOOKUP($U$1,A:G,7,))*100)+100</f>
        <v/>
      </c>
      <c r="N277" s="86">
        <f>VLOOKUP(A277,Database!$A:$AS,MATCH($N$1,Database!$A$1:$AS$1,0),FALSE)</f>
        <v/>
      </c>
      <c r="O277" s="86">
        <f>(((Table134567891011121314151617343[[#This Row],[USA]]-VLOOKUP($U$1,A:N,14,))/VLOOKUP($U$1,A:N,14,))*100)+100</f>
        <v/>
      </c>
      <c r="P277" s="86">
        <f>VLOOKUP(A277,Database!$A:$AS,MATCH($P$1,Database!$A$1:$AS$1,0),FALSE)</f>
        <v/>
      </c>
      <c r="Q277" s="86">
        <f>(((Table134567891011121314151617343[[#This Row],[JPN]]-VLOOKUP($U$1,A:Q,16,))/VLOOKUP($U$1,A:Q,16,))*100)+100</f>
        <v/>
      </c>
    </row>
    <row r="278" customFormat="1" s="94">
      <c r="A278" s="22" t="n">
        <v>41275</v>
      </c>
      <c r="B278" s="86">
        <f>VLOOKUP(A278,Database!$A:$AS,MATCH($B$1,Database!$A$1:$AS$1,0),FALSE)</f>
        <v/>
      </c>
      <c r="C278" s="86">
        <f>VLOOKUP(A278,Database!$A:$AS,MATCH($C$1,Database!$A$1:$AS$1,0),FALSE)</f>
        <v/>
      </c>
      <c r="D278" s="86">
        <f>VLOOKUP(A278,Database!$A:$AS,MATCH($D$1,Database!$A$1:$AS$1,0),FALSE)</f>
        <v/>
      </c>
      <c r="E278" s="86">
        <f>VLOOKUP(A278,Database!$A:$AS,MATCH($E$1,Database!$A$1:$AS$1,0),FALSE)</f>
        <v/>
      </c>
      <c r="F278" s="86">
        <f>VLOOKUP(A278,Database!$A:$AS,MATCH($F$1,Database!$A$1:$AS$1,0),FALSE)</f>
        <v/>
      </c>
      <c r="G278" s="86">
        <f>VLOOKUP(A278,Database!$A:$AS,MATCH($G$1,Database!$A$1:$AS$1,0),FALSE)</f>
        <v/>
      </c>
      <c r="H278" s="86">
        <f>(((Table134567891011121314151617343[[#This Row],[ITA]]-VLOOKUP($U$1,A:B,2,))/VLOOKUP($U$1,A:B,2,))*100)+100</f>
        <v/>
      </c>
      <c r="I278" s="86">
        <f>(((Table134567891011121314151617343[[#This Row],[FRA]]-VLOOKUP($U$1,A:C,3,))/VLOOKUP($U$1,A:C,3,))*100)+100</f>
        <v/>
      </c>
      <c r="J278" s="86">
        <f>(((Table134567891011121314151617343[[#This Row],[DEU]]-VLOOKUP($U$1,A:D,4,))/VLOOKUP($U$1,A:D,4,))*100)+100</f>
        <v/>
      </c>
      <c r="K278" s="86">
        <f>(((Table134567891011121314151617343[[#This Row],[ESP]]-VLOOKUP($U$1,A:E,5,))/VLOOKUP($U$1,A:E,5,))*100)+100</f>
        <v/>
      </c>
      <c r="L278" s="86">
        <f>(((Table134567891011121314151617343[[#This Row],[EA19]]-VLOOKUP($U$1,A:F,6,))/VLOOKUP($U$1,A:F,6,))*100)+100</f>
        <v/>
      </c>
      <c r="M278" s="86">
        <f>(((Table134567891011121314151617343[[#This Row],[GBR]]-VLOOKUP($U$1,A:G,7,))/VLOOKUP($U$1,A:G,7,))*100)+100</f>
        <v/>
      </c>
      <c r="N278" s="86">
        <f>VLOOKUP(A278,Database!$A:$AS,MATCH($N$1,Database!$A$1:$AS$1,0),FALSE)</f>
        <v/>
      </c>
      <c r="O278" s="86">
        <f>(((Table134567891011121314151617343[[#This Row],[USA]]-VLOOKUP($U$1,A:N,14,))/VLOOKUP($U$1,A:N,14,))*100)+100</f>
        <v/>
      </c>
      <c r="P278" s="86">
        <f>VLOOKUP(A278,Database!$A:$AS,MATCH($P$1,Database!$A$1:$AS$1,0),FALSE)</f>
        <v/>
      </c>
      <c r="Q278" s="86">
        <f>(((Table134567891011121314151617343[[#This Row],[JPN]]-VLOOKUP($U$1,A:Q,16,))/VLOOKUP($U$1,A:Q,16,))*100)+100</f>
        <v/>
      </c>
    </row>
    <row r="279" customFormat="1" s="94">
      <c r="A279" s="22" t="n">
        <v>41306</v>
      </c>
      <c r="B279" s="86">
        <f>VLOOKUP(A279,Database!$A:$AS,MATCH($B$1,Database!$A$1:$AS$1,0),FALSE)</f>
        <v/>
      </c>
      <c r="C279" s="86">
        <f>VLOOKUP(A279,Database!$A:$AS,MATCH($C$1,Database!$A$1:$AS$1,0),FALSE)</f>
        <v/>
      </c>
      <c r="D279" s="86">
        <f>VLOOKUP(A279,Database!$A:$AS,MATCH($D$1,Database!$A$1:$AS$1,0),FALSE)</f>
        <v/>
      </c>
      <c r="E279" s="86">
        <f>VLOOKUP(A279,Database!$A:$AS,MATCH($E$1,Database!$A$1:$AS$1,0),FALSE)</f>
        <v/>
      </c>
      <c r="F279" s="86">
        <f>VLOOKUP(A279,Database!$A:$AS,MATCH($F$1,Database!$A$1:$AS$1,0),FALSE)</f>
        <v/>
      </c>
      <c r="G279" s="86">
        <f>VLOOKUP(A279,Database!$A:$AS,MATCH($G$1,Database!$A$1:$AS$1,0),FALSE)</f>
        <v/>
      </c>
      <c r="H279" s="86">
        <f>(((Table134567891011121314151617343[[#This Row],[ITA]]-VLOOKUP($U$1,A:B,2,))/VLOOKUP($U$1,A:B,2,))*100)+100</f>
        <v/>
      </c>
      <c r="I279" s="86">
        <f>(((Table134567891011121314151617343[[#This Row],[FRA]]-VLOOKUP($U$1,A:C,3,))/VLOOKUP($U$1,A:C,3,))*100)+100</f>
        <v/>
      </c>
      <c r="J279" s="86">
        <f>(((Table134567891011121314151617343[[#This Row],[DEU]]-VLOOKUP($U$1,A:D,4,))/VLOOKUP($U$1,A:D,4,))*100)+100</f>
        <v/>
      </c>
      <c r="K279" s="86">
        <f>(((Table134567891011121314151617343[[#This Row],[ESP]]-VLOOKUP($U$1,A:E,5,))/VLOOKUP($U$1,A:E,5,))*100)+100</f>
        <v/>
      </c>
      <c r="L279" s="86">
        <f>(((Table134567891011121314151617343[[#This Row],[EA19]]-VLOOKUP($U$1,A:F,6,))/VLOOKUP($U$1,A:F,6,))*100)+100</f>
        <v/>
      </c>
      <c r="M279" s="86">
        <f>(((Table134567891011121314151617343[[#This Row],[GBR]]-VLOOKUP($U$1,A:G,7,))/VLOOKUP($U$1,A:G,7,))*100)+100</f>
        <v/>
      </c>
      <c r="N279" s="86">
        <f>VLOOKUP(A279,Database!$A:$AS,MATCH($N$1,Database!$A$1:$AS$1,0),FALSE)</f>
        <v/>
      </c>
      <c r="O279" s="86">
        <f>(((Table134567891011121314151617343[[#This Row],[USA]]-VLOOKUP($U$1,A:N,14,))/VLOOKUP($U$1,A:N,14,))*100)+100</f>
        <v/>
      </c>
      <c r="P279" s="86">
        <f>VLOOKUP(A279,Database!$A:$AS,MATCH($P$1,Database!$A$1:$AS$1,0),FALSE)</f>
        <v/>
      </c>
      <c r="Q279" s="86">
        <f>(((Table134567891011121314151617343[[#This Row],[JPN]]-VLOOKUP($U$1,A:Q,16,))/VLOOKUP($U$1,A:Q,16,))*100)+100</f>
        <v/>
      </c>
    </row>
    <row r="280" customFormat="1" s="94">
      <c r="A280" s="22" t="n">
        <v>41334</v>
      </c>
      <c r="B280" s="86">
        <f>VLOOKUP(A280,Database!$A:$AS,MATCH($B$1,Database!$A$1:$AS$1,0),FALSE)</f>
        <v/>
      </c>
      <c r="C280" s="86">
        <f>VLOOKUP(A280,Database!$A:$AS,MATCH($C$1,Database!$A$1:$AS$1,0),FALSE)</f>
        <v/>
      </c>
      <c r="D280" s="86">
        <f>VLOOKUP(A280,Database!$A:$AS,MATCH($D$1,Database!$A$1:$AS$1,0),FALSE)</f>
        <v/>
      </c>
      <c r="E280" s="86">
        <f>VLOOKUP(A280,Database!$A:$AS,MATCH($E$1,Database!$A$1:$AS$1,0),FALSE)</f>
        <v/>
      </c>
      <c r="F280" s="86">
        <f>VLOOKUP(A280,Database!$A:$AS,MATCH($F$1,Database!$A$1:$AS$1,0),FALSE)</f>
        <v/>
      </c>
      <c r="G280" s="86">
        <f>VLOOKUP(A280,Database!$A:$AS,MATCH($G$1,Database!$A$1:$AS$1,0),FALSE)</f>
        <v/>
      </c>
      <c r="H280" s="86">
        <f>(((Table134567891011121314151617343[[#This Row],[ITA]]-VLOOKUP($U$1,A:B,2,))/VLOOKUP($U$1,A:B,2,))*100)+100</f>
        <v/>
      </c>
      <c r="I280" s="86">
        <f>(((Table134567891011121314151617343[[#This Row],[FRA]]-VLOOKUP($U$1,A:C,3,))/VLOOKUP($U$1,A:C,3,))*100)+100</f>
        <v/>
      </c>
      <c r="J280" s="86">
        <f>(((Table134567891011121314151617343[[#This Row],[DEU]]-VLOOKUP($U$1,A:D,4,))/VLOOKUP($U$1,A:D,4,))*100)+100</f>
        <v/>
      </c>
      <c r="K280" s="86">
        <f>(((Table134567891011121314151617343[[#This Row],[ESP]]-VLOOKUP($U$1,A:E,5,))/VLOOKUP($U$1,A:E,5,))*100)+100</f>
        <v/>
      </c>
      <c r="L280" s="86">
        <f>(((Table134567891011121314151617343[[#This Row],[EA19]]-VLOOKUP($U$1,A:F,6,))/VLOOKUP($U$1,A:F,6,))*100)+100</f>
        <v/>
      </c>
      <c r="M280" s="86">
        <f>(((Table134567891011121314151617343[[#This Row],[GBR]]-VLOOKUP($U$1,A:G,7,))/VLOOKUP($U$1,A:G,7,))*100)+100</f>
        <v/>
      </c>
      <c r="N280" s="86">
        <f>VLOOKUP(A280,Database!$A:$AS,MATCH($N$1,Database!$A$1:$AS$1,0),FALSE)</f>
        <v/>
      </c>
      <c r="O280" s="86">
        <f>(((Table134567891011121314151617343[[#This Row],[USA]]-VLOOKUP($U$1,A:N,14,))/VLOOKUP($U$1,A:N,14,))*100)+100</f>
        <v/>
      </c>
      <c r="P280" s="86">
        <f>VLOOKUP(A280,Database!$A:$AS,MATCH($P$1,Database!$A$1:$AS$1,0),FALSE)</f>
        <v/>
      </c>
      <c r="Q280" s="86">
        <f>(((Table134567891011121314151617343[[#This Row],[JPN]]-VLOOKUP($U$1,A:Q,16,))/VLOOKUP($U$1,A:Q,16,))*100)+100</f>
        <v/>
      </c>
    </row>
    <row r="281" customFormat="1" s="94">
      <c r="A281" s="22" t="n">
        <v>41365</v>
      </c>
      <c r="B281" s="86">
        <f>VLOOKUP(A281,Database!$A:$AS,MATCH($B$1,Database!$A$1:$AS$1,0),FALSE)</f>
        <v/>
      </c>
      <c r="C281" s="86">
        <f>VLOOKUP(A281,Database!$A:$AS,MATCH($C$1,Database!$A$1:$AS$1,0),FALSE)</f>
        <v/>
      </c>
      <c r="D281" s="86">
        <f>VLOOKUP(A281,Database!$A:$AS,MATCH($D$1,Database!$A$1:$AS$1,0),FALSE)</f>
        <v/>
      </c>
      <c r="E281" s="86">
        <f>VLOOKUP(A281,Database!$A:$AS,MATCH($E$1,Database!$A$1:$AS$1,0),FALSE)</f>
        <v/>
      </c>
      <c r="F281" s="86">
        <f>VLOOKUP(A281,Database!$A:$AS,MATCH($F$1,Database!$A$1:$AS$1,0),FALSE)</f>
        <v/>
      </c>
      <c r="G281" s="86">
        <f>VLOOKUP(A281,Database!$A:$AS,MATCH($G$1,Database!$A$1:$AS$1,0),FALSE)</f>
        <v/>
      </c>
      <c r="H281" s="86">
        <f>(((Table134567891011121314151617343[[#This Row],[ITA]]-VLOOKUP($U$1,A:B,2,))/VLOOKUP($U$1,A:B,2,))*100)+100</f>
        <v/>
      </c>
      <c r="I281" s="86">
        <f>(((Table134567891011121314151617343[[#This Row],[FRA]]-VLOOKUP($U$1,A:C,3,))/VLOOKUP($U$1,A:C,3,))*100)+100</f>
        <v/>
      </c>
      <c r="J281" s="86">
        <f>(((Table134567891011121314151617343[[#This Row],[DEU]]-VLOOKUP($U$1,A:D,4,))/VLOOKUP($U$1,A:D,4,))*100)+100</f>
        <v/>
      </c>
      <c r="K281" s="86">
        <f>(((Table134567891011121314151617343[[#This Row],[ESP]]-VLOOKUP($U$1,A:E,5,))/VLOOKUP($U$1,A:E,5,))*100)+100</f>
        <v/>
      </c>
      <c r="L281" s="86">
        <f>(((Table134567891011121314151617343[[#This Row],[EA19]]-VLOOKUP($U$1,A:F,6,))/VLOOKUP($U$1,A:F,6,))*100)+100</f>
        <v/>
      </c>
      <c r="M281" s="86">
        <f>(((Table134567891011121314151617343[[#This Row],[GBR]]-VLOOKUP($U$1,A:G,7,))/VLOOKUP($U$1,A:G,7,))*100)+100</f>
        <v/>
      </c>
      <c r="N281" s="86">
        <f>VLOOKUP(A281,Database!$A:$AS,MATCH($N$1,Database!$A$1:$AS$1,0),FALSE)</f>
        <v/>
      </c>
      <c r="O281" s="86">
        <f>(((Table134567891011121314151617343[[#This Row],[USA]]-VLOOKUP($U$1,A:N,14,))/VLOOKUP($U$1,A:N,14,))*100)+100</f>
        <v/>
      </c>
      <c r="P281" s="86">
        <f>VLOOKUP(A281,Database!$A:$AS,MATCH($P$1,Database!$A$1:$AS$1,0),FALSE)</f>
        <v/>
      </c>
      <c r="Q281" s="86">
        <f>(((Table134567891011121314151617343[[#This Row],[JPN]]-VLOOKUP($U$1,A:Q,16,))/VLOOKUP($U$1,A:Q,16,))*100)+100</f>
        <v/>
      </c>
    </row>
    <row r="282" customFormat="1" s="94">
      <c r="A282" s="22" t="n">
        <v>41395</v>
      </c>
      <c r="B282" s="86">
        <f>VLOOKUP(A282,Database!$A:$AS,MATCH($B$1,Database!$A$1:$AS$1,0),FALSE)</f>
        <v/>
      </c>
      <c r="C282" s="86">
        <f>VLOOKUP(A282,Database!$A:$AS,MATCH($C$1,Database!$A$1:$AS$1,0),FALSE)</f>
        <v/>
      </c>
      <c r="D282" s="86">
        <f>VLOOKUP(A282,Database!$A:$AS,MATCH($D$1,Database!$A$1:$AS$1,0),FALSE)</f>
        <v/>
      </c>
      <c r="E282" s="86">
        <f>VLOOKUP(A282,Database!$A:$AS,MATCH($E$1,Database!$A$1:$AS$1,0),FALSE)</f>
        <v/>
      </c>
      <c r="F282" s="86">
        <f>VLOOKUP(A282,Database!$A:$AS,MATCH($F$1,Database!$A$1:$AS$1,0),FALSE)</f>
        <v/>
      </c>
      <c r="G282" s="86">
        <f>VLOOKUP(A282,Database!$A:$AS,MATCH($G$1,Database!$A$1:$AS$1,0),FALSE)</f>
        <v/>
      </c>
      <c r="H282" s="86">
        <f>(((Table134567891011121314151617343[[#This Row],[ITA]]-VLOOKUP($U$1,A:B,2,))/VLOOKUP($U$1,A:B,2,))*100)+100</f>
        <v/>
      </c>
      <c r="I282" s="86">
        <f>(((Table134567891011121314151617343[[#This Row],[FRA]]-VLOOKUP($U$1,A:C,3,))/VLOOKUP($U$1,A:C,3,))*100)+100</f>
        <v/>
      </c>
      <c r="J282" s="86">
        <f>(((Table134567891011121314151617343[[#This Row],[DEU]]-VLOOKUP($U$1,A:D,4,))/VLOOKUP($U$1,A:D,4,))*100)+100</f>
        <v/>
      </c>
      <c r="K282" s="86">
        <f>(((Table134567891011121314151617343[[#This Row],[ESP]]-VLOOKUP($U$1,A:E,5,))/VLOOKUP($U$1,A:E,5,))*100)+100</f>
        <v/>
      </c>
      <c r="L282" s="86">
        <f>(((Table134567891011121314151617343[[#This Row],[EA19]]-VLOOKUP($U$1,A:F,6,))/VLOOKUP($U$1,A:F,6,))*100)+100</f>
        <v/>
      </c>
      <c r="M282" s="86">
        <f>(((Table134567891011121314151617343[[#This Row],[GBR]]-VLOOKUP($U$1,A:G,7,))/VLOOKUP($U$1,A:G,7,))*100)+100</f>
        <v/>
      </c>
      <c r="N282" s="86">
        <f>VLOOKUP(A282,Database!$A:$AS,MATCH($N$1,Database!$A$1:$AS$1,0),FALSE)</f>
        <v/>
      </c>
      <c r="O282" s="86">
        <f>(((Table134567891011121314151617343[[#This Row],[USA]]-VLOOKUP($U$1,A:N,14,))/VLOOKUP($U$1,A:N,14,))*100)+100</f>
        <v/>
      </c>
      <c r="P282" s="86">
        <f>VLOOKUP(A282,Database!$A:$AS,MATCH($P$1,Database!$A$1:$AS$1,0),FALSE)</f>
        <v/>
      </c>
      <c r="Q282" s="86">
        <f>(((Table134567891011121314151617343[[#This Row],[JPN]]-VLOOKUP($U$1,A:Q,16,))/VLOOKUP($U$1,A:Q,16,))*100)+100</f>
        <v/>
      </c>
    </row>
    <row r="283" customFormat="1" s="94">
      <c r="A283" s="22" t="n">
        <v>41426</v>
      </c>
      <c r="B283" s="86">
        <f>VLOOKUP(A283,Database!$A:$AS,MATCH($B$1,Database!$A$1:$AS$1,0),FALSE)</f>
        <v/>
      </c>
      <c r="C283" s="86">
        <f>VLOOKUP(A283,Database!$A:$AS,MATCH($C$1,Database!$A$1:$AS$1,0),FALSE)</f>
        <v/>
      </c>
      <c r="D283" s="86">
        <f>VLOOKUP(A283,Database!$A:$AS,MATCH($D$1,Database!$A$1:$AS$1,0),FALSE)</f>
        <v/>
      </c>
      <c r="E283" s="86">
        <f>VLOOKUP(A283,Database!$A:$AS,MATCH($E$1,Database!$A$1:$AS$1,0),FALSE)</f>
        <v/>
      </c>
      <c r="F283" s="86">
        <f>VLOOKUP(A283,Database!$A:$AS,MATCH($F$1,Database!$A$1:$AS$1,0),FALSE)</f>
        <v/>
      </c>
      <c r="G283" s="86">
        <f>VLOOKUP(A283,Database!$A:$AS,MATCH($G$1,Database!$A$1:$AS$1,0),FALSE)</f>
        <v/>
      </c>
      <c r="H283" s="86">
        <f>(((Table134567891011121314151617343[[#This Row],[ITA]]-VLOOKUP($U$1,A:B,2,))/VLOOKUP($U$1,A:B,2,))*100)+100</f>
        <v/>
      </c>
      <c r="I283" s="86">
        <f>(((Table134567891011121314151617343[[#This Row],[FRA]]-VLOOKUP($U$1,A:C,3,))/VLOOKUP($U$1,A:C,3,))*100)+100</f>
        <v/>
      </c>
      <c r="J283" s="86">
        <f>(((Table134567891011121314151617343[[#This Row],[DEU]]-VLOOKUP($U$1,A:D,4,))/VLOOKUP($U$1,A:D,4,))*100)+100</f>
        <v/>
      </c>
      <c r="K283" s="86">
        <f>(((Table134567891011121314151617343[[#This Row],[ESP]]-VLOOKUP($U$1,A:E,5,))/VLOOKUP($U$1,A:E,5,))*100)+100</f>
        <v/>
      </c>
      <c r="L283" s="86">
        <f>(((Table134567891011121314151617343[[#This Row],[EA19]]-VLOOKUP($U$1,A:F,6,))/VLOOKUP($U$1,A:F,6,))*100)+100</f>
        <v/>
      </c>
      <c r="M283" s="86">
        <f>(((Table134567891011121314151617343[[#This Row],[GBR]]-VLOOKUP($U$1,A:G,7,))/VLOOKUP($U$1,A:G,7,))*100)+100</f>
        <v/>
      </c>
      <c r="N283" s="86">
        <f>VLOOKUP(A283,Database!$A:$AS,MATCH($N$1,Database!$A$1:$AS$1,0),FALSE)</f>
        <v/>
      </c>
      <c r="O283" s="86">
        <f>(((Table134567891011121314151617343[[#This Row],[USA]]-VLOOKUP($U$1,A:N,14,))/VLOOKUP($U$1,A:N,14,))*100)+100</f>
        <v/>
      </c>
      <c r="P283" s="86">
        <f>VLOOKUP(A283,Database!$A:$AS,MATCH($P$1,Database!$A$1:$AS$1,0),FALSE)</f>
        <v/>
      </c>
      <c r="Q283" s="86">
        <f>(((Table134567891011121314151617343[[#This Row],[JPN]]-VLOOKUP($U$1,A:Q,16,))/VLOOKUP($U$1,A:Q,16,))*100)+100</f>
        <v/>
      </c>
    </row>
    <row r="284" customFormat="1" s="94">
      <c r="A284" s="22" t="n">
        <v>41456</v>
      </c>
      <c r="B284" s="86">
        <f>VLOOKUP(A284,Database!$A:$AS,MATCH($B$1,Database!$A$1:$AS$1,0),FALSE)</f>
        <v/>
      </c>
      <c r="C284" s="86">
        <f>VLOOKUP(A284,Database!$A:$AS,MATCH($C$1,Database!$A$1:$AS$1,0),FALSE)</f>
        <v/>
      </c>
      <c r="D284" s="86">
        <f>VLOOKUP(A284,Database!$A:$AS,MATCH($D$1,Database!$A$1:$AS$1,0),FALSE)</f>
        <v/>
      </c>
      <c r="E284" s="86">
        <f>VLOOKUP(A284,Database!$A:$AS,MATCH($E$1,Database!$A$1:$AS$1,0),FALSE)</f>
        <v/>
      </c>
      <c r="F284" s="86">
        <f>VLOOKUP(A284,Database!$A:$AS,MATCH($F$1,Database!$A$1:$AS$1,0),FALSE)</f>
        <v/>
      </c>
      <c r="G284" s="86">
        <f>VLOOKUP(A284,Database!$A:$AS,MATCH($G$1,Database!$A$1:$AS$1,0),FALSE)</f>
        <v/>
      </c>
      <c r="H284" s="86">
        <f>(((Table134567891011121314151617343[[#This Row],[ITA]]-VLOOKUP($U$1,A:B,2,))/VLOOKUP($U$1,A:B,2,))*100)+100</f>
        <v/>
      </c>
      <c r="I284" s="86">
        <f>(((Table134567891011121314151617343[[#This Row],[FRA]]-VLOOKUP($U$1,A:C,3,))/VLOOKUP($U$1,A:C,3,))*100)+100</f>
        <v/>
      </c>
      <c r="J284" s="86">
        <f>(((Table134567891011121314151617343[[#This Row],[DEU]]-VLOOKUP($U$1,A:D,4,))/VLOOKUP($U$1,A:D,4,))*100)+100</f>
        <v/>
      </c>
      <c r="K284" s="86">
        <f>(((Table134567891011121314151617343[[#This Row],[ESP]]-VLOOKUP($U$1,A:E,5,))/VLOOKUP($U$1,A:E,5,))*100)+100</f>
        <v/>
      </c>
      <c r="L284" s="86">
        <f>(((Table134567891011121314151617343[[#This Row],[EA19]]-VLOOKUP($U$1,A:F,6,))/VLOOKUP($U$1,A:F,6,))*100)+100</f>
        <v/>
      </c>
      <c r="M284" s="86">
        <f>(((Table134567891011121314151617343[[#This Row],[GBR]]-VLOOKUP($U$1,A:G,7,))/VLOOKUP($U$1,A:G,7,))*100)+100</f>
        <v/>
      </c>
      <c r="N284" s="86">
        <f>VLOOKUP(A284,Database!$A:$AS,MATCH($N$1,Database!$A$1:$AS$1,0),FALSE)</f>
        <v/>
      </c>
      <c r="O284" s="86">
        <f>(((Table134567891011121314151617343[[#This Row],[USA]]-VLOOKUP($U$1,A:N,14,))/VLOOKUP($U$1,A:N,14,))*100)+100</f>
        <v/>
      </c>
      <c r="P284" s="86">
        <f>VLOOKUP(A284,Database!$A:$AS,MATCH($P$1,Database!$A$1:$AS$1,0),FALSE)</f>
        <v/>
      </c>
      <c r="Q284" s="86">
        <f>(((Table134567891011121314151617343[[#This Row],[JPN]]-VLOOKUP($U$1,A:Q,16,))/VLOOKUP($U$1,A:Q,16,))*100)+100</f>
        <v/>
      </c>
    </row>
    <row r="285" customFormat="1" s="94">
      <c r="A285" s="22" t="n">
        <v>41487</v>
      </c>
      <c r="B285" s="86">
        <f>VLOOKUP(A285,Database!$A:$AS,MATCH($B$1,Database!$A$1:$AS$1,0),FALSE)</f>
        <v/>
      </c>
      <c r="C285" s="86">
        <f>VLOOKUP(A285,Database!$A:$AS,MATCH($C$1,Database!$A$1:$AS$1,0),FALSE)</f>
        <v/>
      </c>
      <c r="D285" s="86">
        <f>VLOOKUP(A285,Database!$A:$AS,MATCH($D$1,Database!$A$1:$AS$1,0),FALSE)</f>
        <v/>
      </c>
      <c r="E285" s="86">
        <f>VLOOKUP(A285,Database!$A:$AS,MATCH($E$1,Database!$A$1:$AS$1,0),FALSE)</f>
        <v/>
      </c>
      <c r="F285" s="86">
        <f>VLOOKUP(A285,Database!$A:$AS,MATCH($F$1,Database!$A$1:$AS$1,0),FALSE)</f>
        <v/>
      </c>
      <c r="G285" s="86">
        <f>VLOOKUP(A285,Database!$A:$AS,MATCH($G$1,Database!$A$1:$AS$1,0),FALSE)</f>
        <v/>
      </c>
      <c r="H285" s="86">
        <f>(((Table134567891011121314151617343[[#This Row],[ITA]]-VLOOKUP($U$1,A:B,2,))/VLOOKUP($U$1,A:B,2,))*100)+100</f>
        <v/>
      </c>
      <c r="I285" s="86">
        <f>(((Table134567891011121314151617343[[#This Row],[FRA]]-VLOOKUP($U$1,A:C,3,))/VLOOKUP($U$1,A:C,3,))*100)+100</f>
        <v/>
      </c>
      <c r="J285" s="86">
        <f>(((Table134567891011121314151617343[[#This Row],[DEU]]-VLOOKUP($U$1,A:D,4,))/VLOOKUP($U$1,A:D,4,))*100)+100</f>
        <v/>
      </c>
      <c r="K285" s="86">
        <f>(((Table134567891011121314151617343[[#This Row],[ESP]]-VLOOKUP($U$1,A:E,5,))/VLOOKUP($U$1,A:E,5,))*100)+100</f>
        <v/>
      </c>
      <c r="L285" s="86">
        <f>(((Table134567891011121314151617343[[#This Row],[EA19]]-VLOOKUP($U$1,A:F,6,))/VLOOKUP($U$1,A:F,6,))*100)+100</f>
        <v/>
      </c>
      <c r="M285" s="86">
        <f>(((Table134567891011121314151617343[[#This Row],[GBR]]-VLOOKUP($U$1,A:G,7,))/VLOOKUP($U$1,A:G,7,))*100)+100</f>
        <v/>
      </c>
      <c r="N285" s="86">
        <f>VLOOKUP(A285,Database!$A:$AS,MATCH($N$1,Database!$A$1:$AS$1,0),FALSE)</f>
        <v/>
      </c>
      <c r="O285" s="86">
        <f>(((Table134567891011121314151617343[[#This Row],[USA]]-VLOOKUP($U$1,A:N,14,))/VLOOKUP($U$1,A:N,14,))*100)+100</f>
        <v/>
      </c>
      <c r="P285" s="86">
        <f>VLOOKUP(A285,Database!$A:$AS,MATCH($P$1,Database!$A$1:$AS$1,0),FALSE)</f>
        <v/>
      </c>
      <c r="Q285" s="86">
        <f>(((Table134567891011121314151617343[[#This Row],[JPN]]-VLOOKUP($U$1,A:Q,16,))/VLOOKUP($U$1,A:Q,16,))*100)+100</f>
        <v/>
      </c>
    </row>
    <row r="286" customFormat="1" s="94">
      <c r="A286" s="22" t="n">
        <v>41518</v>
      </c>
      <c r="B286" s="86">
        <f>VLOOKUP(A286,Database!$A:$AS,MATCH($B$1,Database!$A$1:$AS$1,0),FALSE)</f>
        <v/>
      </c>
      <c r="C286" s="86">
        <f>VLOOKUP(A286,Database!$A:$AS,MATCH($C$1,Database!$A$1:$AS$1,0),FALSE)</f>
        <v/>
      </c>
      <c r="D286" s="86">
        <f>VLOOKUP(A286,Database!$A:$AS,MATCH($D$1,Database!$A$1:$AS$1,0),FALSE)</f>
        <v/>
      </c>
      <c r="E286" s="86">
        <f>VLOOKUP(A286,Database!$A:$AS,MATCH($E$1,Database!$A$1:$AS$1,0),FALSE)</f>
        <v/>
      </c>
      <c r="F286" s="86">
        <f>VLOOKUP(A286,Database!$A:$AS,MATCH($F$1,Database!$A$1:$AS$1,0),FALSE)</f>
        <v/>
      </c>
      <c r="G286" s="86">
        <f>VLOOKUP(A286,Database!$A:$AS,MATCH($G$1,Database!$A$1:$AS$1,0),FALSE)</f>
        <v/>
      </c>
      <c r="H286" s="86">
        <f>(((Table134567891011121314151617343[[#This Row],[ITA]]-VLOOKUP($U$1,A:B,2,))/VLOOKUP($U$1,A:B,2,))*100)+100</f>
        <v/>
      </c>
      <c r="I286" s="86">
        <f>(((Table134567891011121314151617343[[#This Row],[FRA]]-VLOOKUP($U$1,A:C,3,))/VLOOKUP($U$1,A:C,3,))*100)+100</f>
        <v/>
      </c>
      <c r="J286" s="86">
        <f>(((Table134567891011121314151617343[[#This Row],[DEU]]-VLOOKUP($U$1,A:D,4,))/VLOOKUP($U$1,A:D,4,))*100)+100</f>
        <v/>
      </c>
      <c r="K286" s="86">
        <f>(((Table134567891011121314151617343[[#This Row],[ESP]]-VLOOKUP($U$1,A:E,5,))/VLOOKUP($U$1,A:E,5,))*100)+100</f>
        <v/>
      </c>
      <c r="L286" s="86">
        <f>(((Table134567891011121314151617343[[#This Row],[EA19]]-VLOOKUP($U$1,A:F,6,))/VLOOKUP($U$1,A:F,6,))*100)+100</f>
        <v/>
      </c>
      <c r="M286" s="86">
        <f>(((Table134567891011121314151617343[[#This Row],[GBR]]-VLOOKUP($U$1,A:G,7,))/VLOOKUP($U$1,A:G,7,))*100)+100</f>
        <v/>
      </c>
      <c r="N286" s="86">
        <f>VLOOKUP(A286,Database!$A:$AS,MATCH($N$1,Database!$A$1:$AS$1,0),FALSE)</f>
        <v/>
      </c>
      <c r="O286" s="86">
        <f>(((Table134567891011121314151617343[[#This Row],[USA]]-VLOOKUP($U$1,A:N,14,))/VLOOKUP($U$1,A:N,14,))*100)+100</f>
        <v/>
      </c>
      <c r="P286" s="86">
        <f>VLOOKUP(A286,Database!$A:$AS,MATCH($P$1,Database!$A$1:$AS$1,0),FALSE)</f>
        <v/>
      </c>
      <c r="Q286" s="86">
        <f>(((Table134567891011121314151617343[[#This Row],[JPN]]-VLOOKUP($U$1,A:Q,16,))/VLOOKUP($U$1,A:Q,16,))*100)+100</f>
        <v/>
      </c>
    </row>
    <row r="287" customFormat="1" s="94">
      <c r="A287" s="22" t="n">
        <v>41548</v>
      </c>
      <c r="B287" s="86">
        <f>VLOOKUP(A287,Database!$A:$AS,MATCH($B$1,Database!$A$1:$AS$1,0),FALSE)</f>
        <v/>
      </c>
      <c r="C287" s="86">
        <f>VLOOKUP(A287,Database!$A:$AS,MATCH($C$1,Database!$A$1:$AS$1,0),FALSE)</f>
        <v/>
      </c>
      <c r="D287" s="86">
        <f>VLOOKUP(A287,Database!$A:$AS,MATCH($D$1,Database!$A$1:$AS$1,0),FALSE)</f>
        <v/>
      </c>
      <c r="E287" s="86">
        <f>VLOOKUP(A287,Database!$A:$AS,MATCH($E$1,Database!$A$1:$AS$1,0),FALSE)</f>
        <v/>
      </c>
      <c r="F287" s="86">
        <f>VLOOKUP(A287,Database!$A:$AS,MATCH($F$1,Database!$A$1:$AS$1,0),FALSE)</f>
        <v/>
      </c>
      <c r="G287" s="86">
        <f>VLOOKUP(A287,Database!$A:$AS,MATCH($G$1,Database!$A$1:$AS$1,0),FALSE)</f>
        <v/>
      </c>
      <c r="H287" s="86">
        <f>(((Table134567891011121314151617343[[#This Row],[ITA]]-VLOOKUP($U$1,A:B,2,))/VLOOKUP($U$1,A:B,2,))*100)+100</f>
        <v/>
      </c>
      <c r="I287" s="86">
        <f>(((Table134567891011121314151617343[[#This Row],[FRA]]-VLOOKUP($U$1,A:C,3,))/VLOOKUP($U$1,A:C,3,))*100)+100</f>
        <v/>
      </c>
      <c r="J287" s="86">
        <f>(((Table134567891011121314151617343[[#This Row],[DEU]]-VLOOKUP($U$1,A:D,4,))/VLOOKUP($U$1,A:D,4,))*100)+100</f>
        <v/>
      </c>
      <c r="K287" s="86">
        <f>(((Table134567891011121314151617343[[#This Row],[ESP]]-VLOOKUP($U$1,A:E,5,))/VLOOKUP($U$1,A:E,5,))*100)+100</f>
        <v/>
      </c>
      <c r="L287" s="86">
        <f>(((Table134567891011121314151617343[[#This Row],[EA19]]-VLOOKUP($U$1,A:F,6,))/VLOOKUP($U$1,A:F,6,))*100)+100</f>
        <v/>
      </c>
      <c r="M287" s="86">
        <f>(((Table134567891011121314151617343[[#This Row],[GBR]]-VLOOKUP($U$1,A:G,7,))/VLOOKUP($U$1,A:G,7,))*100)+100</f>
        <v/>
      </c>
      <c r="N287" s="86">
        <f>VLOOKUP(A287,Database!$A:$AS,MATCH($N$1,Database!$A$1:$AS$1,0),FALSE)</f>
        <v/>
      </c>
      <c r="O287" s="86">
        <f>(((Table134567891011121314151617343[[#This Row],[USA]]-VLOOKUP($U$1,A:N,14,))/VLOOKUP($U$1,A:N,14,))*100)+100</f>
        <v/>
      </c>
      <c r="P287" s="86">
        <f>VLOOKUP(A287,Database!$A:$AS,MATCH($P$1,Database!$A$1:$AS$1,0),FALSE)</f>
        <v/>
      </c>
      <c r="Q287" s="86">
        <f>(((Table134567891011121314151617343[[#This Row],[JPN]]-VLOOKUP($U$1,A:Q,16,))/VLOOKUP($U$1,A:Q,16,))*100)+100</f>
        <v/>
      </c>
    </row>
    <row r="288" customFormat="1" s="94">
      <c r="A288" s="22" t="n">
        <v>41579</v>
      </c>
      <c r="B288" s="86">
        <f>VLOOKUP(A288,Database!$A:$AS,MATCH($B$1,Database!$A$1:$AS$1,0),FALSE)</f>
        <v/>
      </c>
      <c r="C288" s="86">
        <f>VLOOKUP(A288,Database!$A:$AS,MATCH($C$1,Database!$A$1:$AS$1,0),FALSE)</f>
        <v/>
      </c>
      <c r="D288" s="86">
        <f>VLOOKUP(A288,Database!$A:$AS,MATCH($D$1,Database!$A$1:$AS$1,0),FALSE)</f>
        <v/>
      </c>
      <c r="E288" s="86">
        <f>VLOOKUP(A288,Database!$A:$AS,MATCH($E$1,Database!$A$1:$AS$1,0),FALSE)</f>
        <v/>
      </c>
      <c r="F288" s="86">
        <f>VLOOKUP(A288,Database!$A:$AS,MATCH($F$1,Database!$A$1:$AS$1,0),FALSE)</f>
        <v/>
      </c>
      <c r="G288" s="86">
        <f>VLOOKUP(A288,Database!$A:$AS,MATCH($G$1,Database!$A$1:$AS$1,0),FALSE)</f>
        <v/>
      </c>
      <c r="H288" s="86">
        <f>(((Table134567891011121314151617343[[#This Row],[ITA]]-VLOOKUP($U$1,A:B,2,))/VLOOKUP($U$1,A:B,2,))*100)+100</f>
        <v/>
      </c>
      <c r="I288" s="86">
        <f>(((Table134567891011121314151617343[[#This Row],[FRA]]-VLOOKUP($U$1,A:C,3,))/VLOOKUP($U$1,A:C,3,))*100)+100</f>
        <v/>
      </c>
      <c r="J288" s="86">
        <f>(((Table134567891011121314151617343[[#This Row],[DEU]]-VLOOKUP($U$1,A:D,4,))/VLOOKUP($U$1,A:D,4,))*100)+100</f>
        <v/>
      </c>
      <c r="K288" s="86">
        <f>(((Table134567891011121314151617343[[#This Row],[ESP]]-VLOOKUP($U$1,A:E,5,))/VLOOKUP($U$1,A:E,5,))*100)+100</f>
        <v/>
      </c>
      <c r="L288" s="86">
        <f>(((Table134567891011121314151617343[[#This Row],[EA19]]-VLOOKUP($U$1,A:F,6,))/VLOOKUP($U$1,A:F,6,))*100)+100</f>
        <v/>
      </c>
      <c r="M288" s="86">
        <f>(((Table134567891011121314151617343[[#This Row],[GBR]]-VLOOKUP($U$1,A:G,7,))/VLOOKUP($U$1,A:G,7,))*100)+100</f>
        <v/>
      </c>
      <c r="N288" s="86">
        <f>VLOOKUP(A288,Database!$A:$AS,MATCH($N$1,Database!$A$1:$AS$1,0),FALSE)</f>
        <v/>
      </c>
      <c r="O288" s="86">
        <f>(((Table134567891011121314151617343[[#This Row],[USA]]-VLOOKUP($U$1,A:N,14,))/VLOOKUP($U$1,A:N,14,))*100)+100</f>
        <v/>
      </c>
      <c r="P288" s="86">
        <f>VLOOKUP(A288,Database!$A:$AS,MATCH($P$1,Database!$A$1:$AS$1,0),FALSE)</f>
        <v/>
      </c>
      <c r="Q288" s="86">
        <f>(((Table134567891011121314151617343[[#This Row],[JPN]]-VLOOKUP($U$1,A:Q,16,))/VLOOKUP($U$1,A:Q,16,))*100)+100</f>
        <v/>
      </c>
    </row>
    <row r="289" customFormat="1" s="94">
      <c r="A289" s="22" t="n">
        <v>41609</v>
      </c>
      <c r="B289" s="86">
        <f>VLOOKUP(A289,Database!$A:$AS,MATCH($B$1,Database!$A$1:$AS$1,0),FALSE)</f>
        <v/>
      </c>
      <c r="C289" s="86">
        <f>VLOOKUP(A289,Database!$A:$AS,MATCH($C$1,Database!$A$1:$AS$1,0),FALSE)</f>
        <v/>
      </c>
      <c r="D289" s="86">
        <f>VLOOKUP(A289,Database!$A:$AS,MATCH($D$1,Database!$A$1:$AS$1,0),FALSE)</f>
        <v/>
      </c>
      <c r="E289" s="86">
        <f>VLOOKUP(A289,Database!$A:$AS,MATCH($E$1,Database!$A$1:$AS$1,0),FALSE)</f>
        <v/>
      </c>
      <c r="F289" s="86">
        <f>VLOOKUP(A289,Database!$A:$AS,MATCH($F$1,Database!$A$1:$AS$1,0),FALSE)</f>
        <v/>
      </c>
      <c r="G289" s="86">
        <f>VLOOKUP(A289,Database!$A:$AS,MATCH($G$1,Database!$A$1:$AS$1,0),FALSE)</f>
        <v/>
      </c>
      <c r="H289" s="86">
        <f>(((Table134567891011121314151617343[[#This Row],[ITA]]-VLOOKUP($U$1,A:B,2,))/VLOOKUP($U$1,A:B,2,))*100)+100</f>
        <v/>
      </c>
      <c r="I289" s="86">
        <f>(((Table134567891011121314151617343[[#This Row],[FRA]]-VLOOKUP($U$1,A:C,3,))/VLOOKUP($U$1,A:C,3,))*100)+100</f>
        <v/>
      </c>
      <c r="J289" s="86">
        <f>(((Table134567891011121314151617343[[#This Row],[DEU]]-VLOOKUP($U$1,A:D,4,))/VLOOKUP($U$1,A:D,4,))*100)+100</f>
        <v/>
      </c>
      <c r="K289" s="86">
        <f>(((Table134567891011121314151617343[[#This Row],[ESP]]-VLOOKUP($U$1,A:E,5,))/VLOOKUP($U$1,A:E,5,))*100)+100</f>
        <v/>
      </c>
      <c r="L289" s="86">
        <f>(((Table134567891011121314151617343[[#This Row],[EA19]]-VLOOKUP($U$1,A:F,6,))/VLOOKUP($U$1,A:F,6,))*100)+100</f>
        <v/>
      </c>
      <c r="M289" s="86">
        <f>(((Table134567891011121314151617343[[#This Row],[GBR]]-VLOOKUP($U$1,A:G,7,))/VLOOKUP($U$1,A:G,7,))*100)+100</f>
        <v/>
      </c>
      <c r="N289" s="86">
        <f>VLOOKUP(A289,Database!$A:$AS,MATCH($N$1,Database!$A$1:$AS$1,0),FALSE)</f>
        <v/>
      </c>
      <c r="O289" s="86">
        <f>(((Table134567891011121314151617343[[#This Row],[USA]]-VLOOKUP($U$1,A:N,14,))/VLOOKUP($U$1,A:N,14,))*100)+100</f>
        <v/>
      </c>
      <c r="P289" s="86">
        <f>VLOOKUP(A289,Database!$A:$AS,MATCH($P$1,Database!$A$1:$AS$1,0),FALSE)</f>
        <v/>
      </c>
      <c r="Q289" s="86">
        <f>(((Table134567891011121314151617343[[#This Row],[JPN]]-VLOOKUP($U$1,A:Q,16,))/VLOOKUP($U$1,A:Q,16,))*100)+100</f>
        <v/>
      </c>
    </row>
    <row r="290" customFormat="1" s="94">
      <c r="A290" s="22" t="n">
        <v>41640</v>
      </c>
      <c r="B290" s="86">
        <f>VLOOKUP(A290,Database!$A:$AS,MATCH($B$1,Database!$A$1:$AS$1,0),FALSE)</f>
        <v/>
      </c>
      <c r="C290" s="86">
        <f>VLOOKUP(A290,Database!$A:$AS,MATCH($C$1,Database!$A$1:$AS$1,0),FALSE)</f>
        <v/>
      </c>
      <c r="D290" s="86">
        <f>VLOOKUP(A290,Database!$A:$AS,MATCH($D$1,Database!$A$1:$AS$1,0),FALSE)</f>
        <v/>
      </c>
      <c r="E290" s="86">
        <f>VLOOKUP(A290,Database!$A:$AS,MATCH($E$1,Database!$A$1:$AS$1,0),FALSE)</f>
        <v/>
      </c>
      <c r="F290" s="86">
        <f>VLOOKUP(A290,Database!$A:$AS,MATCH($F$1,Database!$A$1:$AS$1,0),FALSE)</f>
        <v/>
      </c>
      <c r="G290" s="86">
        <f>VLOOKUP(A290,Database!$A:$AS,MATCH($G$1,Database!$A$1:$AS$1,0),FALSE)</f>
        <v/>
      </c>
      <c r="H290" s="86">
        <f>(((Table134567891011121314151617343[[#This Row],[ITA]]-VLOOKUP($U$1,A:B,2,))/VLOOKUP($U$1,A:B,2,))*100)+100</f>
        <v/>
      </c>
      <c r="I290" s="86">
        <f>(((Table134567891011121314151617343[[#This Row],[FRA]]-VLOOKUP($U$1,A:C,3,))/VLOOKUP($U$1,A:C,3,))*100)+100</f>
        <v/>
      </c>
      <c r="J290" s="86">
        <f>(((Table134567891011121314151617343[[#This Row],[DEU]]-VLOOKUP($U$1,A:D,4,))/VLOOKUP($U$1,A:D,4,))*100)+100</f>
        <v/>
      </c>
      <c r="K290" s="86">
        <f>(((Table134567891011121314151617343[[#This Row],[ESP]]-VLOOKUP($U$1,A:E,5,))/VLOOKUP($U$1,A:E,5,))*100)+100</f>
        <v/>
      </c>
      <c r="L290" s="86">
        <f>(((Table134567891011121314151617343[[#This Row],[EA19]]-VLOOKUP($U$1,A:F,6,))/VLOOKUP($U$1,A:F,6,))*100)+100</f>
        <v/>
      </c>
      <c r="M290" s="86">
        <f>(((Table134567891011121314151617343[[#This Row],[GBR]]-VLOOKUP($U$1,A:G,7,))/VLOOKUP($U$1,A:G,7,))*100)+100</f>
        <v/>
      </c>
      <c r="N290" s="86">
        <f>VLOOKUP(A290,Database!$A:$AS,MATCH($N$1,Database!$A$1:$AS$1,0),FALSE)</f>
        <v/>
      </c>
      <c r="O290" s="86">
        <f>(((Table134567891011121314151617343[[#This Row],[USA]]-VLOOKUP($U$1,A:N,14,))/VLOOKUP($U$1,A:N,14,))*100)+100</f>
        <v/>
      </c>
      <c r="P290" s="86">
        <f>VLOOKUP(A290,Database!$A:$AS,MATCH($P$1,Database!$A$1:$AS$1,0),FALSE)</f>
        <v/>
      </c>
      <c r="Q290" s="86">
        <f>(((Table134567891011121314151617343[[#This Row],[JPN]]-VLOOKUP($U$1,A:Q,16,))/VLOOKUP($U$1,A:Q,16,))*100)+100</f>
        <v/>
      </c>
    </row>
    <row r="291" customFormat="1" s="94">
      <c r="A291" s="22" t="n">
        <v>41671</v>
      </c>
      <c r="B291" s="86">
        <f>VLOOKUP(A291,Database!$A:$AS,MATCH($B$1,Database!$A$1:$AS$1,0),FALSE)</f>
        <v/>
      </c>
      <c r="C291" s="86">
        <f>VLOOKUP(A291,Database!$A:$AS,MATCH($C$1,Database!$A$1:$AS$1,0),FALSE)</f>
        <v/>
      </c>
      <c r="D291" s="86">
        <f>VLOOKUP(A291,Database!$A:$AS,MATCH($D$1,Database!$A$1:$AS$1,0),FALSE)</f>
        <v/>
      </c>
      <c r="E291" s="86">
        <f>VLOOKUP(A291,Database!$A:$AS,MATCH($E$1,Database!$A$1:$AS$1,0),FALSE)</f>
        <v/>
      </c>
      <c r="F291" s="86">
        <f>VLOOKUP(A291,Database!$A:$AS,MATCH($F$1,Database!$A$1:$AS$1,0),FALSE)</f>
        <v/>
      </c>
      <c r="G291" s="86">
        <f>VLOOKUP(A291,Database!$A:$AS,MATCH($G$1,Database!$A$1:$AS$1,0),FALSE)</f>
        <v/>
      </c>
      <c r="H291" s="86">
        <f>(((Table134567891011121314151617343[[#This Row],[ITA]]-VLOOKUP($U$1,A:B,2,))/VLOOKUP($U$1,A:B,2,))*100)+100</f>
        <v/>
      </c>
      <c r="I291" s="86">
        <f>(((Table134567891011121314151617343[[#This Row],[FRA]]-VLOOKUP($U$1,A:C,3,))/VLOOKUP($U$1,A:C,3,))*100)+100</f>
        <v/>
      </c>
      <c r="J291" s="86">
        <f>(((Table134567891011121314151617343[[#This Row],[DEU]]-VLOOKUP($U$1,A:D,4,))/VLOOKUP($U$1,A:D,4,))*100)+100</f>
        <v/>
      </c>
      <c r="K291" s="86">
        <f>(((Table134567891011121314151617343[[#This Row],[ESP]]-VLOOKUP($U$1,A:E,5,))/VLOOKUP($U$1,A:E,5,))*100)+100</f>
        <v/>
      </c>
      <c r="L291" s="86">
        <f>(((Table134567891011121314151617343[[#This Row],[EA19]]-VLOOKUP($U$1,A:F,6,))/VLOOKUP($U$1,A:F,6,))*100)+100</f>
        <v/>
      </c>
      <c r="M291" s="86">
        <f>(((Table134567891011121314151617343[[#This Row],[GBR]]-VLOOKUP($U$1,A:G,7,))/VLOOKUP($U$1,A:G,7,))*100)+100</f>
        <v/>
      </c>
      <c r="N291" s="86">
        <f>VLOOKUP(A291,Database!$A:$AS,MATCH($N$1,Database!$A$1:$AS$1,0),FALSE)</f>
        <v/>
      </c>
      <c r="O291" s="86">
        <f>(((Table134567891011121314151617343[[#This Row],[USA]]-VLOOKUP($U$1,A:N,14,))/VLOOKUP($U$1,A:N,14,))*100)+100</f>
        <v/>
      </c>
      <c r="P291" s="86">
        <f>VLOOKUP(A291,Database!$A:$AS,MATCH($P$1,Database!$A$1:$AS$1,0),FALSE)</f>
        <v/>
      </c>
      <c r="Q291" s="86">
        <f>(((Table134567891011121314151617343[[#This Row],[JPN]]-VLOOKUP($U$1,A:Q,16,))/VLOOKUP($U$1,A:Q,16,))*100)+100</f>
        <v/>
      </c>
    </row>
    <row r="292" customFormat="1" s="94">
      <c r="A292" s="22" t="n">
        <v>41699</v>
      </c>
      <c r="B292" s="86">
        <f>VLOOKUP(A292,Database!$A:$AS,MATCH($B$1,Database!$A$1:$AS$1,0),FALSE)</f>
        <v/>
      </c>
      <c r="C292" s="86">
        <f>VLOOKUP(A292,Database!$A:$AS,MATCH($C$1,Database!$A$1:$AS$1,0),FALSE)</f>
        <v/>
      </c>
      <c r="D292" s="86">
        <f>VLOOKUP(A292,Database!$A:$AS,MATCH($D$1,Database!$A$1:$AS$1,0),FALSE)</f>
        <v/>
      </c>
      <c r="E292" s="86">
        <f>VLOOKUP(A292,Database!$A:$AS,MATCH($E$1,Database!$A$1:$AS$1,0),FALSE)</f>
        <v/>
      </c>
      <c r="F292" s="86">
        <f>VLOOKUP(A292,Database!$A:$AS,MATCH($F$1,Database!$A$1:$AS$1,0),FALSE)</f>
        <v/>
      </c>
      <c r="G292" s="86">
        <f>VLOOKUP(A292,Database!$A:$AS,MATCH($G$1,Database!$A$1:$AS$1,0),FALSE)</f>
        <v/>
      </c>
      <c r="H292" s="86">
        <f>(((Table134567891011121314151617343[[#This Row],[ITA]]-VLOOKUP($U$1,A:B,2,))/VLOOKUP($U$1,A:B,2,))*100)+100</f>
        <v/>
      </c>
      <c r="I292" s="86">
        <f>(((Table134567891011121314151617343[[#This Row],[FRA]]-VLOOKUP($U$1,A:C,3,))/VLOOKUP($U$1,A:C,3,))*100)+100</f>
        <v/>
      </c>
      <c r="J292" s="86">
        <f>(((Table134567891011121314151617343[[#This Row],[DEU]]-VLOOKUP($U$1,A:D,4,))/VLOOKUP($U$1,A:D,4,))*100)+100</f>
        <v/>
      </c>
      <c r="K292" s="86">
        <f>(((Table134567891011121314151617343[[#This Row],[ESP]]-VLOOKUP($U$1,A:E,5,))/VLOOKUP($U$1,A:E,5,))*100)+100</f>
        <v/>
      </c>
      <c r="L292" s="86">
        <f>(((Table134567891011121314151617343[[#This Row],[EA19]]-VLOOKUP($U$1,A:F,6,))/VLOOKUP($U$1,A:F,6,))*100)+100</f>
        <v/>
      </c>
      <c r="M292" s="86">
        <f>(((Table134567891011121314151617343[[#This Row],[GBR]]-VLOOKUP($U$1,A:G,7,))/VLOOKUP($U$1,A:G,7,))*100)+100</f>
        <v/>
      </c>
      <c r="N292" s="86">
        <f>VLOOKUP(A292,Database!$A:$AS,MATCH($N$1,Database!$A$1:$AS$1,0),FALSE)</f>
        <v/>
      </c>
      <c r="O292" s="86">
        <f>(((Table134567891011121314151617343[[#This Row],[USA]]-VLOOKUP($U$1,A:N,14,))/VLOOKUP($U$1,A:N,14,))*100)+100</f>
        <v/>
      </c>
      <c r="P292" s="86">
        <f>VLOOKUP(A292,Database!$A:$AS,MATCH($P$1,Database!$A$1:$AS$1,0),FALSE)</f>
        <v/>
      </c>
      <c r="Q292" s="86">
        <f>(((Table134567891011121314151617343[[#This Row],[JPN]]-VLOOKUP($U$1,A:Q,16,))/VLOOKUP($U$1,A:Q,16,))*100)+100</f>
        <v/>
      </c>
    </row>
    <row r="293" customFormat="1" s="94">
      <c r="A293" s="22" t="n">
        <v>41730</v>
      </c>
      <c r="B293" s="86">
        <f>VLOOKUP(A293,Database!$A:$AS,MATCH($B$1,Database!$A$1:$AS$1,0),FALSE)</f>
        <v/>
      </c>
      <c r="C293" s="86">
        <f>VLOOKUP(A293,Database!$A:$AS,MATCH($C$1,Database!$A$1:$AS$1,0),FALSE)</f>
        <v/>
      </c>
      <c r="D293" s="86">
        <f>VLOOKUP(A293,Database!$A:$AS,MATCH($D$1,Database!$A$1:$AS$1,0),FALSE)</f>
        <v/>
      </c>
      <c r="E293" s="86">
        <f>VLOOKUP(A293,Database!$A:$AS,MATCH($E$1,Database!$A$1:$AS$1,0),FALSE)</f>
        <v/>
      </c>
      <c r="F293" s="86">
        <f>VLOOKUP(A293,Database!$A:$AS,MATCH($F$1,Database!$A$1:$AS$1,0),FALSE)</f>
        <v/>
      </c>
      <c r="G293" s="86">
        <f>VLOOKUP(A293,Database!$A:$AS,MATCH($G$1,Database!$A$1:$AS$1,0),FALSE)</f>
        <v/>
      </c>
      <c r="H293" s="86">
        <f>(((Table134567891011121314151617343[[#This Row],[ITA]]-VLOOKUP($U$1,A:B,2,))/VLOOKUP($U$1,A:B,2,))*100)+100</f>
        <v/>
      </c>
      <c r="I293" s="86">
        <f>(((Table134567891011121314151617343[[#This Row],[FRA]]-VLOOKUP($U$1,A:C,3,))/VLOOKUP($U$1,A:C,3,))*100)+100</f>
        <v/>
      </c>
      <c r="J293" s="86">
        <f>(((Table134567891011121314151617343[[#This Row],[DEU]]-VLOOKUP($U$1,A:D,4,))/VLOOKUP($U$1,A:D,4,))*100)+100</f>
        <v/>
      </c>
      <c r="K293" s="86">
        <f>(((Table134567891011121314151617343[[#This Row],[ESP]]-VLOOKUP($U$1,A:E,5,))/VLOOKUP($U$1,A:E,5,))*100)+100</f>
        <v/>
      </c>
      <c r="L293" s="86">
        <f>(((Table134567891011121314151617343[[#This Row],[EA19]]-VLOOKUP($U$1,A:F,6,))/VLOOKUP($U$1,A:F,6,))*100)+100</f>
        <v/>
      </c>
      <c r="M293" s="86">
        <f>(((Table134567891011121314151617343[[#This Row],[GBR]]-VLOOKUP($U$1,A:G,7,))/VLOOKUP($U$1,A:G,7,))*100)+100</f>
        <v/>
      </c>
      <c r="N293" s="86">
        <f>VLOOKUP(A293,Database!$A:$AS,MATCH($N$1,Database!$A$1:$AS$1,0),FALSE)</f>
        <v/>
      </c>
      <c r="O293" s="86">
        <f>(((Table134567891011121314151617343[[#This Row],[USA]]-VLOOKUP($U$1,A:N,14,))/VLOOKUP($U$1,A:N,14,))*100)+100</f>
        <v/>
      </c>
      <c r="P293" s="86">
        <f>VLOOKUP(A293,Database!$A:$AS,MATCH($P$1,Database!$A$1:$AS$1,0),FALSE)</f>
        <v/>
      </c>
      <c r="Q293" s="86">
        <f>(((Table134567891011121314151617343[[#This Row],[JPN]]-VLOOKUP($U$1,A:Q,16,))/VLOOKUP($U$1,A:Q,16,))*100)+100</f>
        <v/>
      </c>
    </row>
    <row r="294" customFormat="1" s="94">
      <c r="A294" s="22" t="n">
        <v>41760</v>
      </c>
      <c r="B294" s="86">
        <f>VLOOKUP(A294,Database!$A:$AS,MATCH($B$1,Database!$A$1:$AS$1,0),FALSE)</f>
        <v/>
      </c>
      <c r="C294" s="86">
        <f>VLOOKUP(A294,Database!$A:$AS,MATCH($C$1,Database!$A$1:$AS$1,0),FALSE)</f>
        <v/>
      </c>
      <c r="D294" s="86">
        <f>VLOOKUP(A294,Database!$A:$AS,MATCH($D$1,Database!$A$1:$AS$1,0),FALSE)</f>
        <v/>
      </c>
      <c r="E294" s="86">
        <f>VLOOKUP(A294,Database!$A:$AS,MATCH($E$1,Database!$A$1:$AS$1,0),FALSE)</f>
        <v/>
      </c>
      <c r="F294" s="86">
        <f>VLOOKUP(A294,Database!$A:$AS,MATCH($F$1,Database!$A$1:$AS$1,0),FALSE)</f>
        <v/>
      </c>
      <c r="G294" s="86">
        <f>VLOOKUP(A294,Database!$A:$AS,MATCH($G$1,Database!$A$1:$AS$1,0),FALSE)</f>
        <v/>
      </c>
      <c r="H294" s="86">
        <f>(((Table134567891011121314151617343[[#This Row],[ITA]]-VLOOKUP($U$1,A:B,2,))/VLOOKUP($U$1,A:B,2,))*100)+100</f>
        <v/>
      </c>
      <c r="I294" s="86">
        <f>(((Table134567891011121314151617343[[#This Row],[FRA]]-VLOOKUP($U$1,A:C,3,))/VLOOKUP($U$1,A:C,3,))*100)+100</f>
        <v/>
      </c>
      <c r="J294" s="86">
        <f>(((Table134567891011121314151617343[[#This Row],[DEU]]-VLOOKUP($U$1,A:D,4,))/VLOOKUP($U$1,A:D,4,))*100)+100</f>
        <v/>
      </c>
      <c r="K294" s="86">
        <f>(((Table134567891011121314151617343[[#This Row],[ESP]]-VLOOKUP($U$1,A:E,5,))/VLOOKUP($U$1,A:E,5,))*100)+100</f>
        <v/>
      </c>
      <c r="L294" s="86">
        <f>(((Table134567891011121314151617343[[#This Row],[EA19]]-VLOOKUP($U$1,A:F,6,))/VLOOKUP($U$1,A:F,6,))*100)+100</f>
        <v/>
      </c>
      <c r="M294" s="86">
        <f>(((Table134567891011121314151617343[[#This Row],[GBR]]-VLOOKUP($U$1,A:G,7,))/VLOOKUP($U$1,A:G,7,))*100)+100</f>
        <v/>
      </c>
      <c r="N294" s="86">
        <f>VLOOKUP(A294,Database!$A:$AS,MATCH($N$1,Database!$A$1:$AS$1,0),FALSE)</f>
        <v/>
      </c>
      <c r="O294" s="86">
        <f>(((Table134567891011121314151617343[[#This Row],[USA]]-VLOOKUP($U$1,A:N,14,))/VLOOKUP($U$1,A:N,14,))*100)+100</f>
        <v/>
      </c>
      <c r="P294" s="86">
        <f>VLOOKUP(A294,Database!$A:$AS,MATCH($P$1,Database!$A$1:$AS$1,0),FALSE)</f>
        <v/>
      </c>
      <c r="Q294" s="86">
        <f>(((Table134567891011121314151617343[[#This Row],[JPN]]-VLOOKUP($U$1,A:Q,16,))/VLOOKUP($U$1,A:Q,16,))*100)+100</f>
        <v/>
      </c>
    </row>
    <row r="295" customFormat="1" s="94">
      <c r="A295" s="22" t="n">
        <v>41791</v>
      </c>
      <c r="B295" s="86">
        <f>VLOOKUP(A295,Database!$A:$AS,MATCH($B$1,Database!$A$1:$AS$1,0),FALSE)</f>
        <v/>
      </c>
      <c r="C295" s="86">
        <f>VLOOKUP(A295,Database!$A:$AS,MATCH($C$1,Database!$A$1:$AS$1,0),FALSE)</f>
        <v/>
      </c>
      <c r="D295" s="86">
        <f>VLOOKUP(A295,Database!$A:$AS,MATCH($D$1,Database!$A$1:$AS$1,0),FALSE)</f>
        <v/>
      </c>
      <c r="E295" s="86">
        <f>VLOOKUP(A295,Database!$A:$AS,MATCH($E$1,Database!$A$1:$AS$1,0),FALSE)</f>
        <v/>
      </c>
      <c r="F295" s="86">
        <f>VLOOKUP(A295,Database!$A:$AS,MATCH($F$1,Database!$A$1:$AS$1,0),FALSE)</f>
        <v/>
      </c>
      <c r="G295" s="86">
        <f>VLOOKUP(A295,Database!$A:$AS,MATCH($G$1,Database!$A$1:$AS$1,0),FALSE)</f>
        <v/>
      </c>
      <c r="H295" s="86">
        <f>(((Table134567891011121314151617343[[#This Row],[ITA]]-VLOOKUP($U$1,A:B,2,))/VLOOKUP($U$1,A:B,2,))*100)+100</f>
        <v/>
      </c>
      <c r="I295" s="86">
        <f>(((Table134567891011121314151617343[[#This Row],[FRA]]-VLOOKUP($U$1,A:C,3,))/VLOOKUP($U$1,A:C,3,))*100)+100</f>
        <v/>
      </c>
      <c r="J295" s="86">
        <f>(((Table134567891011121314151617343[[#This Row],[DEU]]-VLOOKUP($U$1,A:D,4,))/VLOOKUP($U$1,A:D,4,))*100)+100</f>
        <v/>
      </c>
      <c r="K295" s="86">
        <f>(((Table134567891011121314151617343[[#This Row],[ESP]]-VLOOKUP($U$1,A:E,5,))/VLOOKUP($U$1,A:E,5,))*100)+100</f>
        <v/>
      </c>
      <c r="L295" s="86">
        <f>(((Table134567891011121314151617343[[#This Row],[EA19]]-VLOOKUP($U$1,A:F,6,))/VLOOKUP($U$1,A:F,6,))*100)+100</f>
        <v/>
      </c>
      <c r="M295" s="86">
        <f>(((Table134567891011121314151617343[[#This Row],[GBR]]-VLOOKUP($U$1,A:G,7,))/VLOOKUP($U$1,A:G,7,))*100)+100</f>
        <v/>
      </c>
      <c r="N295" s="86">
        <f>VLOOKUP(A295,Database!$A:$AS,MATCH($N$1,Database!$A$1:$AS$1,0),FALSE)</f>
        <v/>
      </c>
      <c r="O295" s="86">
        <f>(((Table134567891011121314151617343[[#This Row],[USA]]-VLOOKUP($U$1,A:N,14,))/VLOOKUP($U$1,A:N,14,))*100)+100</f>
        <v/>
      </c>
      <c r="P295" s="86">
        <f>VLOOKUP(A295,Database!$A:$AS,MATCH($P$1,Database!$A$1:$AS$1,0),FALSE)</f>
        <v/>
      </c>
      <c r="Q295" s="86">
        <f>(((Table134567891011121314151617343[[#This Row],[JPN]]-VLOOKUP($U$1,A:Q,16,))/VLOOKUP($U$1,A:Q,16,))*100)+100</f>
        <v/>
      </c>
    </row>
    <row r="296" customFormat="1" s="94">
      <c r="A296" s="22" t="n">
        <v>41821</v>
      </c>
      <c r="B296" s="86">
        <f>VLOOKUP(A296,Database!$A:$AS,MATCH($B$1,Database!$A$1:$AS$1,0),FALSE)</f>
        <v/>
      </c>
      <c r="C296" s="86">
        <f>VLOOKUP(A296,Database!$A:$AS,MATCH($C$1,Database!$A$1:$AS$1,0),FALSE)</f>
        <v/>
      </c>
      <c r="D296" s="86">
        <f>VLOOKUP(A296,Database!$A:$AS,MATCH($D$1,Database!$A$1:$AS$1,0),FALSE)</f>
        <v/>
      </c>
      <c r="E296" s="86">
        <f>VLOOKUP(A296,Database!$A:$AS,MATCH($E$1,Database!$A$1:$AS$1,0),FALSE)</f>
        <v/>
      </c>
      <c r="F296" s="86">
        <f>VLOOKUP(A296,Database!$A:$AS,MATCH($F$1,Database!$A$1:$AS$1,0),FALSE)</f>
        <v/>
      </c>
      <c r="G296" s="86">
        <f>VLOOKUP(A296,Database!$A:$AS,MATCH($G$1,Database!$A$1:$AS$1,0),FALSE)</f>
        <v/>
      </c>
      <c r="H296" s="86">
        <f>(((Table134567891011121314151617343[[#This Row],[ITA]]-VLOOKUP($U$1,A:B,2,))/VLOOKUP($U$1,A:B,2,))*100)+100</f>
        <v/>
      </c>
      <c r="I296" s="86">
        <f>(((Table134567891011121314151617343[[#This Row],[FRA]]-VLOOKUP($U$1,A:C,3,))/VLOOKUP($U$1,A:C,3,))*100)+100</f>
        <v/>
      </c>
      <c r="J296" s="86">
        <f>(((Table134567891011121314151617343[[#This Row],[DEU]]-VLOOKUP($U$1,A:D,4,))/VLOOKUP($U$1,A:D,4,))*100)+100</f>
        <v/>
      </c>
      <c r="K296" s="86">
        <f>(((Table134567891011121314151617343[[#This Row],[ESP]]-VLOOKUP($U$1,A:E,5,))/VLOOKUP($U$1,A:E,5,))*100)+100</f>
        <v/>
      </c>
      <c r="L296" s="86">
        <f>(((Table134567891011121314151617343[[#This Row],[EA19]]-VLOOKUP($U$1,A:F,6,))/VLOOKUP($U$1,A:F,6,))*100)+100</f>
        <v/>
      </c>
      <c r="M296" s="86">
        <f>(((Table134567891011121314151617343[[#This Row],[GBR]]-VLOOKUP($U$1,A:G,7,))/VLOOKUP($U$1,A:G,7,))*100)+100</f>
        <v/>
      </c>
      <c r="N296" s="86">
        <f>VLOOKUP(A296,Database!$A:$AS,MATCH($N$1,Database!$A$1:$AS$1,0),FALSE)</f>
        <v/>
      </c>
      <c r="O296" s="86">
        <f>(((Table134567891011121314151617343[[#This Row],[USA]]-VLOOKUP($U$1,A:N,14,))/VLOOKUP($U$1,A:N,14,))*100)+100</f>
        <v/>
      </c>
      <c r="P296" s="86">
        <f>VLOOKUP(A296,Database!$A:$AS,MATCH($P$1,Database!$A$1:$AS$1,0),FALSE)</f>
        <v/>
      </c>
      <c r="Q296" s="86">
        <f>(((Table134567891011121314151617343[[#This Row],[JPN]]-VLOOKUP($U$1,A:Q,16,))/VLOOKUP($U$1,A:Q,16,))*100)+100</f>
        <v/>
      </c>
    </row>
    <row r="297" customFormat="1" s="94">
      <c r="A297" s="22" t="n">
        <v>41852</v>
      </c>
      <c r="B297" s="86">
        <f>VLOOKUP(A297,Database!$A:$AS,MATCH($B$1,Database!$A$1:$AS$1,0),FALSE)</f>
        <v/>
      </c>
      <c r="C297" s="86">
        <f>VLOOKUP(A297,Database!$A:$AS,MATCH($C$1,Database!$A$1:$AS$1,0),FALSE)</f>
        <v/>
      </c>
      <c r="D297" s="86">
        <f>VLOOKUP(A297,Database!$A:$AS,MATCH($D$1,Database!$A$1:$AS$1,0),FALSE)</f>
        <v/>
      </c>
      <c r="E297" s="86">
        <f>VLOOKUP(A297,Database!$A:$AS,MATCH($E$1,Database!$A$1:$AS$1,0),FALSE)</f>
        <v/>
      </c>
      <c r="F297" s="86">
        <f>VLOOKUP(A297,Database!$A:$AS,MATCH($F$1,Database!$A$1:$AS$1,0),FALSE)</f>
        <v/>
      </c>
      <c r="G297" s="86">
        <f>VLOOKUP(A297,Database!$A:$AS,MATCH($G$1,Database!$A$1:$AS$1,0),FALSE)</f>
        <v/>
      </c>
      <c r="H297" s="86">
        <f>(((Table134567891011121314151617343[[#This Row],[ITA]]-VLOOKUP($U$1,A:B,2,))/VLOOKUP($U$1,A:B,2,))*100)+100</f>
        <v/>
      </c>
      <c r="I297" s="86">
        <f>(((Table134567891011121314151617343[[#This Row],[FRA]]-VLOOKUP($U$1,A:C,3,))/VLOOKUP($U$1,A:C,3,))*100)+100</f>
        <v/>
      </c>
      <c r="J297" s="86">
        <f>(((Table134567891011121314151617343[[#This Row],[DEU]]-VLOOKUP($U$1,A:D,4,))/VLOOKUP($U$1,A:D,4,))*100)+100</f>
        <v/>
      </c>
      <c r="K297" s="86">
        <f>(((Table134567891011121314151617343[[#This Row],[ESP]]-VLOOKUP($U$1,A:E,5,))/VLOOKUP($U$1,A:E,5,))*100)+100</f>
        <v/>
      </c>
      <c r="L297" s="86">
        <f>(((Table134567891011121314151617343[[#This Row],[EA19]]-VLOOKUP($U$1,A:F,6,))/VLOOKUP($U$1,A:F,6,))*100)+100</f>
        <v/>
      </c>
      <c r="M297" s="86">
        <f>(((Table134567891011121314151617343[[#This Row],[GBR]]-VLOOKUP($U$1,A:G,7,))/VLOOKUP($U$1,A:G,7,))*100)+100</f>
        <v/>
      </c>
      <c r="N297" s="86">
        <f>VLOOKUP(A297,Database!$A:$AS,MATCH($N$1,Database!$A$1:$AS$1,0),FALSE)</f>
        <v/>
      </c>
      <c r="O297" s="86">
        <f>(((Table134567891011121314151617343[[#This Row],[USA]]-VLOOKUP($U$1,A:N,14,))/VLOOKUP($U$1,A:N,14,))*100)+100</f>
        <v/>
      </c>
      <c r="P297" s="86">
        <f>VLOOKUP(A297,Database!$A:$AS,MATCH($P$1,Database!$A$1:$AS$1,0),FALSE)</f>
        <v/>
      </c>
      <c r="Q297" s="86">
        <f>(((Table134567891011121314151617343[[#This Row],[JPN]]-VLOOKUP($U$1,A:Q,16,))/VLOOKUP($U$1,A:Q,16,))*100)+100</f>
        <v/>
      </c>
    </row>
    <row r="298" customFormat="1" s="94">
      <c r="A298" s="22" t="n">
        <v>41883</v>
      </c>
      <c r="B298" s="86">
        <f>VLOOKUP(A298,Database!$A:$AS,MATCH($B$1,Database!$A$1:$AS$1,0),FALSE)</f>
        <v/>
      </c>
      <c r="C298" s="86">
        <f>VLOOKUP(A298,Database!$A:$AS,MATCH($C$1,Database!$A$1:$AS$1,0),FALSE)</f>
        <v/>
      </c>
      <c r="D298" s="86">
        <f>VLOOKUP(A298,Database!$A:$AS,MATCH($D$1,Database!$A$1:$AS$1,0),FALSE)</f>
        <v/>
      </c>
      <c r="E298" s="86">
        <f>VLOOKUP(A298,Database!$A:$AS,MATCH($E$1,Database!$A$1:$AS$1,0),FALSE)</f>
        <v/>
      </c>
      <c r="F298" s="86">
        <f>VLOOKUP(A298,Database!$A:$AS,MATCH($F$1,Database!$A$1:$AS$1,0),FALSE)</f>
        <v/>
      </c>
      <c r="G298" s="86">
        <f>VLOOKUP(A298,Database!$A:$AS,MATCH($G$1,Database!$A$1:$AS$1,0),FALSE)</f>
        <v/>
      </c>
      <c r="H298" s="86">
        <f>(((Table134567891011121314151617343[[#This Row],[ITA]]-VLOOKUP($U$1,A:B,2,))/VLOOKUP($U$1,A:B,2,))*100)+100</f>
        <v/>
      </c>
      <c r="I298" s="86">
        <f>(((Table134567891011121314151617343[[#This Row],[FRA]]-VLOOKUP($U$1,A:C,3,))/VLOOKUP($U$1,A:C,3,))*100)+100</f>
        <v/>
      </c>
      <c r="J298" s="86">
        <f>(((Table134567891011121314151617343[[#This Row],[DEU]]-VLOOKUP($U$1,A:D,4,))/VLOOKUP($U$1,A:D,4,))*100)+100</f>
        <v/>
      </c>
      <c r="K298" s="86">
        <f>(((Table134567891011121314151617343[[#This Row],[ESP]]-VLOOKUP($U$1,A:E,5,))/VLOOKUP($U$1,A:E,5,))*100)+100</f>
        <v/>
      </c>
      <c r="L298" s="86">
        <f>(((Table134567891011121314151617343[[#This Row],[EA19]]-VLOOKUP($U$1,A:F,6,))/VLOOKUP($U$1,A:F,6,))*100)+100</f>
        <v/>
      </c>
      <c r="M298" s="86">
        <f>(((Table134567891011121314151617343[[#This Row],[GBR]]-VLOOKUP($U$1,A:G,7,))/VLOOKUP($U$1,A:G,7,))*100)+100</f>
        <v/>
      </c>
      <c r="N298" s="86">
        <f>VLOOKUP(A298,Database!$A:$AS,MATCH($N$1,Database!$A$1:$AS$1,0),FALSE)</f>
        <v/>
      </c>
      <c r="O298" s="86">
        <f>(((Table134567891011121314151617343[[#This Row],[USA]]-VLOOKUP($U$1,A:N,14,))/VLOOKUP($U$1,A:N,14,))*100)+100</f>
        <v/>
      </c>
      <c r="P298" s="86">
        <f>VLOOKUP(A298,Database!$A:$AS,MATCH($P$1,Database!$A$1:$AS$1,0),FALSE)</f>
        <v/>
      </c>
      <c r="Q298" s="86">
        <f>(((Table134567891011121314151617343[[#This Row],[JPN]]-VLOOKUP($U$1,A:Q,16,))/VLOOKUP($U$1,A:Q,16,))*100)+100</f>
        <v/>
      </c>
    </row>
    <row r="299" customFormat="1" s="94">
      <c r="A299" s="22" t="n">
        <v>41913</v>
      </c>
      <c r="B299" s="86">
        <f>VLOOKUP(A299,Database!$A:$AS,MATCH($B$1,Database!$A$1:$AS$1,0),FALSE)</f>
        <v/>
      </c>
      <c r="C299" s="86">
        <f>VLOOKUP(A299,Database!$A:$AS,MATCH($C$1,Database!$A$1:$AS$1,0),FALSE)</f>
        <v/>
      </c>
      <c r="D299" s="86">
        <f>VLOOKUP(A299,Database!$A:$AS,MATCH($D$1,Database!$A$1:$AS$1,0),FALSE)</f>
        <v/>
      </c>
      <c r="E299" s="86">
        <f>VLOOKUP(A299,Database!$A:$AS,MATCH($E$1,Database!$A$1:$AS$1,0),FALSE)</f>
        <v/>
      </c>
      <c r="F299" s="86">
        <f>VLOOKUP(A299,Database!$A:$AS,MATCH($F$1,Database!$A$1:$AS$1,0),FALSE)</f>
        <v/>
      </c>
      <c r="G299" s="86">
        <f>VLOOKUP(A299,Database!$A:$AS,MATCH($G$1,Database!$A$1:$AS$1,0),FALSE)</f>
        <v/>
      </c>
      <c r="H299" s="86">
        <f>(((Table134567891011121314151617343[[#This Row],[ITA]]-VLOOKUP($U$1,A:B,2,))/VLOOKUP($U$1,A:B,2,))*100)+100</f>
        <v/>
      </c>
      <c r="I299" s="86">
        <f>(((Table134567891011121314151617343[[#This Row],[FRA]]-VLOOKUP($U$1,A:C,3,))/VLOOKUP($U$1,A:C,3,))*100)+100</f>
        <v/>
      </c>
      <c r="J299" s="86">
        <f>(((Table134567891011121314151617343[[#This Row],[DEU]]-VLOOKUP($U$1,A:D,4,))/VLOOKUP($U$1,A:D,4,))*100)+100</f>
        <v/>
      </c>
      <c r="K299" s="86">
        <f>(((Table134567891011121314151617343[[#This Row],[ESP]]-VLOOKUP($U$1,A:E,5,))/VLOOKUP($U$1,A:E,5,))*100)+100</f>
        <v/>
      </c>
      <c r="L299" s="86">
        <f>(((Table134567891011121314151617343[[#This Row],[EA19]]-VLOOKUP($U$1,A:F,6,))/VLOOKUP($U$1,A:F,6,))*100)+100</f>
        <v/>
      </c>
      <c r="M299" s="86">
        <f>(((Table134567891011121314151617343[[#This Row],[GBR]]-VLOOKUP($U$1,A:G,7,))/VLOOKUP($U$1,A:G,7,))*100)+100</f>
        <v/>
      </c>
      <c r="N299" s="86">
        <f>VLOOKUP(A299,Database!$A:$AS,MATCH($N$1,Database!$A$1:$AS$1,0),FALSE)</f>
        <v/>
      </c>
      <c r="O299" s="86">
        <f>(((Table134567891011121314151617343[[#This Row],[USA]]-VLOOKUP($U$1,A:N,14,))/VLOOKUP($U$1,A:N,14,))*100)+100</f>
        <v/>
      </c>
      <c r="P299" s="86">
        <f>VLOOKUP(A299,Database!$A:$AS,MATCH($P$1,Database!$A$1:$AS$1,0),FALSE)</f>
        <v/>
      </c>
      <c r="Q299" s="86">
        <f>(((Table134567891011121314151617343[[#This Row],[JPN]]-VLOOKUP($U$1,A:Q,16,))/VLOOKUP($U$1,A:Q,16,))*100)+100</f>
        <v/>
      </c>
    </row>
    <row r="300" customFormat="1" s="94">
      <c r="A300" s="22" t="n">
        <v>41944</v>
      </c>
      <c r="B300" s="86">
        <f>VLOOKUP(A300,Database!$A:$AS,MATCH($B$1,Database!$A$1:$AS$1,0),FALSE)</f>
        <v/>
      </c>
      <c r="C300" s="86">
        <f>VLOOKUP(A300,Database!$A:$AS,MATCH($C$1,Database!$A$1:$AS$1,0),FALSE)</f>
        <v/>
      </c>
      <c r="D300" s="86">
        <f>VLOOKUP(A300,Database!$A:$AS,MATCH($D$1,Database!$A$1:$AS$1,0),FALSE)</f>
        <v/>
      </c>
      <c r="E300" s="86">
        <f>VLOOKUP(A300,Database!$A:$AS,MATCH($E$1,Database!$A$1:$AS$1,0),FALSE)</f>
        <v/>
      </c>
      <c r="F300" s="86">
        <f>VLOOKUP(A300,Database!$A:$AS,MATCH($F$1,Database!$A$1:$AS$1,0),FALSE)</f>
        <v/>
      </c>
      <c r="G300" s="86">
        <f>VLOOKUP(A300,Database!$A:$AS,MATCH($G$1,Database!$A$1:$AS$1,0),FALSE)</f>
        <v/>
      </c>
      <c r="H300" s="86">
        <f>(((Table134567891011121314151617343[[#This Row],[ITA]]-VLOOKUP($U$1,A:B,2,))/VLOOKUP($U$1,A:B,2,))*100)+100</f>
        <v/>
      </c>
      <c r="I300" s="86">
        <f>(((Table134567891011121314151617343[[#This Row],[FRA]]-VLOOKUP($U$1,A:C,3,))/VLOOKUP($U$1,A:C,3,))*100)+100</f>
        <v/>
      </c>
      <c r="J300" s="86">
        <f>(((Table134567891011121314151617343[[#This Row],[DEU]]-VLOOKUP($U$1,A:D,4,))/VLOOKUP($U$1,A:D,4,))*100)+100</f>
        <v/>
      </c>
      <c r="K300" s="86">
        <f>(((Table134567891011121314151617343[[#This Row],[ESP]]-VLOOKUP($U$1,A:E,5,))/VLOOKUP($U$1,A:E,5,))*100)+100</f>
        <v/>
      </c>
      <c r="L300" s="86">
        <f>(((Table134567891011121314151617343[[#This Row],[EA19]]-VLOOKUP($U$1,A:F,6,))/VLOOKUP($U$1,A:F,6,))*100)+100</f>
        <v/>
      </c>
      <c r="M300" s="86">
        <f>(((Table134567891011121314151617343[[#This Row],[GBR]]-VLOOKUP($U$1,A:G,7,))/VLOOKUP($U$1,A:G,7,))*100)+100</f>
        <v/>
      </c>
      <c r="N300" s="86">
        <f>VLOOKUP(A300,Database!$A:$AS,MATCH($N$1,Database!$A$1:$AS$1,0),FALSE)</f>
        <v/>
      </c>
      <c r="O300" s="86">
        <f>(((Table134567891011121314151617343[[#This Row],[USA]]-VLOOKUP($U$1,A:N,14,))/VLOOKUP($U$1,A:N,14,))*100)+100</f>
        <v/>
      </c>
      <c r="P300" s="86">
        <f>VLOOKUP(A300,Database!$A:$AS,MATCH($P$1,Database!$A$1:$AS$1,0),FALSE)</f>
        <v/>
      </c>
      <c r="Q300" s="86">
        <f>(((Table134567891011121314151617343[[#This Row],[JPN]]-VLOOKUP($U$1,A:Q,16,))/VLOOKUP($U$1,A:Q,16,))*100)+100</f>
        <v/>
      </c>
    </row>
    <row r="301" customFormat="1" s="94">
      <c r="A301" s="22" t="n">
        <v>41974</v>
      </c>
      <c r="B301" s="86">
        <f>VLOOKUP(A301,Database!$A:$AS,MATCH($B$1,Database!$A$1:$AS$1,0),FALSE)</f>
        <v/>
      </c>
      <c r="C301" s="86">
        <f>VLOOKUP(A301,Database!$A:$AS,MATCH($C$1,Database!$A$1:$AS$1,0),FALSE)</f>
        <v/>
      </c>
      <c r="D301" s="86">
        <f>VLOOKUP(A301,Database!$A:$AS,MATCH($D$1,Database!$A$1:$AS$1,0),FALSE)</f>
        <v/>
      </c>
      <c r="E301" s="86">
        <f>VLOOKUP(A301,Database!$A:$AS,MATCH($E$1,Database!$A$1:$AS$1,0),FALSE)</f>
        <v/>
      </c>
      <c r="F301" s="86">
        <f>VLOOKUP(A301,Database!$A:$AS,MATCH($F$1,Database!$A$1:$AS$1,0),FALSE)</f>
        <v/>
      </c>
      <c r="G301" s="86">
        <f>VLOOKUP(A301,Database!$A:$AS,MATCH($G$1,Database!$A$1:$AS$1,0),FALSE)</f>
        <v/>
      </c>
      <c r="H301" s="86">
        <f>(((Table134567891011121314151617343[[#This Row],[ITA]]-VLOOKUP($U$1,A:B,2,))/VLOOKUP($U$1,A:B,2,))*100)+100</f>
        <v/>
      </c>
      <c r="I301" s="86">
        <f>(((Table134567891011121314151617343[[#This Row],[FRA]]-VLOOKUP($U$1,A:C,3,))/VLOOKUP($U$1,A:C,3,))*100)+100</f>
        <v/>
      </c>
      <c r="J301" s="86">
        <f>(((Table134567891011121314151617343[[#This Row],[DEU]]-VLOOKUP($U$1,A:D,4,))/VLOOKUP($U$1,A:D,4,))*100)+100</f>
        <v/>
      </c>
      <c r="K301" s="86">
        <f>(((Table134567891011121314151617343[[#This Row],[ESP]]-VLOOKUP($U$1,A:E,5,))/VLOOKUP($U$1,A:E,5,))*100)+100</f>
        <v/>
      </c>
      <c r="L301" s="86">
        <f>(((Table134567891011121314151617343[[#This Row],[EA19]]-VLOOKUP($U$1,A:F,6,))/VLOOKUP($U$1,A:F,6,))*100)+100</f>
        <v/>
      </c>
      <c r="M301" s="86">
        <f>(((Table134567891011121314151617343[[#This Row],[GBR]]-VLOOKUP($U$1,A:G,7,))/VLOOKUP($U$1,A:G,7,))*100)+100</f>
        <v/>
      </c>
      <c r="N301" s="86">
        <f>VLOOKUP(A301,Database!$A:$AS,MATCH($N$1,Database!$A$1:$AS$1,0),FALSE)</f>
        <v/>
      </c>
      <c r="O301" s="86">
        <f>(((Table134567891011121314151617343[[#This Row],[USA]]-VLOOKUP($U$1,A:N,14,))/VLOOKUP($U$1,A:N,14,))*100)+100</f>
        <v/>
      </c>
      <c r="P301" s="86">
        <f>VLOOKUP(A301,Database!$A:$AS,MATCH($P$1,Database!$A$1:$AS$1,0),FALSE)</f>
        <v/>
      </c>
      <c r="Q301" s="86">
        <f>(((Table134567891011121314151617343[[#This Row],[JPN]]-VLOOKUP($U$1,A:Q,16,))/VLOOKUP($U$1,A:Q,16,))*100)+100</f>
        <v/>
      </c>
    </row>
    <row r="302" customFormat="1" s="94">
      <c r="A302" s="22" t="n">
        <v>42005</v>
      </c>
      <c r="B302" s="86">
        <f>VLOOKUP(A302,Database!$A:$AS,MATCH($B$1,Database!$A$1:$AS$1,0),FALSE)</f>
        <v/>
      </c>
      <c r="C302" s="86">
        <f>VLOOKUP(A302,Database!$A:$AS,MATCH($C$1,Database!$A$1:$AS$1,0),FALSE)</f>
        <v/>
      </c>
      <c r="D302" s="86">
        <f>VLOOKUP(A302,Database!$A:$AS,MATCH($D$1,Database!$A$1:$AS$1,0),FALSE)</f>
        <v/>
      </c>
      <c r="E302" s="86">
        <f>VLOOKUP(A302,Database!$A:$AS,MATCH($E$1,Database!$A$1:$AS$1,0),FALSE)</f>
        <v/>
      </c>
      <c r="F302" s="86">
        <f>VLOOKUP(A302,Database!$A:$AS,MATCH($F$1,Database!$A$1:$AS$1,0),FALSE)</f>
        <v/>
      </c>
      <c r="G302" s="86">
        <f>VLOOKUP(A302,Database!$A:$AS,MATCH($G$1,Database!$A$1:$AS$1,0),FALSE)</f>
        <v/>
      </c>
      <c r="H302" s="86">
        <f>(((Table134567891011121314151617343[[#This Row],[ITA]]-VLOOKUP($U$1,A:B,2,))/VLOOKUP($U$1,A:B,2,))*100)+100</f>
        <v/>
      </c>
      <c r="I302" s="86">
        <f>(((Table134567891011121314151617343[[#This Row],[FRA]]-VLOOKUP($U$1,A:C,3,))/VLOOKUP($U$1,A:C,3,))*100)+100</f>
        <v/>
      </c>
      <c r="J302" s="86">
        <f>(((Table134567891011121314151617343[[#This Row],[DEU]]-VLOOKUP($U$1,A:D,4,))/VLOOKUP($U$1,A:D,4,))*100)+100</f>
        <v/>
      </c>
      <c r="K302" s="86">
        <f>(((Table134567891011121314151617343[[#This Row],[ESP]]-VLOOKUP($U$1,A:E,5,))/VLOOKUP($U$1,A:E,5,))*100)+100</f>
        <v/>
      </c>
      <c r="L302" s="86">
        <f>(((Table134567891011121314151617343[[#This Row],[EA19]]-VLOOKUP($U$1,A:F,6,))/VLOOKUP($U$1,A:F,6,))*100)+100</f>
        <v/>
      </c>
      <c r="M302" s="86">
        <f>(((Table134567891011121314151617343[[#This Row],[GBR]]-VLOOKUP($U$1,A:G,7,))/VLOOKUP($U$1,A:G,7,))*100)+100</f>
        <v/>
      </c>
      <c r="N302" s="86">
        <f>VLOOKUP(A302,Database!$A:$AS,MATCH($N$1,Database!$A$1:$AS$1,0),FALSE)</f>
        <v/>
      </c>
      <c r="O302" s="86">
        <f>(((Table134567891011121314151617343[[#This Row],[USA]]-VLOOKUP($U$1,A:N,14,))/VLOOKUP($U$1,A:N,14,))*100)+100</f>
        <v/>
      </c>
      <c r="P302" s="86">
        <f>VLOOKUP(A302,Database!$A:$AS,MATCH($P$1,Database!$A$1:$AS$1,0),FALSE)</f>
        <v/>
      </c>
      <c r="Q302" s="86">
        <f>(((Table134567891011121314151617343[[#This Row],[JPN]]-VLOOKUP($U$1,A:Q,16,))/VLOOKUP($U$1,A:Q,16,))*100)+100</f>
        <v/>
      </c>
    </row>
    <row r="303" customFormat="1" s="94">
      <c r="A303" s="22" t="n">
        <v>42036</v>
      </c>
      <c r="B303" s="86">
        <f>VLOOKUP(A303,Database!$A:$AS,MATCH($B$1,Database!$A$1:$AS$1,0),FALSE)</f>
        <v/>
      </c>
      <c r="C303" s="86">
        <f>VLOOKUP(A303,Database!$A:$AS,MATCH($C$1,Database!$A$1:$AS$1,0),FALSE)</f>
        <v/>
      </c>
      <c r="D303" s="86">
        <f>VLOOKUP(A303,Database!$A:$AS,MATCH($D$1,Database!$A$1:$AS$1,0),FALSE)</f>
        <v/>
      </c>
      <c r="E303" s="86">
        <f>VLOOKUP(A303,Database!$A:$AS,MATCH($E$1,Database!$A$1:$AS$1,0),FALSE)</f>
        <v/>
      </c>
      <c r="F303" s="86">
        <f>VLOOKUP(A303,Database!$A:$AS,MATCH($F$1,Database!$A$1:$AS$1,0),FALSE)</f>
        <v/>
      </c>
      <c r="G303" s="86">
        <f>VLOOKUP(A303,Database!$A:$AS,MATCH($G$1,Database!$A$1:$AS$1,0),FALSE)</f>
        <v/>
      </c>
      <c r="H303" s="86">
        <f>(((Table134567891011121314151617343[[#This Row],[ITA]]-VLOOKUP($U$1,A:B,2,))/VLOOKUP($U$1,A:B,2,))*100)+100</f>
        <v/>
      </c>
      <c r="I303" s="86">
        <f>(((Table134567891011121314151617343[[#This Row],[FRA]]-VLOOKUP($U$1,A:C,3,))/VLOOKUP($U$1,A:C,3,))*100)+100</f>
        <v/>
      </c>
      <c r="J303" s="86">
        <f>(((Table134567891011121314151617343[[#This Row],[DEU]]-VLOOKUP($U$1,A:D,4,))/VLOOKUP($U$1,A:D,4,))*100)+100</f>
        <v/>
      </c>
      <c r="K303" s="86">
        <f>(((Table134567891011121314151617343[[#This Row],[ESP]]-VLOOKUP($U$1,A:E,5,))/VLOOKUP($U$1,A:E,5,))*100)+100</f>
        <v/>
      </c>
      <c r="L303" s="86">
        <f>(((Table134567891011121314151617343[[#This Row],[EA19]]-VLOOKUP($U$1,A:F,6,))/VLOOKUP($U$1,A:F,6,))*100)+100</f>
        <v/>
      </c>
      <c r="M303" s="86">
        <f>(((Table134567891011121314151617343[[#This Row],[GBR]]-VLOOKUP($U$1,A:G,7,))/VLOOKUP($U$1,A:G,7,))*100)+100</f>
        <v/>
      </c>
      <c r="N303" s="86">
        <f>VLOOKUP(A303,Database!$A:$AS,MATCH($N$1,Database!$A$1:$AS$1,0),FALSE)</f>
        <v/>
      </c>
      <c r="O303" s="86">
        <f>(((Table134567891011121314151617343[[#This Row],[USA]]-VLOOKUP($U$1,A:N,14,))/VLOOKUP($U$1,A:N,14,))*100)+100</f>
        <v/>
      </c>
      <c r="P303" s="86">
        <f>VLOOKUP(A303,Database!$A:$AS,MATCH($P$1,Database!$A$1:$AS$1,0),FALSE)</f>
        <v/>
      </c>
      <c r="Q303" s="86">
        <f>(((Table134567891011121314151617343[[#This Row],[JPN]]-VLOOKUP($U$1,A:Q,16,))/VLOOKUP($U$1,A:Q,16,))*100)+100</f>
        <v/>
      </c>
    </row>
    <row r="304" customFormat="1" s="94">
      <c r="A304" s="22" t="n">
        <v>42064</v>
      </c>
      <c r="B304" s="86">
        <f>VLOOKUP(A304,Database!$A:$AS,MATCH($B$1,Database!$A$1:$AS$1,0),FALSE)</f>
        <v/>
      </c>
      <c r="C304" s="86">
        <f>VLOOKUP(A304,Database!$A:$AS,MATCH($C$1,Database!$A$1:$AS$1,0),FALSE)</f>
        <v/>
      </c>
      <c r="D304" s="86">
        <f>VLOOKUP(A304,Database!$A:$AS,MATCH($D$1,Database!$A$1:$AS$1,0),FALSE)</f>
        <v/>
      </c>
      <c r="E304" s="86">
        <f>VLOOKUP(A304,Database!$A:$AS,MATCH($E$1,Database!$A$1:$AS$1,0),FALSE)</f>
        <v/>
      </c>
      <c r="F304" s="86">
        <f>VLOOKUP(A304,Database!$A:$AS,MATCH($F$1,Database!$A$1:$AS$1,0),FALSE)</f>
        <v/>
      </c>
      <c r="G304" s="86">
        <f>VLOOKUP(A304,Database!$A:$AS,MATCH($G$1,Database!$A$1:$AS$1,0),FALSE)</f>
        <v/>
      </c>
      <c r="H304" s="86">
        <f>(((Table134567891011121314151617343[[#This Row],[ITA]]-VLOOKUP($U$1,A:B,2,))/VLOOKUP($U$1,A:B,2,))*100)+100</f>
        <v/>
      </c>
      <c r="I304" s="86">
        <f>(((Table134567891011121314151617343[[#This Row],[FRA]]-VLOOKUP($U$1,A:C,3,))/VLOOKUP($U$1,A:C,3,))*100)+100</f>
        <v/>
      </c>
      <c r="J304" s="86">
        <f>(((Table134567891011121314151617343[[#This Row],[DEU]]-VLOOKUP($U$1,A:D,4,))/VLOOKUP($U$1,A:D,4,))*100)+100</f>
        <v/>
      </c>
      <c r="K304" s="86">
        <f>(((Table134567891011121314151617343[[#This Row],[ESP]]-VLOOKUP($U$1,A:E,5,))/VLOOKUP($U$1,A:E,5,))*100)+100</f>
        <v/>
      </c>
      <c r="L304" s="86">
        <f>(((Table134567891011121314151617343[[#This Row],[EA19]]-VLOOKUP($U$1,A:F,6,))/VLOOKUP($U$1,A:F,6,))*100)+100</f>
        <v/>
      </c>
      <c r="M304" s="86">
        <f>(((Table134567891011121314151617343[[#This Row],[GBR]]-VLOOKUP($U$1,A:G,7,))/VLOOKUP($U$1,A:G,7,))*100)+100</f>
        <v/>
      </c>
      <c r="N304" s="86">
        <f>VLOOKUP(A304,Database!$A:$AS,MATCH($N$1,Database!$A$1:$AS$1,0),FALSE)</f>
        <v/>
      </c>
      <c r="O304" s="86">
        <f>(((Table134567891011121314151617343[[#This Row],[USA]]-VLOOKUP($U$1,A:N,14,))/VLOOKUP($U$1,A:N,14,))*100)+100</f>
        <v/>
      </c>
      <c r="P304" s="86">
        <f>VLOOKUP(A304,Database!$A:$AS,MATCH($P$1,Database!$A$1:$AS$1,0),FALSE)</f>
        <v/>
      </c>
      <c r="Q304" s="86">
        <f>(((Table134567891011121314151617343[[#This Row],[JPN]]-VLOOKUP($U$1,A:Q,16,))/VLOOKUP($U$1,A:Q,16,))*100)+100</f>
        <v/>
      </c>
    </row>
    <row r="305" customFormat="1" s="94">
      <c r="A305" s="22" t="n">
        <v>42095</v>
      </c>
      <c r="B305" s="86">
        <f>VLOOKUP(A305,Database!$A:$AS,MATCH($B$1,Database!$A$1:$AS$1,0),FALSE)</f>
        <v/>
      </c>
      <c r="C305" s="86">
        <f>VLOOKUP(A305,Database!$A:$AS,MATCH($C$1,Database!$A$1:$AS$1,0),FALSE)</f>
        <v/>
      </c>
      <c r="D305" s="86">
        <f>VLOOKUP(A305,Database!$A:$AS,MATCH($D$1,Database!$A$1:$AS$1,0),FALSE)</f>
        <v/>
      </c>
      <c r="E305" s="86">
        <f>VLOOKUP(A305,Database!$A:$AS,MATCH($E$1,Database!$A$1:$AS$1,0),FALSE)</f>
        <v/>
      </c>
      <c r="F305" s="86">
        <f>VLOOKUP(A305,Database!$A:$AS,MATCH($F$1,Database!$A$1:$AS$1,0),FALSE)</f>
        <v/>
      </c>
      <c r="G305" s="86">
        <f>VLOOKUP(A305,Database!$A:$AS,MATCH($G$1,Database!$A$1:$AS$1,0),FALSE)</f>
        <v/>
      </c>
      <c r="H305" s="86">
        <f>(((Table134567891011121314151617343[[#This Row],[ITA]]-VLOOKUP($U$1,A:B,2,))/VLOOKUP($U$1,A:B,2,))*100)+100</f>
        <v/>
      </c>
      <c r="I305" s="86">
        <f>(((Table134567891011121314151617343[[#This Row],[FRA]]-VLOOKUP($U$1,A:C,3,))/VLOOKUP($U$1,A:C,3,))*100)+100</f>
        <v/>
      </c>
      <c r="J305" s="86">
        <f>(((Table134567891011121314151617343[[#This Row],[DEU]]-VLOOKUP($U$1,A:D,4,))/VLOOKUP($U$1,A:D,4,))*100)+100</f>
        <v/>
      </c>
      <c r="K305" s="86">
        <f>(((Table134567891011121314151617343[[#This Row],[ESP]]-VLOOKUP($U$1,A:E,5,))/VLOOKUP($U$1,A:E,5,))*100)+100</f>
        <v/>
      </c>
      <c r="L305" s="86">
        <f>(((Table134567891011121314151617343[[#This Row],[EA19]]-VLOOKUP($U$1,A:F,6,))/VLOOKUP($U$1,A:F,6,))*100)+100</f>
        <v/>
      </c>
      <c r="M305" s="86">
        <f>(((Table134567891011121314151617343[[#This Row],[GBR]]-VLOOKUP($U$1,A:G,7,))/VLOOKUP($U$1,A:G,7,))*100)+100</f>
        <v/>
      </c>
      <c r="N305" s="86">
        <f>VLOOKUP(A305,Database!$A:$AS,MATCH($N$1,Database!$A$1:$AS$1,0),FALSE)</f>
        <v/>
      </c>
      <c r="O305" s="86">
        <f>(((Table134567891011121314151617343[[#This Row],[USA]]-VLOOKUP($U$1,A:N,14,))/VLOOKUP($U$1,A:N,14,))*100)+100</f>
        <v/>
      </c>
      <c r="P305" s="86">
        <f>VLOOKUP(A305,Database!$A:$AS,MATCH($P$1,Database!$A$1:$AS$1,0),FALSE)</f>
        <v/>
      </c>
      <c r="Q305" s="86">
        <f>(((Table134567891011121314151617343[[#This Row],[JPN]]-VLOOKUP($U$1,A:Q,16,))/VLOOKUP($U$1,A:Q,16,))*100)+100</f>
        <v/>
      </c>
    </row>
    <row r="306" customFormat="1" s="94">
      <c r="A306" s="22" t="n">
        <v>42125</v>
      </c>
      <c r="B306" s="86">
        <f>VLOOKUP(A306,Database!$A:$AS,MATCH($B$1,Database!$A$1:$AS$1,0),FALSE)</f>
        <v/>
      </c>
      <c r="C306" s="86">
        <f>VLOOKUP(A306,Database!$A:$AS,MATCH($C$1,Database!$A$1:$AS$1,0),FALSE)</f>
        <v/>
      </c>
      <c r="D306" s="86">
        <f>VLOOKUP(A306,Database!$A:$AS,MATCH($D$1,Database!$A$1:$AS$1,0),FALSE)</f>
        <v/>
      </c>
      <c r="E306" s="86">
        <f>VLOOKUP(A306,Database!$A:$AS,MATCH($E$1,Database!$A$1:$AS$1,0),FALSE)</f>
        <v/>
      </c>
      <c r="F306" s="86">
        <f>VLOOKUP(A306,Database!$A:$AS,MATCH($F$1,Database!$A$1:$AS$1,0),FALSE)</f>
        <v/>
      </c>
      <c r="G306" s="86">
        <f>VLOOKUP(A306,Database!$A:$AS,MATCH($G$1,Database!$A$1:$AS$1,0),FALSE)</f>
        <v/>
      </c>
      <c r="H306" s="86">
        <f>(((Table134567891011121314151617343[[#This Row],[ITA]]-VLOOKUP($U$1,A:B,2,))/VLOOKUP($U$1,A:B,2,))*100)+100</f>
        <v/>
      </c>
      <c r="I306" s="86">
        <f>(((Table134567891011121314151617343[[#This Row],[FRA]]-VLOOKUP($U$1,A:C,3,))/VLOOKUP($U$1,A:C,3,))*100)+100</f>
        <v/>
      </c>
      <c r="J306" s="86">
        <f>(((Table134567891011121314151617343[[#This Row],[DEU]]-VLOOKUP($U$1,A:D,4,))/VLOOKUP($U$1,A:D,4,))*100)+100</f>
        <v/>
      </c>
      <c r="K306" s="86">
        <f>(((Table134567891011121314151617343[[#This Row],[ESP]]-VLOOKUP($U$1,A:E,5,))/VLOOKUP($U$1,A:E,5,))*100)+100</f>
        <v/>
      </c>
      <c r="L306" s="86">
        <f>(((Table134567891011121314151617343[[#This Row],[EA19]]-VLOOKUP($U$1,A:F,6,))/VLOOKUP($U$1,A:F,6,))*100)+100</f>
        <v/>
      </c>
      <c r="M306" s="86">
        <f>(((Table134567891011121314151617343[[#This Row],[GBR]]-VLOOKUP($U$1,A:G,7,))/VLOOKUP($U$1,A:G,7,))*100)+100</f>
        <v/>
      </c>
      <c r="N306" s="86">
        <f>VLOOKUP(A306,Database!$A:$AS,MATCH($N$1,Database!$A$1:$AS$1,0),FALSE)</f>
        <v/>
      </c>
      <c r="O306" s="86">
        <f>(((Table134567891011121314151617343[[#This Row],[USA]]-VLOOKUP($U$1,A:N,14,))/VLOOKUP($U$1,A:N,14,))*100)+100</f>
        <v/>
      </c>
      <c r="P306" s="86">
        <f>VLOOKUP(A306,Database!$A:$AS,MATCH($P$1,Database!$A$1:$AS$1,0),FALSE)</f>
        <v/>
      </c>
      <c r="Q306" s="86">
        <f>(((Table134567891011121314151617343[[#This Row],[JPN]]-VLOOKUP($U$1,A:Q,16,))/VLOOKUP($U$1,A:Q,16,))*100)+100</f>
        <v/>
      </c>
    </row>
    <row r="307" customFormat="1" s="94">
      <c r="A307" s="22" t="n">
        <v>42156</v>
      </c>
      <c r="B307" s="86">
        <f>VLOOKUP(A307,Database!$A:$AS,MATCH($B$1,Database!$A$1:$AS$1,0),FALSE)</f>
        <v/>
      </c>
      <c r="C307" s="86">
        <f>VLOOKUP(A307,Database!$A:$AS,MATCH($C$1,Database!$A$1:$AS$1,0),FALSE)</f>
        <v/>
      </c>
      <c r="D307" s="86">
        <f>VLOOKUP(A307,Database!$A:$AS,MATCH($D$1,Database!$A$1:$AS$1,0),FALSE)</f>
        <v/>
      </c>
      <c r="E307" s="86">
        <f>VLOOKUP(A307,Database!$A:$AS,MATCH($E$1,Database!$A$1:$AS$1,0),FALSE)</f>
        <v/>
      </c>
      <c r="F307" s="86">
        <f>VLOOKUP(A307,Database!$A:$AS,MATCH($F$1,Database!$A$1:$AS$1,0),FALSE)</f>
        <v/>
      </c>
      <c r="G307" s="86">
        <f>VLOOKUP(A307,Database!$A:$AS,MATCH($G$1,Database!$A$1:$AS$1,0),FALSE)</f>
        <v/>
      </c>
      <c r="H307" s="86">
        <f>(((Table134567891011121314151617343[[#This Row],[ITA]]-VLOOKUP($U$1,A:B,2,))/VLOOKUP($U$1,A:B,2,))*100)+100</f>
        <v/>
      </c>
      <c r="I307" s="86">
        <f>(((Table134567891011121314151617343[[#This Row],[FRA]]-VLOOKUP($U$1,A:C,3,))/VLOOKUP($U$1,A:C,3,))*100)+100</f>
        <v/>
      </c>
      <c r="J307" s="86">
        <f>(((Table134567891011121314151617343[[#This Row],[DEU]]-VLOOKUP($U$1,A:D,4,))/VLOOKUP($U$1,A:D,4,))*100)+100</f>
        <v/>
      </c>
      <c r="K307" s="86">
        <f>(((Table134567891011121314151617343[[#This Row],[ESP]]-VLOOKUP($U$1,A:E,5,))/VLOOKUP($U$1,A:E,5,))*100)+100</f>
        <v/>
      </c>
      <c r="L307" s="86">
        <f>(((Table134567891011121314151617343[[#This Row],[EA19]]-VLOOKUP($U$1,A:F,6,))/VLOOKUP($U$1,A:F,6,))*100)+100</f>
        <v/>
      </c>
      <c r="M307" s="86">
        <f>(((Table134567891011121314151617343[[#This Row],[GBR]]-VLOOKUP($U$1,A:G,7,))/VLOOKUP($U$1,A:G,7,))*100)+100</f>
        <v/>
      </c>
      <c r="N307" s="86">
        <f>VLOOKUP(A307,Database!$A:$AS,MATCH($N$1,Database!$A$1:$AS$1,0),FALSE)</f>
        <v/>
      </c>
      <c r="O307" s="86">
        <f>(((Table134567891011121314151617343[[#This Row],[USA]]-VLOOKUP($U$1,A:N,14,))/VLOOKUP($U$1,A:N,14,))*100)+100</f>
        <v/>
      </c>
      <c r="P307" s="86">
        <f>VLOOKUP(A307,Database!$A:$AS,MATCH($P$1,Database!$A$1:$AS$1,0),FALSE)</f>
        <v/>
      </c>
      <c r="Q307" s="86">
        <f>(((Table134567891011121314151617343[[#This Row],[JPN]]-VLOOKUP($U$1,A:Q,16,))/VLOOKUP($U$1,A:Q,16,))*100)+100</f>
        <v/>
      </c>
    </row>
    <row r="308" customFormat="1" s="94">
      <c r="A308" s="22" t="n">
        <v>42186</v>
      </c>
      <c r="B308" s="86">
        <f>VLOOKUP(A308,Database!$A:$AS,MATCH($B$1,Database!$A$1:$AS$1,0),FALSE)</f>
        <v/>
      </c>
      <c r="C308" s="86">
        <f>VLOOKUP(A308,Database!$A:$AS,MATCH($C$1,Database!$A$1:$AS$1,0),FALSE)</f>
        <v/>
      </c>
      <c r="D308" s="86">
        <f>VLOOKUP(A308,Database!$A:$AS,MATCH($D$1,Database!$A$1:$AS$1,0),FALSE)</f>
        <v/>
      </c>
      <c r="E308" s="86">
        <f>VLOOKUP(A308,Database!$A:$AS,MATCH($E$1,Database!$A$1:$AS$1,0),FALSE)</f>
        <v/>
      </c>
      <c r="F308" s="86">
        <f>VLOOKUP(A308,Database!$A:$AS,MATCH($F$1,Database!$A$1:$AS$1,0),FALSE)</f>
        <v/>
      </c>
      <c r="G308" s="86">
        <f>VLOOKUP(A308,Database!$A:$AS,MATCH($G$1,Database!$A$1:$AS$1,0),FALSE)</f>
        <v/>
      </c>
      <c r="H308" s="86">
        <f>(((Table134567891011121314151617343[[#This Row],[ITA]]-VLOOKUP($U$1,A:B,2,))/VLOOKUP($U$1,A:B,2,))*100)+100</f>
        <v/>
      </c>
      <c r="I308" s="86">
        <f>(((Table134567891011121314151617343[[#This Row],[FRA]]-VLOOKUP($U$1,A:C,3,))/VLOOKUP($U$1,A:C,3,))*100)+100</f>
        <v/>
      </c>
      <c r="J308" s="86">
        <f>(((Table134567891011121314151617343[[#This Row],[DEU]]-VLOOKUP($U$1,A:D,4,))/VLOOKUP($U$1,A:D,4,))*100)+100</f>
        <v/>
      </c>
      <c r="K308" s="86">
        <f>(((Table134567891011121314151617343[[#This Row],[ESP]]-VLOOKUP($U$1,A:E,5,))/VLOOKUP($U$1,A:E,5,))*100)+100</f>
        <v/>
      </c>
      <c r="L308" s="86">
        <f>(((Table134567891011121314151617343[[#This Row],[EA19]]-VLOOKUP($U$1,A:F,6,))/VLOOKUP($U$1,A:F,6,))*100)+100</f>
        <v/>
      </c>
      <c r="M308" s="86">
        <f>(((Table134567891011121314151617343[[#This Row],[GBR]]-VLOOKUP($U$1,A:G,7,))/VLOOKUP($U$1,A:G,7,))*100)+100</f>
        <v/>
      </c>
      <c r="N308" s="86">
        <f>VLOOKUP(A308,Database!$A:$AS,MATCH($N$1,Database!$A$1:$AS$1,0),FALSE)</f>
        <v/>
      </c>
      <c r="O308" s="86">
        <f>(((Table134567891011121314151617343[[#This Row],[USA]]-VLOOKUP($U$1,A:N,14,))/VLOOKUP($U$1,A:N,14,))*100)+100</f>
        <v/>
      </c>
      <c r="P308" s="86">
        <f>VLOOKUP(A308,Database!$A:$AS,MATCH($P$1,Database!$A$1:$AS$1,0),FALSE)</f>
        <v/>
      </c>
      <c r="Q308" s="86">
        <f>(((Table134567891011121314151617343[[#This Row],[JPN]]-VLOOKUP($U$1,A:Q,16,))/VLOOKUP($U$1,A:Q,16,))*100)+100</f>
        <v/>
      </c>
    </row>
    <row r="309" customFormat="1" s="94">
      <c r="A309" s="22" t="n">
        <v>42217</v>
      </c>
      <c r="B309" s="86">
        <f>VLOOKUP(A309,Database!$A:$AS,MATCH($B$1,Database!$A$1:$AS$1,0),FALSE)</f>
        <v/>
      </c>
      <c r="C309" s="86">
        <f>VLOOKUP(A309,Database!$A:$AS,MATCH($C$1,Database!$A$1:$AS$1,0),FALSE)</f>
        <v/>
      </c>
      <c r="D309" s="86">
        <f>VLOOKUP(A309,Database!$A:$AS,MATCH($D$1,Database!$A$1:$AS$1,0),FALSE)</f>
        <v/>
      </c>
      <c r="E309" s="86">
        <f>VLOOKUP(A309,Database!$A:$AS,MATCH($E$1,Database!$A$1:$AS$1,0),FALSE)</f>
        <v/>
      </c>
      <c r="F309" s="86">
        <f>VLOOKUP(A309,Database!$A:$AS,MATCH($F$1,Database!$A$1:$AS$1,0),FALSE)</f>
        <v/>
      </c>
      <c r="G309" s="86">
        <f>VLOOKUP(A309,Database!$A:$AS,MATCH($G$1,Database!$A$1:$AS$1,0),FALSE)</f>
        <v/>
      </c>
      <c r="H309" s="86">
        <f>(((Table134567891011121314151617343[[#This Row],[ITA]]-VLOOKUP($U$1,A:B,2,))/VLOOKUP($U$1,A:B,2,))*100)+100</f>
        <v/>
      </c>
      <c r="I309" s="86">
        <f>(((Table134567891011121314151617343[[#This Row],[FRA]]-VLOOKUP($U$1,A:C,3,))/VLOOKUP($U$1,A:C,3,))*100)+100</f>
        <v/>
      </c>
      <c r="J309" s="86">
        <f>(((Table134567891011121314151617343[[#This Row],[DEU]]-VLOOKUP($U$1,A:D,4,))/VLOOKUP($U$1,A:D,4,))*100)+100</f>
        <v/>
      </c>
      <c r="K309" s="86">
        <f>(((Table134567891011121314151617343[[#This Row],[ESP]]-VLOOKUP($U$1,A:E,5,))/VLOOKUP($U$1,A:E,5,))*100)+100</f>
        <v/>
      </c>
      <c r="L309" s="86">
        <f>(((Table134567891011121314151617343[[#This Row],[EA19]]-VLOOKUP($U$1,A:F,6,))/VLOOKUP($U$1,A:F,6,))*100)+100</f>
        <v/>
      </c>
      <c r="M309" s="86">
        <f>(((Table134567891011121314151617343[[#This Row],[GBR]]-VLOOKUP($U$1,A:G,7,))/VLOOKUP($U$1,A:G,7,))*100)+100</f>
        <v/>
      </c>
      <c r="N309" s="86">
        <f>VLOOKUP(A309,Database!$A:$AS,MATCH($N$1,Database!$A$1:$AS$1,0),FALSE)</f>
        <v/>
      </c>
      <c r="O309" s="86">
        <f>(((Table134567891011121314151617343[[#This Row],[USA]]-VLOOKUP($U$1,A:N,14,))/VLOOKUP($U$1,A:N,14,))*100)+100</f>
        <v/>
      </c>
      <c r="P309" s="86">
        <f>VLOOKUP(A309,Database!$A:$AS,MATCH($P$1,Database!$A$1:$AS$1,0),FALSE)</f>
        <v/>
      </c>
      <c r="Q309" s="86">
        <f>(((Table134567891011121314151617343[[#This Row],[JPN]]-VLOOKUP($U$1,A:Q,16,))/VLOOKUP($U$1,A:Q,16,))*100)+100</f>
        <v/>
      </c>
    </row>
    <row r="310" customFormat="1" s="94">
      <c r="A310" s="22" t="n">
        <v>42248</v>
      </c>
      <c r="B310" s="86">
        <f>VLOOKUP(A310,Database!$A:$AS,MATCH($B$1,Database!$A$1:$AS$1,0),FALSE)</f>
        <v/>
      </c>
      <c r="C310" s="86">
        <f>VLOOKUP(A310,Database!$A:$AS,MATCH($C$1,Database!$A$1:$AS$1,0),FALSE)</f>
        <v/>
      </c>
      <c r="D310" s="86">
        <f>VLOOKUP(A310,Database!$A:$AS,MATCH($D$1,Database!$A$1:$AS$1,0),FALSE)</f>
        <v/>
      </c>
      <c r="E310" s="86">
        <f>VLOOKUP(A310,Database!$A:$AS,MATCH($E$1,Database!$A$1:$AS$1,0),FALSE)</f>
        <v/>
      </c>
      <c r="F310" s="86">
        <f>VLOOKUP(A310,Database!$A:$AS,MATCH($F$1,Database!$A$1:$AS$1,0),FALSE)</f>
        <v/>
      </c>
      <c r="G310" s="86">
        <f>VLOOKUP(A310,Database!$A:$AS,MATCH($G$1,Database!$A$1:$AS$1,0),FALSE)</f>
        <v/>
      </c>
      <c r="H310" s="86">
        <f>(((Table134567891011121314151617343[[#This Row],[ITA]]-VLOOKUP($U$1,A:B,2,))/VLOOKUP($U$1,A:B,2,))*100)+100</f>
        <v/>
      </c>
      <c r="I310" s="86">
        <f>(((Table134567891011121314151617343[[#This Row],[FRA]]-VLOOKUP($U$1,A:C,3,))/VLOOKUP($U$1,A:C,3,))*100)+100</f>
        <v/>
      </c>
      <c r="J310" s="86">
        <f>(((Table134567891011121314151617343[[#This Row],[DEU]]-VLOOKUP($U$1,A:D,4,))/VLOOKUP($U$1,A:D,4,))*100)+100</f>
        <v/>
      </c>
      <c r="K310" s="86">
        <f>(((Table134567891011121314151617343[[#This Row],[ESP]]-VLOOKUP($U$1,A:E,5,))/VLOOKUP($U$1,A:E,5,))*100)+100</f>
        <v/>
      </c>
      <c r="L310" s="86">
        <f>(((Table134567891011121314151617343[[#This Row],[EA19]]-VLOOKUP($U$1,A:F,6,))/VLOOKUP($U$1,A:F,6,))*100)+100</f>
        <v/>
      </c>
      <c r="M310" s="86">
        <f>(((Table134567891011121314151617343[[#This Row],[GBR]]-VLOOKUP($U$1,A:G,7,))/VLOOKUP($U$1,A:G,7,))*100)+100</f>
        <v/>
      </c>
      <c r="N310" s="86">
        <f>VLOOKUP(A310,Database!$A:$AS,MATCH($N$1,Database!$A$1:$AS$1,0),FALSE)</f>
        <v/>
      </c>
      <c r="O310" s="86">
        <f>(((Table134567891011121314151617343[[#This Row],[USA]]-VLOOKUP($U$1,A:N,14,))/VLOOKUP($U$1,A:N,14,))*100)+100</f>
        <v/>
      </c>
      <c r="P310" s="86">
        <f>VLOOKUP(A310,Database!$A:$AS,MATCH($P$1,Database!$A$1:$AS$1,0),FALSE)</f>
        <v/>
      </c>
      <c r="Q310" s="86">
        <f>(((Table134567891011121314151617343[[#This Row],[JPN]]-VLOOKUP($U$1,A:Q,16,))/VLOOKUP($U$1,A:Q,16,))*100)+100</f>
        <v/>
      </c>
    </row>
    <row r="311" customFormat="1" s="94">
      <c r="A311" s="22" t="n">
        <v>42278</v>
      </c>
      <c r="B311" s="86">
        <f>VLOOKUP(A311,Database!$A:$AS,MATCH($B$1,Database!$A$1:$AS$1,0),FALSE)</f>
        <v/>
      </c>
      <c r="C311" s="86">
        <f>VLOOKUP(A311,Database!$A:$AS,MATCH($C$1,Database!$A$1:$AS$1,0),FALSE)</f>
        <v/>
      </c>
      <c r="D311" s="86">
        <f>VLOOKUP(A311,Database!$A:$AS,MATCH($D$1,Database!$A$1:$AS$1,0),FALSE)</f>
        <v/>
      </c>
      <c r="E311" s="86">
        <f>VLOOKUP(A311,Database!$A:$AS,MATCH($E$1,Database!$A$1:$AS$1,0),FALSE)</f>
        <v/>
      </c>
      <c r="F311" s="86">
        <f>VLOOKUP(A311,Database!$A:$AS,MATCH($F$1,Database!$A$1:$AS$1,0),FALSE)</f>
        <v/>
      </c>
      <c r="G311" s="86">
        <f>VLOOKUP(A311,Database!$A:$AS,MATCH($G$1,Database!$A$1:$AS$1,0),FALSE)</f>
        <v/>
      </c>
      <c r="H311" s="86">
        <f>(((Table134567891011121314151617343[[#This Row],[ITA]]-VLOOKUP($U$1,A:B,2,))/VLOOKUP($U$1,A:B,2,))*100)+100</f>
        <v/>
      </c>
      <c r="I311" s="86">
        <f>(((Table134567891011121314151617343[[#This Row],[FRA]]-VLOOKUP($U$1,A:C,3,))/VLOOKUP($U$1,A:C,3,))*100)+100</f>
        <v/>
      </c>
      <c r="J311" s="86">
        <f>(((Table134567891011121314151617343[[#This Row],[DEU]]-VLOOKUP($U$1,A:D,4,))/VLOOKUP($U$1,A:D,4,))*100)+100</f>
        <v/>
      </c>
      <c r="K311" s="86">
        <f>(((Table134567891011121314151617343[[#This Row],[ESP]]-VLOOKUP($U$1,A:E,5,))/VLOOKUP($U$1,A:E,5,))*100)+100</f>
        <v/>
      </c>
      <c r="L311" s="86">
        <f>(((Table134567891011121314151617343[[#This Row],[EA19]]-VLOOKUP($U$1,A:F,6,))/VLOOKUP($U$1,A:F,6,))*100)+100</f>
        <v/>
      </c>
      <c r="M311" s="86">
        <f>(((Table134567891011121314151617343[[#This Row],[GBR]]-VLOOKUP($U$1,A:G,7,))/VLOOKUP($U$1,A:G,7,))*100)+100</f>
        <v/>
      </c>
      <c r="N311" s="86">
        <f>VLOOKUP(A311,Database!$A:$AS,MATCH($N$1,Database!$A$1:$AS$1,0),FALSE)</f>
        <v/>
      </c>
      <c r="O311" s="86">
        <f>(((Table134567891011121314151617343[[#This Row],[USA]]-VLOOKUP($U$1,A:N,14,))/VLOOKUP($U$1,A:N,14,))*100)+100</f>
        <v/>
      </c>
      <c r="P311" s="86">
        <f>VLOOKUP(A311,Database!$A:$AS,MATCH($P$1,Database!$A$1:$AS$1,0),FALSE)</f>
        <v/>
      </c>
      <c r="Q311" s="86">
        <f>(((Table134567891011121314151617343[[#This Row],[JPN]]-VLOOKUP($U$1,A:Q,16,))/VLOOKUP($U$1,A:Q,16,))*100)+100</f>
        <v/>
      </c>
    </row>
    <row r="312" customFormat="1" s="94">
      <c r="A312" s="22" t="n">
        <v>42309</v>
      </c>
      <c r="B312" s="86">
        <f>VLOOKUP(A312,Database!$A:$AS,MATCH($B$1,Database!$A$1:$AS$1,0),FALSE)</f>
        <v/>
      </c>
      <c r="C312" s="86">
        <f>VLOOKUP(A312,Database!$A:$AS,MATCH($C$1,Database!$A$1:$AS$1,0),FALSE)</f>
        <v/>
      </c>
      <c r="D312" s="86">
        <f>VLOOKUP(A312,Database!$A:$AS,MATCH($D$1,Database!$A$1:$AS$1,0),FALSE)</f>
        <v/>
      </c>
      <c r="E312" s="86">
        <f>VLOOKUP(A312,Database!$A:$AS,MATCH($E$1,Database!$A$1:$AS$1,0),FALSE)</f>
        <v/>
      </c>
      <c r="F312" s="86">
        <f>VLOOKUP(A312,Database!$A:$AS,MATCH($F$1,Database!$A$1:$AS$1,0),FALSE)</f>
        <v/>
      </c>
      <c r="G312" s="86">
        <f>VLOOKUP(A312,Database!$A:$AS,MATCH($G$1,Database!$A$1:$AS$1,0),FALSE)</f>
        <v/>
      </c>
      <c r="H312" s="86">
        <f>(((Table134567891011121314151617343[[#This Row],[ITA]]-VLOOKUP($U$1,A:B,2,))/VLOOKUP($U$1,A:B,2,))*100)+100</f>
        <v/>
      </c>
      <c r="I312" s="86">
        <f>(((Table134567891011121314151617343[[#This Row],[FRA]]-VLOOKUP($U$1,A:C,3,))/VLOOKUP($U$1,A:C,3,))*100)+100</f>
        <v/>
      </c>
      <c r="J312" s="86">
        <f>(((Table134567891011121314151617343[[#This Row],[DEU]]-VLOOKUP($U$1,A:D,4,))/VLOOKUP($U$1,A:D,4,))*100)+100</f>
        <v/>
      </c>
      <c r="K312" s="86">
        <f>(((Table134567891011121314151617343[[#This Row],[ESP]]-VLOOKUP($U$1,A:E,5,))/VLOOKUP($U$1,A:E,5,))*100)+100</f>
        <v/>
      </c>
      <c r="L312" s="86">
        <f>(((Table134567891011121314151617343[[#This Row],[EA19]]-VLOOKUP($U$1,A:F,6,))/VLOOKUP($U$1,A:F,6,))*100)+100</f>
        <v/>
      </c>
      <c r="M312" s="86">
        <f>(((Table134567891011121314151617343[[#This Row],[GBR]]-VLOOKUP($U$1,A:G,7,))/VLOOKUP($U$1,A:G,7,))*100)+100</f>
        <v/>
      </c>
      <c r="N312" s="86">
        <f>VLOOKUP(A312,Database!$A:$AS,MATCH($N$1,Database!$A$1:$AS$1,0),FALSE)</f>
        <v/>
      </c>
      <c r="O312" s="86">
        <f>(((Table134567891011121314151617343[[#This Row],[USA]]-VLOOKUP($U$1,A:N,14,))/VLOOKUP($U$1,A:N,14,))*100)+100</f>
        <v/>
      </c>
      <c r="P312" s="86">
        <f>VLOOKUP(A312,Database!$A:$AS,MATCH($P$1,Database!$A$1:$AS$1,0),FALSE)</f>
        <v/>
      </c>
      <c r="Q312" s="86">
        <f>(((Table134567891011121314151617343[[#This Row],[JPN]]-VLOOKUP($U$1,A:Q,16,))/VLOOKUP($U$1,A:Q,16,))*100)+100</f>
        <v/>
      </c>
    </row>
    <row r="313" customFormat="1" s="94">
      <c r="A313" s="22" t="n">
        <v>42339</v>
      </c>
      <c r="B313" s="86">
        <f>VLOOKUP(A313,Database!$A:$AS,MATCH($B$1,Database!$A$1:$AS$1,0),FALSE)</f>
        <v/>
      </c>
      <c r="C313" s="86">
        <f>VLOOKUP(A313,Database!$A:$AS,MATCH($C$1,Database!$A$1:$AS$1,0),FALSE)</f>
        <v/>
      </c>
      <c r="D313" s="86">
        <f>VLOOKUP(A313,Database!$A:$AS,MATCH($D$1,Database!$A$1:$AS$1,0),FALSE)</f>
        <v/>
      </c>
      <c r="E313" s="86">
        <f>VLOOKUP(A313,Database!$A:$AS,MATCH($E$1,Database!$A$1:$AS$1,0),FALSE)</f>
        <v/>
      </c>
      <c r="F313" s="86">
        <f>VLOOKUP(A313,Database!$A:$AS,MATCH($F$1,Database!$A$1:$AS$1,0),FALSE)</f>
        <v/>
      </c>
      <c r="G313" s="86">
        <f>VLOOKUP(A313,Database!$A:$AS,MATCH($G$1,Database!$A$1:$AS$1,0),FALSE)</f>
        <v/>
      </c>
      <c r="H313" s="86">
        <f>(((Table134567891011121314151617343[[#This Row],[ITA]]-VLOOKUP($U$1,A:B,2,))/VLOOKUP($U$1,A:B,2,))*100)+100</f>
        <v/>
      </c>
      <c r="I313" s="86">
        <f>(((Table134567891011121314151617343[[#This Row],[FRA]]-VLOOKUP($U$1,A:C,3,))/VLOOKUP($U$1,A:C,3,))*100)+100</f>
        <v/>
      </c>
      <c r="J313" s="86">
        <f>(((Table134567891011121314151617343[[#This Row],[DEU]]-VLOOKUP($U$1,A:D,4,))/VLOOKUP($U$1,A:D,4,))*100)+100</f>
        <v/>
      </c>
      <c r="K313" s="86">
        <f>(((Table134567891011121314151617343[[#This Row],[ESP]]-VLOOKUP($U$1,A:E,5,))/VLOOKUP($U$1,A:E,5,))*100)+100</f>
        <v/>
      </c>
      <c r="L313" s="86">
        <f>(((Table134567891011121314151617343[[#This Row],[EA19]]-VLOOKUP($U$1,A:F,6,))/VLOOKUP($U$1,A:F,6,))*100)+100</f>
        <v/>
      </c>
      <c r="M313" s="86">
        <f>(((Table134567891011121314151617343[[#This Row],[GBR]]-VLOOKUP($U$1,A:G,7,))/VLOOKUP($U$1,A:G,7,))*100)+100</f>
        <v/>
      </c>
      <c r="N313" s="86">
        <f>VLOOKUP(A313,Database!$A:$AS,MATCH($N$1,Database!$A$1:$AS$1,0),FALSE)</f>
        <v/>
      </c>
      <c r="O313" s="86">
        <f>(((Table134567891011121314151617343[[#This Row],[USA]]-VLOOKUP($U$1,A:N,14,))/VLOOKUP($U$1,A:N,14,))*100)+100</f>
        <v/>
      </c>
      <c r="P313" s="86">
        <f>VLOOKUP(A313,Database!$A:$AS,MATCH($P$1,Database!$A$1:$AS$1,0),FALSE)</f>
        <v/>
      </c>
      <c r="Q313" s="86">
        <f>(((Table134567891011121314151617343[[#This Row],[JPN]]-VLOOKUP($U$1,A:Q,16,))/VLOOKUP($U$1,A:Q,16,))*100)+100</f>
        <v/>
      </c>
    </row>
    <row r="314" customFormat="1" s="94">
      <c r="A314" s="22" t="n">
        <v>42370</v>
      </c>
      <c r="B314" s="86">
        <f>VLOOKUP(A314,Database!$A:$AS,MATCH($B$1,Database!$A$1:$AS$1,0),FALSE)</f>
        <v/>
      </c>
      <c r="C314" s="86">
        <f>VLOOKUP(A314,Database!$A:$AS,MATCH($C$1,Database!$A$1:$AS$1,0),FALSE)</f>
        <v/>
      </c>
      <c r="D314" s="86">
        <f>VLOOKUP(A314,Database!$A:$AS,MATCH($D$1,Database!$A$1:$AS$1,0),FALSE)</f>
        <v/>
      </c>
      <c r="E314" s="86">
        <f>VLOOKUP(A314,Database!$A:$AS,MATCH($E$1,Database!$A$1:$AS$1,0),FALSE)</f>
        <v/>
      </c>
      <c r="F314" s="86">
        <f>VLOOKUP(A314,Database!$A:$AS,MATCH($F$1,Database!$A$1:$AS$1,0),FALSE)</f>
        <v/>
      </c>
      <c r="G314" s="86">
        <f>VLOOKUP(A314,Database!$A:$AS,MATCH($G$1,Database!$A$1:$AS$1,0),FALSE)</f>
        <v/>
      </c>
      <c r="H314" s="86">
        <f>(((Table134567891011121314151617343[[#This Row],[ITA]]-VLOOKUP($U$1,A:B,2,))/VLOOKUP($U$1,A:B,2,))*100)+100</f>
        <v/>
      </c>
      <c r="I314" s="86">
        <f>(((Table134567891011121314151617343[[#This Row],[FRA]]-VLOOKUP($U$1,A:C,3,))/VLOOKUP($U$1,A:C,3,))*100)+100</f>
        <v/>
      </c>
      <c r="J314" s="86">
        <f>(((Table134567891011121314151617343[[#This Row],[DEU]]-VLOOKUP($U$1,A:D,4,))/VLOOKUP($U$1,A:D,4,))*100)+100</f>
        <v/>
      </c>
      <c r="K314" s="86">
        <f>(((Table134567891011121314151617343[[#This Row],[ESP]]-VLOOKUP($U$1,A:E,5,))/VLOOKUP($U$1,A:E,5,))*100)+100</f>
        <v/>
      </c>
      <c r="L314" s="86">
        <f>(((Table134567891011121314151617343[[#This Row],[EA19]]-VLOOKUP($U$1,A:F,6,))/VLOOKUP($U$1,A:F,6,))*100)+100</f>
        <v/>
      </c>
      <c r="M314" s="86">
        <f>(((Table134567891011121314151617343[[#This Row],[GBR]]-VLOOKUP($U$1,A:G,7,))/VLOOKUP($U$1,A:G,7,))*100)+100</f>
        <v/>
      </c>
      <c r="N314" s="86">
        <f>VLOOKUP(A314,Database!$A:$AS,MATCH($N$1,Database!$A$1:$AS$1,0),FALSE)</f>
        <v/>
      </c>
      <c r="O314" s="86">
        <f>(((Table134567891011121314151617343[[#This Row],[USA]]-VLOOKUP($U$1,A:N,14,))/VLOOKUP($U$1,A:N,14,))*100)+100</f>
        <v/>
      </c>
      <c r="P314" s="86">
        <f>VLOOKUP(A314,Database!$A:$AS,MATCH($P$1,Database!$A$1:$AS$1,0),FALSE)</f>
        <v/>
      </c>
      <c r="Q314" s="86">
        <f>(((Table134567891011121314151617343[[#This Row],[JPN]]-VLOOKUP($U$1,A:Q,16,))/VLOOKUP($U$1,A:Q,16,))*100)+100</f>
        <v/>
      </c>
    </row>
    <row r="315" customFormat="1" s="94">
      <c r="A315" s="22" t="n">
        <v>42401</v>
      </c>
      <c r="B315" s="86">
        <f>VLOOKUP(A315,Database!$A:$AS,MATCH($B$1,Database!$A$1:$AS$1,0),FALSE)</f>
        <v/>
      </c>
      <c r="C315" s="86">
        <f>VLOOKUP(A315,Database!$A:$AS,MATCH($C$1,Database!$A$1:$AS$1,0),FALSE)</f>
        <v/>
      </c>
      <c r="D315" s="86">
        <f>VLOOKUP(A315,Database!$A:$AS,MATCH($D$1,Database!$A$1:$AS$1,0),FALSE)</f>
        <v/>
      </c>
      <c r="E315" s="86">
        <f>VLOOKUP(A315,Database!$A:$AS,MATCH($E$1,Database!$A$1:$AS$1,0),FALSE)</f>
        <v/>
      </c>
      <c r="F315" s="86">
        <f>VLOOKUP(A315,Database!$A:$AS,MATCH($F$1,Database!$A$1:$AS$1,0),FALSE)</f>
        <v/>
      </c>
      <c r="G315" s="86">
        <f>VLOOKUP(A315,Database!$A:$AS,MATCH($G$1,Database!$A$1:$AS$1,0),FALSE)</f>
        <v/>
      </c>
      <c r="H315" s="86">
        <f>(((Table134567891011121314151617343[[#This Row],[ITA]]-VLOOKUP($U$1,A:B,2,))/VLOOKUP($U$1,A:B,2,))*100)+100</f>
        <v/>
      </c>
      <c r="I315" s="86">
        <f>(((Table134567891011121314151617343[[#This Row],[FRA]]-VLOOKUP($U$1,A:C,3,))/VLOOKUP($U$1,A:C,3,))*100)+100</f>
        <v/>
      </c>
      <c r="J315" s="86">
        <f>(((Table134567891011121314151617343[[#This Row],[DEU]]-VLOOKUP($U$1,A:D,4,))/VLOOKUP($U$1,A:D,4,))*100)+100</f>
        <v/>
      </c>
      <c r="K315" s="86">
        <f>(((Table134567891011121314151617343[[#This Row],[ESP]]-VLOOKUP($U$1,A:E,5,))/VLOOKUP($U$1,A:E,5,))*100)+100</f>
        <v/>
      </c>
      <c r="L315" s="86">
        <f>(((Table134567891011121314151617343[[#This Row],[EA19]]-VLOOKUP($U$1,A:F,6,))/VLOOKUP($U$1,A:F,6,))*100)+100</f>
        <v/>
      </c>
      <c r="M315" s="86">
        <f>(((Table134567891011121314151617343[[#This Row],[GBR]]-VLOOKUP($U$1,A:G,7,))/VLOOKUP($U$1,A:G,7,))*100)+100</f>
        <v/>
      </c>
      <c r="N315" s="86">
        <f>VLOOKUP(A315,Database!$A:$AS,MATCH($N$1,Database!$A$1:$AS$1,0),FALSE)</f>
        <v/>
      </c>
      <c r="O315" s="86">
        <f>(((Table134567891011121314151617343[[#This Row],[USA]]-VLOOKUP($U$1,A:N,14,))/VLOOKUP($U$1,A:N,14,))*100)+100</f>
        <v/>
      </c>
      <c r="P315" s="86">
        <f>VLOOKUP(A315,Database!$A:$AS,MATCH($P$1,Database!$A$1:$AS$1,0),FALSE)</f>
        <v/>
      </c>
      <c r="Q315" s="86">
        <f>(((Table134567891011121314151617343[[#This Row],[JPN]]-VLOOKUP($U$1,A:Q,16,))/VLOOKUP($U$1,A:Q,16,))*100)+100</f>
        <v/>
      </c>
    </row>
    <row r="316" customFormat="1" s="94">
      <c r="A316" s="22" t="n">
        <v>42430</v>
      </c>
      <c r="B316" s="86">
        <f>VLOOKUP(A316,Database!$A:$AS,MATCH($B$1,Database!$A$1:$AS$1,0),FALSE)</f>
        <v/>
      </c>
      <c r="C316" s="86">
        <f>VLOOKUP(A316,Database!$A:$AS,MATCH($C$1,Database!$A$1:$AS$1,0),FALSE)</f>
        <v/>
      </c>
      <c r="D316" s="86">
        <f>VLOOKUP(A316,Database!$A:$AS,MATCH($D$1,Database!$A$1:$AS$1,0),FALSE)</f>
        <v/>
      </c>
      <c r="E316" s="86">
        <f>VLOOKUP(A316,Database!$A:$AS,MATCH($E$1,Database!$A$1:$AS$1,0),FALSE)</f>
        <v/>
      </c>
      <c r="F316" s="86">
        <f>VLOOKUP(A316,Database!$A:$AS,MATCH($F$1,Database!$A$1:$AS$1,0),FALSE)</f>
        <v/>
      </c>
      <c r="G316" s="86">
        <f>VLOOKUP(A316,Database!$A:$AS,MATCH($G$1,Database!$A$1:$AS$1,0),FALSE)</f>
        <v/>
      </c>
      <c r="H316" s="86">
        <f>(((Table134567891011121314151617343[[#This Row],[ITA]]-VLOOKUP($U$1,A:B,2,))/VLOOKUP($U$1,A:B,2,))*100)+100</f>
        <v/>
      </c>
      <c r="I316" s="86">
        <f>(((Table134567891011121314151617343[[#This Row],[FRA]]-VLOOKUP($U$1,A:C,3,))/VLOOKUP($U$1,A:C,3,))*100)+100</f>
        <v/>
      </c>
      <c r="J316" s="86">
        <f>(((Table134567891011121314151617343[[#This Row],[DEU]]-VLOOKUP($U$1,A:D,4,))/VLOOKUP($U$1,A:D,4,))*100)+100</f>
        <v/>
      </c>
      <c r="K316" s="86">
        <f>(((Table134567891011121314151617343[[#This Row],[ESP]]-VLOOKUP($U$1,A:E,5,))/VLOOKUP($U$1,A:E,5,))*100)+100</f>
        <v/>
      </c>
      <c r="L316" s="86">
        <f>(((Table134567891011121314151617343[[#This Row],[EA19]]-VLOOKUP($U$1,A:F,6,))/VLOOKUP($U$1,A:F,6,))*100)+100</f>
        <v/>
      </c>
      <c r="M316" s="86">
        <f>(((Table134567891011121314151617343[[#This Row],[GBR]]-VLOOKUP($U$1,A:G,7,))/VLOOKUP($U$1,A:G,7,))*100)+100</f>
        <v/>
      </c>
      <c r="N316" s="86">
        <f>VLOOKUP(A316,Database!$A:$AS,MATCH($N$1,Database!$A$1:$AS$1,0),FALSE)</f>
        <v/>
      </c>
      <c r="O316" s="86">
        <f>(((Table134567891011121314151617343[[#This Row],[USA]]-VLOOKUP($U$1,A:N,14,))/VLOOKUP($U$1,A:N,14,))*100)+100</f>
        <v/>
      </c>
      <c r="P316" s="86">
        <f>VLOOKUP(A316,Database!$A:$AS,MATCH($P$1,Database!$A$1:$AS$1,0),FALSE)</f>
        <v/>
      </c>
      <c r="Q316" s="86">
        <f>(((Table134567891011121314151617343[[#This Row],[JPN]]-VLOOKUP($U$1,A:Q,16,))/VLOOKUP($U$1,A:Q,16,))*100)+100</f>
        <v/>
      </c>
    </row>
    <row r="317" customFormat="1" s="94">
      <c r="A317" s="22" t="n">
        <v>42461</v>
      </c>
      <c r="B317" s="86">
        <f>VLOOKUP(A317,Database!$A:$AS,MATCH($B$1,Database!$A$1:$AS$1,0),FALSE)</f>
        <v/>
      </c>
      <c r="C317" s="86">
        <f>VLOOKUP(A317,Database!$A:$AS,MATCH($C$1,Database!$A$1:$AS$1,0),FALSE)</f>
        <v/>
      </c>
      <c r="D317" s="86">
        <f>VLOOKUP(A317,Database!$A:$AS,MATCH($D$1,Database!$A$1:$AS$1,0),FALSE)</f>
        <v/>
      </c>
      <c r="E317" s="86">
        <f>VLOOKUP(A317,Database!$A:$AS,MATCH($E$1,Database!$A$1:$AS$1,0),FALSE)</f>
        <v/>
      </c>
      <c r="F317" s="86">
        <f>VLOOKUP(A317,Database!$A:$AS,MATCH($F$1,Database!$A$1:$AS$1,0),FALSE)</f>
        <v/>
      </c>
      <c r="G317" s="86">
        <f>VLOOKUP(A317,Database!$A:$AS,MATCH($G$1,Database!$A$1:$AS$1,0),FALSE)</f>
        <v/>
      </c>
      <c r="H317" s="86">
        <f>(((Table134567891011121314151617343[[#This Row],[ITA]]-VLOOKUP($U$1,A:B,2,))/VLOOKUP($U$1,A:B,2,))*100)+100</f>
        <v/>
      </c>
      <c r="I317" s="86">
        <f>(((Table134567891011121314151617343[[#This Row],[FRA]]-VLOOKUP($U$1,A:C,3,))/VLOOKUP($U$1,A:C,3,))*100)+100</f>
        <v/>
      </c>
      <c r="J317" s="86">
        <f>(((Table134567891011121314151617343[[#This Row],[DEU]]-VLOOKUP($U$1,A:D,4,))/VLOOKUP($U$1,A:D,4,))*100)+100</f>
        <v/>
      </c>
      <c r="K317" s="86">
        <f>(((Table134567891011121314151617343[[#This Row],[ESP]]-VLOOKUP($U$1,A:E,5,))/VLOOKUP($U$1,A:E,5,))*100)+100</f>
        <v/>
      </c>
      <c r="L317" s="86">
        <f>(((Table134567891011121314151617343[[#This Row],[EA19]]-VLOOKUP($U$1,A:F,6,))/VLOOKUP($U$1,A:F,6,))*100)+100</f>
        <v/>
      </c>
      <c r="M317" s="86">
        <f>(((Table134567891011121314151617343[[#This Row],[GBR]]-VLOOKUP($U$1,A:G,7,))/VLOOKUP($U$1,A:G,7,))*100)+100</f>
        <v/>
      </c>
      <c r="N317" s="86">
        <f>VLOOKUP(A317,Database!$A:$AS,MATCH($N$1,Database!$A$1:$AS$1,0),FALSE)</f>
        <v/>
      </c>
      <c r="O317" s="86">
        <f>(((Table134567891011121314151617343[[#This Row],[USA]]-VLOOKUP($U$1,A:N,14,))/VLOOKUP($U$1,A:N,14,))*100)+100</f>
        <v/>
      </c>
      <c r="P317" s="86">
        <f>VLOOKUP(A317,Database!$A:$AS,MATCH($P$1,Database!$A$1:$AS$1,0),FALSE)</f>
        <v/>
      </c>
      <c r="Q317" s="86">
        <f>(((Table134567891011121314151617343[[#This Row],[JPN]]-VLOOKUP($U$1,A:Q,16,))/VLOOKUP($U$1,A:Q,16,))*100)+100</f>
        <v/>
      </c>
    </row>
    <row r="318" customFormat="1" s="94">
      <c r="A318" s="22" t="n">
        <v>42491</v>
      </c>
      <c r="B318" s="86">
        <f>VLOOKUP(A318,Database!$A:$AS,MATCH($B$1,Database!$A$1:$AS$1,0),FALSE)</f>
        <v/>
      </c>
      <c r="C318" s="86">
        <f>VLOOKUP(A318,Database!$A:$AS,MATCH($C$1,Database!$A$1:$AS$1,0),FALSE)</f>
        <v/>
      </c>
      <c r="D318" s="86">
        <f>VLOOKUP(A318,Database!$A:$AS,MATCH($D$1,Database!$A$1:$AS$1,0),FALSE)</f>
        <v/>
      </c>
      <c r="E318" s="86">
        <f>VLOOKUP(A318,Database!$A:$AS,MATCH($E$1,Database!$A$1:$AS$1,0),FALSE)</f>
        <v/>
      </c>
      <c r="F318" s="86">
        <f>VLOOKUP(A318,Database!$A:$AS,MATCH($F$1,Database!$A$1:$AS$1,0),FALSE)</f>
        <v/>
      </c>
      <c r="G318" s="86">
        <f>VLOOKUP(A318,Database!$A:$AS,MATCH($G$1,Database!$A$1:$AS$1,0),FALSE)</f>
        <v/>
      </c>
      <c r="H318" s="86">
        <f>(((Table134567891011121314151617343[[#This Row],[ITA]]-VLOOKUP($U$1,A:B,2,))/VLOOKUP($U$1,A:B,2,))*100)+100</f>
        <v/>
      </c>
      <c r="I318" s="86">
        <f>(((Table134567891011121314151617343[[#This Row],[FRA]]-VLOOKUP($U$1,A:C,3,))/VLOOKUP($U$1,A:C,3,))*100)+100</f>
        <v/>
      </c>
      <c r="J318" s="86">
        <f>(((Table134567891011121314151617343[[#This Row],[DEU]]-VLOOKUP($U$1,A:D,4,))/VLOOKUP($U$1,A:D,4,))*100)+100</f>
        <v/>
      </c>
      <c r="K318" s="86">
        <f>(((Table134567891011121314151617343[[#This Row],[ESP]]-VLOOKUP($U$1,A:E,5,))/VLOOKUP($U$1,A:E,5,))*100)+100</f>
        <v/>
      </c>
      <c r="L318" s="86">
        <f>(((Table134567891011121314151617343[[#This Row],[EA19]]-VLOOKUP($U$1,A:F,6,))/VLOOKUP($U$1,A:F,6,))*100)+100</f>
        <v/>
      </c>
      <c r="M318" s="86">
        <f>(((Table134567891011121314151617343[[#This Row],[GBR]]-VLOOKUP($U$1,A:G,7,))/VLOOKUP($U$1,A:G,7,))*100)+100</f>
        <v/>
      </c>
      <c r="N318" s="86">
        <f>VLOOKUP(A318,Database!$A:$AS,MATCH($N$1,Database!$A$1:$AS$1,0),FALSE)</f>
        <v/>
      </c>
      <c r="O318" s="86">
        <f>(((Table134567891011121314151617343[[#This Row],[USA]]-VLOOKUP($U$1,A:N,14,))/VLOOKUP($U$1,A:N,14,))*100)+100</f>
        <v/>
      </c>
      <c r="P318" s="86">
        <f>VLOOKUP(A318,Database!$A:$AS,MATCH($P$1,Database!$A$1:$AS$1,0),FALSE)</f>
        <v/>
      </c>
      <c r="Q318" s="86">
        <f>(((Table134567891011121314151617343[[#This Row],[JPN]]-VLOOKUP($U$1,A:Q,16,))/VLOOKUP($U$1,A:Q,16,))*100)+100</f>
        <v/>
      </c>
    </row>
    <row r="319" customFormat="1" s="94">
      <c r="A319" s="22" t="n">
        <v>42522</v>
      </c>
      <c r="B319" s="86">
        <f>VLOOKUP(A319,Database!$A:$AS,MATCH($B$1,Database!$A$1:$AS$1,0),FALSE)</f>
        <v/>
      </c>
      <c r="C319" s="86">
        <f>VLOOKUP(A319,Database!$A:$AS,MATCH($C$1,Database!$A$1:$AS$1,0),FALSE)</f>
        <v/>
      </c>
      <c r="D319" s="86">
        <f>VLOOKUP(A319,Database!$A:$AS,MATCH($D$1,Database!$A$1:$AS$1,0),FALSE)</f>
        <v/>
      </c>
      <c r="E319" s="86">
        <f>VLOOKUP(A319,Database!$A:$AS,MATCH($E$1,Database!$A$1:$AS$1,0),FALSE)</f>
        <v/>
      </c>
      <c r="F319" s="86">
        <f>VLOOKUP(A319,Database!$A:$AS,MATCH($F$1,Database!$A$1:$AS$1,0),FALSE)</f>
        <v/>
      </c>
      <c r="G319" s="86">
        <f>VLOOKUP(A319,Database!$A:$AS,MATCH($G$1,Database!$A$1:$AS$1,0),FALSE)</f>
        <v/>
      </c>
      <c r="H319" s="86">
        <f>(((Table134567891011121314151617343[[#This Row],[ITA]]-VLOOKUP($U$1,A:B,2,))/VLOOKUP($U$1,A:B,2,))*100)+100</f>
        <v/>
      </c>
      <c r="I319" s="86">
        <f>(((Table134567891011121314151617343[[#This Row],[FRA]]-VLOOKUP($U$1,A:C,3,))/VLOOKUP($U$1,A:C,3,))*100)+100</f>
        <v/>
      </c>
      <c r="J319" s="86">
        <f>(((Table134567891011121314151617343[[#This Row],[DEU]]-VLOOKUP($U$1,A:D,4,))/VLOOKUP($U$1,A:D,4,))*100)+100</f>
        <v/>
      </c>
      <c r="K319" s="86">
        <f>(((Table134567891011121314151617343[[#This Row],[ESP]]-VLOOKUP($U$1,A:E,5,))/VLOOKUP($U$1,A:E,5,))*100)+100</f>
        <v/>
      </c>
      <c r="L319" s="86">
        <f>(((Table134567891011121314151617343[[#This Row],[EA19]]-VLOOKUP($U$1,A:F,6,))/VLOOKUP($U$1,A:F,6,))*100)+100</f>
        <v/>
      </c>
      <c r="M319" s="86">
        <f>(((Table134567891011121314151617343[[#This Row],[GBR]]-VLOOKUP($U$1,A:G,7,))/VLOOKUP($U$1,A:G,7,))*100)+100</f>
        <v/>
      </c>
      <c r="N319" s="86">
        <f>VLOOKUP(A319,Database!$A:$AS,MATCH($N$1,Database!$A$1:$AS$1,0),FALSE)</f>
        <v/>
      </c>
      <c r="O319" s="86">
        <f>(((Table134567891011121314151617343[[#This Row],[USA]]-VLOOKUP($U$1,A:N,14,))/VLOOKUP($U$1,A:N,14,))*100)+100</f>
        <v/>
      </c>
      <c r="P319" s="86">
        <f>VLOOKUP(A319,Database!$A:$AS,MATCH($P$1,Database!$A$1:$AS$1,0),FALSE)</f>
        <v/>
      </c>
      <c r="Q319" s="86">
        <f>(((Table134567891011121314151617343[[#This Row],[JPN]]-VLOOKUP($U$1,A:Q,16,))/VLOOKUP($U$1,A:Q,16,))*100)+100</f>
        <v/>
      </c>
    </row>
    <row r="320" customFormat="1" s="94">
      <c r="A320" s="22" t="n">
        <v>42552</v>
      </c>
      <c r="B320" s="86">
        <f>VLOOKUP(A320,Database!$A:$AS,MATCH($B$1,Database!$A$1:$AS$1,0),FALSE)</f>
        <v/>
      </c>
      <c r="C320" s="86">
        <f>VLOOKUP(A320,Database!$A:$AS,MATCH($C$1,Database!$A$1:$AS$1,0),FALSE)</f>
        <v/>
      </c>
      <c r="D320" s="86">
        <f>VLOOKUP(A320,Database!$A:$AS,MATCH($D$1,Database!$A$1:$AS$1,0),FALSE)</f>
        <v/>
      </c>
      <c r="E320" s="86">
        <f>VLOOKUP(A320,Database!$A:$AS,MATCH($E$1,Database!$A$1:$AS$1,0),FALSE)</f>
        <v/>
      </c>
      <c r="F320" s="86">
        <f>VLOOKUP(A320,Database!$A:$AS,MATCH($F$1,Database!$A$1:$AS$1,0),FALSE)</f>
        <v/>
      </c>
      <c r="G320" s="86">
        <f>VLOOKUP(A320,Database!$A:$AS,MATCH($G$1,Database!$A$1:$AS$1,0),FALSE)</f>
        <v/>
      </c>
      <c r="H320" s="86">
        <f>(((Table134567891011121314151617343[[#This Row],[ITA]]-VLOOKUP($U$1,A:B,2,))/VLOOKUP($U$1,A:B,2,))*100)+100</f>
        <v/>
      </c>
      <c r="I320" s="86">
        <f>(((Table134567891011121314151617343[[#This Row],[FRA]]-VLOOKUP($U$1,A:C,3,))/VLOOKUP($U$1,A:C,3,))*100)+100</f>
        <v/>
      </c>
      <c r="J320" s="86">
        <f>(((Table134567891011121314151617343[[#This Row],[DEU]]-VLOOKUP($U$1,A:D,4,))/VLOOKUP($U$1,A:D,4,))*100)+100</f>
        <v/>
      </c>
      <c r="K320" s="86">
        <f>(((Table134567891011121314151617343[[#This Row],[ESP]]-VLOOKUP($U$1,A:E,5,))/VLOOKUP($U$1,A:E,5,))*100)+100</f>
        <v/>
      </c>
      <c r="L320" s="86">
        <f>(((Table134567891011121314151617343[[#This Row],[EA19]]-VLOOKUP($U$1,A:F,6,))/VLOOKUP($U$1,A:F,6,))*100)+100</f>
        <v/>
      </c>
      <c r="M320" s="86">
        <f>(((Table134567891011121314151617343[[#This Row],[GBR]]-VLOOKUP($U$1,A:G,7,))/VLOOKUP($U$1,A:G,7,))*100)+100</f>
        <v/>
      </c>
      <c r="N320" s="86">
        <f>VLOOKUP(A320,Database!$A:$AS,MATCH($N$1,Database!$A$1:$AS$1,0),FALSE)</f>
        <v/>
      </c>
      <c r="O320" s="86">
        <f>(((Table134567891011121314151617343[[#This Row],[USA]]-VLOOKUP($U$1,A:N,14,))/VLOOKUP($U$1,A:N,14,))*100)+100</f>
        <v/>
      </c>
      <c r="P320" s="86">
        <f>VLOOKUP(A320,Database!$A:$AS,MATCH($P$1,Database!$A$1:$AS$1,0),FALSE)</f>
        <v/>
      </c>
      <c r="Q320" s="86">
        <f>(((Table134567891011121314151617343[[#This Row],[JPN]]-VLOOKUP($U$1,A:Q,16,))/VLOOKUP($U$1,A:Q,16,))*100)+100</f>
        <v/>
      </c>
    </row>
    <row r="321" customFormat="1" s="94">
      <c r="A321" s="22" t="n">
        <v>42583</v>
      </c>
      <c r="B321" s="86">
        <f>VLOOKUP(A321,Database!$A:$AS,MATCH($B$1,Database!$A$1:$AS$1,0),FALSE)</f>
        <v/>
      </c>
      <c r="C321" s="86">
        <f>VLOOKUP(A321,Database!$A:$AS,MATCH($C$1,Database!$A$1:$AS$1,0),FALSE)</f>
        <v/>
      </c>
      <c r="D321" s="86">
        <f>VLOOKUP(A321,Database!$A:$AS,MATCH($D$1,Database!$A$1:$AS$1,0),FALSE)</f>
        <v/>
      </c>
      <c r="E321" s="86">
        <f>VLOOKUP(A321,Database!$A:$AS,MATCH($E$1,Database!$A$1:$AS$1,0),FALSE)</f>
        <v/>
      </c>
      <c r="F321" s="86">
        <f>VLOOKUP(A321,Database!$A:$AS,MATCH($F$1,Database!$A$1:$AS$1,0),FALSE)</f>
        <v/>
      </c>
      <c r="G321" s="86">
        <f>VLOOKUP(A321,Database!$A:$AS,MATCH($G$1,Database!$A$1:$AS$1,0),FALSE)</f>
        <v/>
      </c>
      <c r="H321" s="86">
        <f>(((Table134567891011121314151617343[[#This Row],[ITA]]-VLOOKUP($U$1,A:B,2,))/VLOOKUP($U$1,A:B,2,))*100)+100</f>
        <v/>
      </c>
      <c r="I321" s="86">
        <f>(((Table134567891011121314151617343[[#This Row],[FRA]]-VLOOKUP($U$1,A:C,3,))/VLOOKUP($U$1,A:C,3,))*100)+100</f>
        <v/>
      </c>
      <c r="J321" s="86">
        <f>(((Table134567891011121314151617343[[#This Row],[DEU]]-VLOOKUP($U$1,A:D,4,))/VLOOKUP($U$1,A:D,4,))*100)+100</f>
        <v/>
      </c>
      <c r="K321" s="86">
        <f>(((Table134567891011121314151617343[[#This Row],[ESP]]-VLOOKUP($U$1,A:E,5,))/VLOOKUP($U$1,A:E,5,))*100)+100</f>
        <v/>
      </c>
      <c r="L321" s="86">
        <f>(((Table134567891011121314151617343[[#This Row],[EA19]]-VLOOKUP($U$1,A:F,6,))/VLOOKUP($U$1,A:F,6,))*100)+100</f>
        <v/>
      </c>
      <c r="M321" s="86">
        <f>(((Table134567891011121314151617343[[#This Row],[GBR]]-VLOOKUP($U$1,A:G,7,))/VLOOKUP($U$1,A:G,7,))*100)+100</f>
        <v/>
      </c>
      <c r="N321" s="86">
        <f>VLOOKUP(A321,Database!$A:$AS,MATCH($N$1,Database!$A$1:$AS$1,0),FALSE)</f>
        <v/>
      </c>
      <c r="O321" s="86">
        <f>(((Table134567891011121314151617343[[#This Row],[USA]]-VLOOKUP($U$1,A:N,14,))/VLOOKUP($U$1,A:N,14,))*100)+100</f>
        <v/>
      </c>
      <c r="P321" s="86">
        <f>VLOOKUP(A321,Database!$A:$AS,MATCH($P$1,Database!$A$1:$AS$1,0),FALSE)</f>
        <v/>
      </c>
      <c r="Q321" s="86">
        <f>(((Table134567891011121314151617343[[#This Row],[JPN]]-VLOOKUP($U$1,A:Q,16,))/VLOOKUP($U$1,A:Q,16,))*100)+100</f>
        <v/>
      </c>
    </row>
    <row r="322" customFormat="1" s="94">
      <c r="A322" s="22" t="n">
        <v>42614</v>
      </c>
      <c r="B322" s="86">
        <f>VLOOKUP(A322,Database!$A:$AS,MATCH($B$1,Database!$A$1:$AS$1,0),FALSE)</f>
        <v/>
      </c>
      <c r="C322" s="86">
        <f>VLOOKUP(A322,Database!$A:$AS,MATCH($C$1,Database!$A$1:$AS$1,0),FALSE)</f>
        <v/>
      </c>
      <c r="D322" s="86">
        <f>VLOOKUP(A322,Database!$A:$AS,MATCH($D$1,Database!$A$1:$AS$1,0),FALSE)</f>
        <v/>
      </c>
      <c r="E322" s="86">
        <f>VLOOKUP(A322,Database!$A:$AS,MATCH($E$1,Database!$A$1:$AS$1,0),FALSE)</f>
        <v/>
      </c>
      <c r="F322" s="86">
        <f>VLOOKUP(A322,Database!$A:$AS,MATCH($F$1,Database!$A$1:$AS$1,0),FALSE)</f>
        <v/>
      </c>
      <c r="G322" s="86">
        <f>VLOOKUP(A322,Database!$A:$AS,MATCH($G$1,Database!$A$1:$AS$1,0),FALSE)</f>
        <v/>
      </c>
      <c r="H322" s="86">
        <f>(((Table134567891011121314151617343[[#This Row],[ITA]]-VLOOKUP($U$1,A:B,2,))/VLOOKUP($U$1,A:B,2,))*100)+100</f>
        <v/>
      </c>
      <c r="I322" s="86">
        <f>(((Table134567891011121314151617343[[#This Row],[FRA]]-VLOOKUP($U$1,A:C,3,))/VLOOKUP($U$1,A:C,3,))*100)+100</f>
        <v/>
      </c>
      <c r="J322" s="86">
        <f>(((Table134567891011121314151617343[[#This Row],[DEU]]-VLOOKUP($U$1,A:D,4,))/VLOOKUP($U$1,A:D,4,))*100)+100</f>
        <v/>
      </c>
      <c r="K322" s="86">
        <f>(((Table134567891011121314151617343[[#This Row],[ESP]]-VLOOKUP($U$1,A:E,5,))/VLOOKUP($U$1,A:E,5,))*100)+100</f>
        <v/>
      </c>
      <c r="L322" s="86">
        <f>(((Table134567891011121314151617343[[#This Row],[EA19]]-VLOOKUP($U$1,A:F,6,))/VLOOKUP($U$1,A:F,6,))*100)+100</f>
        <v/>
      </c>
      <c r="M322" s="86">
        <f>(((Table134567891011121314151617343[[#This Row],[GBR]]-VLOOKUP($U$1,A:G,7,))/VLOOKUP($U$1,A:G,7,))*100)+100</f>
        <v/>
      </c>
      <c r="N322" s="86">
        <f>VLOOKUP(A322,Database!$A:$AS,MATCH($N$1,Database!$A$1:$AS$1,0),FALSE)</f>
        <v/>
      </c>
      <c r="O322" s="86">
        <f>(((Table134567891011121314151617343[[#This Row],[USA]]-VLOOKUP($U$1,A:N,14,))/VLOOKUP($U$1,A:N,14,))*100)+100</f>
        <v/>
      </c>
      <c r="P322" s="86">
        <f>VLOOKUP(A322,Database!$A:$AS,MATCH($P$1,Database!$A$1:$AS$1,0),FALSE)</f>
        <v/>
      </c>
      <c r="Q322" s="86">
        <f>(((Table134567891011121314151617343[[#This Row],[JPN]]-VLOOKUP($U$1,A:Q,16,))/VLOOKUP($U$1,A:Q,16,))*100)+100</f>
        <v/>
      </c>
    </row>
    <row r="323" customFormat="1" s="94">
      <c r="A323" s="22" t="n">
        <v>42644</v>
      </c>
      <c r="B323" s="86">
        <f>VLOOKUP(A323,Database!$A:$AS,MATCH($B$1,Database!$A$1:$AS$1,0),FALSE)</f>
        <v/>
      </c>
      <c r="C323" s="86">
        <f>VLOOKUP(A323,Database!$A:$AS,MATCH($C$1,Database!$A$1:$AS$1,0),FALSE)</f>
        <v/>
      </c>
      <c r="D323" s="86">
        <f>VLOOKUP(A323,Database!$A:$AS,MATCH($D$1,Database!$A$1:$AS$1,0),FALSE)</f>
        <v/>
      </c>
      <c r="E323" s="86">
        <f>VLOOKUP(A323,Database!$A:$AS,MATCH($E$1,Database!$A$1:$AS$1,0),FALSE)</f>
        <v/>
      </c>
      <c r="F323" s="86">
        <f>VLOOKUP(A323,Database!$A:$AS,MATCH($F$1,Database!$A$1:$AS$1,0),FALSE)</f>
        <v/>
      </c>
      <c r="G323" s="86">
        <f>VLOOKUP(A323,Database!$A:$AS,MATCH($G$1,Database!$A$1:$AS$1,0),FALSE)</f>
        <v/>
      </c>
      <c r="H323" s="86">
        <f>(((Table134567891011121314151617343[[#This Row],[ITA]]-VLOOKUP($U$1,A:B,2,))/VLOOKUP($U$1,A:B,2,))*100)+100</f>
        <v/>
      </c>
      <c r="I323" s="86">
        <f>(((Table134567891011121314151617343[[#This Row],[FRA]]-VLOOKUP($U$1,A:C,3,))/VLOOKUP($U$1,A:C,3,))*100)+100</f>
        <v/>
      </c>
      <c r="J323" s="86">
        <f>(((Table134567891011121314151617343[[#This Row],[DEU]]-VLOOKUP($U$1,A:D,4,))/VLOOKUP($U$1,A:D,4,))*100)+100</f>
        <v/>
      </c>
      <c r="K323" s="86">
        <f>(((Table134567891011121314151617343[[#This Row],[ESP]]-VLOOKUP($U$1,A:E,5,))/VLOOKUP($U$1,A:E,5,))*100)+100</f>
        <v/>
      </c>
      <c r="L323" s="86">
        <f>(((Table134567891011121314151617343[[#This Row],[EA19]]-VLOOKUP($U$1,A:F,6,))/VLOOKUP($U$1,A:F,6,))*100)+100</f>
        <v/>
      </c>
      <c r="M323" s="86">
        <f>(((Table134567891011121314151617343[[#This Row],[GBR]]-VLOOKUP($U$1,A:G,7,))/VLOOKUP($U$1,A:G,7,))*100)+100</f>
        <v/>
      </c>
      <c r="N323" s="86">
        <f>VLOOKUP(A323,Database!$A:$AS,MATCH($N$1,Database!$A$1:$AS$1,0),FALSE)</f>
        <v/>
      </c>
      <c r="O323" s="86">
        <f>(((Table134567891011121314151617343[[#This Row],[USA]]-VLOOKUP($U$1,A:N,14,))/VLOOKUP($U$1,A:N,14,))*100)+100</f>
        <v/>
      </c>
      <c r="P323" s="86">
        <f>VLOOKUP(A323,Database!$A:$AS,MATCH($P$1,Database!$A$1:$AS$1,0),FALSE)</f>
        <v/>
      </c>
      <c r="Q323" s="86">
        <f>(((Table134567891011121314151617343[[#This Row],[JPN]]-VLOOKUP($U$1,A:Q,16,))/VLOOKUP($U$1,A:Q,16,))*100)+100</f>
        <v/>
      </c>
    </row>
    <row r="324" customFormat="1" s="94">
      <c r="A324" s="22" t="n">
        <v>42675</v>
      </c>
      <c r="B324" s="86">
        <f>VLOOKUP(A324,Database!$A:$AS,MATCH($B$1,Database!$A$1:$AS$1,0),FALSE)</f>
        <v/>
      </c>
      <c r="C324" s="86">
        <f>VLOOKUP(A324,Database!$A:$AS,MATCH($C$1,Database!$A$1:$AS$1,0),FALSE)</f>
        <v/>
      </c>
      <c r="D324" s="86">
        <f>VLOOKUP(A324,Database!$A:$AS,MATCH($D$1,Database!$A$1:$AS$1,0),FALSE)</f>
        <v/>
      </c>
      <c r="E324" s="86">
        <f>VLOOKUP(A324,Database!$A:$AS,MATCH($E$1,Database!$A$1:$AS$1,0),FALSE)</f>
        <v/>
      </c>
      <c r="F324" s="86">
        <f>VLOOKUP(A324,Database!$A:$AS,MATCH($F$1,Database!$A$1:$AS$1,0),FALSE)</f>
        <v/>
      </c>
      <c r="G324" s="86">
        <f>VLOOKUP(A324,Database!$A:$AS,MATCH($G$1,Database!$A$1:$AS$1,0),FALSE)</f>
        <v/>
      </c>
      <c r="H324" s="86">
        <f>(((Table134567891011121314151617343[[#This Row],[ITA]]-VLOOKUP($U$1,A:B,2,))/VLOOKUP($U$1,A:B,2,))*100)+100</f>
        <v/>
      </c>
      <c r="I324" s="86">
        <f>(((Table134567891011121314151617343[[#This Row],[FRA]]-VLOOKUP($U$1,A:C,3,))/VLOOKUP($U$1,A:C,3,))*100)+100</f>
        <v/>
      </c>
      <c r="J324" s="86">
        <f>(((Table134567891011121314151617343[[#This Row],[DEU]]-VLOOKUP($U$1,A:D,4,))/VLOOKUP($U$1,A:D,4,))*100)+100</f>
        <v/>
      </c>
      <c r="K324" s="86">
        <f>(((Table134567891011121314151617343[[#This Row],[ESP]]-VLOOKUP($U$1,A:E,5,))/VLOOKUP($U$1,A:E,5,))*100)+100</f>
        <v/>
      </c>
      <c r="L324" s="86">
        <f>(((Table134567891011121314151617343[[#This Row],[EA19]]-VLOOKUP($U$1,A:F,6,))/VLOOKUP($U$1,A:F,6,))*100)+100</f>
        <v/>
      </c>
      <c r="M324" s="86">
        <f>(((Table134567891011121314151617343[[#This Row],[GBR]]-VLOOKUP($U$1,A:G,7,))/VLOOKUP($U$1,A:G,7,))*100)+100</f>
        <v/>
      </c>
      <c r="N324" s="86">
        <f>VLOOKUP(A324,Database!$A:$AS,MATCH($N$1,Database!$A$1:$AS$1,0),FALSE)</f>
        <v/>
      </c>
      <c r="O324" s="86">
        <f>(((Table134567891011121314151617343[[#This Row],[USA]]-VLOOKUP($U$1,A:N,14,))/VLOOKUP($U$1,A:N,14,))*100)+100</f>
        <v/>
      </c>
      <c r="P324" s="86">
        <f>VLOOKUP(A324,Database!$A:$AS,MATCH($P$1,Database!$A$1:$AS$1,0),FALSE)</f>
        <v/>
      </c>
      <c r="Q324" s="86">
        <f>(((Table134567891011121314151617343[[#This Row],[JPN]]-VLOOKUP($U$1,A:Q,16,))/VLOOKUP($U$1,A:Q,16,))*100)+100</f>
        <v/>
      </c>
    </row>
    <row r="325" customFormat="1" s="94">
      <c r="A325" s="22" t="n">
        <v>42705</v>
      </c>
      <c r="B325" s="86">
        <f>VLOOKUP(A325,Database!$A:$AS,MATCH($B$1,Database!$A$1:$AS$1,0),FALSE)</f>
        <v/>
      </c>
      <c r="C325" s="86">
        <f>VLOOKUP(A325,Database!$A:$AS,MATCH($C$1,Database!$A$1:$AS$1,0),FALSE)</f>
        <v/>
      </c>
      <c r="D325" s="86">
        <f>VLOOKUP(A325,Database!$A:$AS,MATCH($D$1,Database!$A$1:$AS$1,0),FALSE)</f>
        <v/>
      </c>
      <c r="E325" s="86">
        <f>VLOOKUP(A325,Database!$A:$AS,MATCH($E$1,Database!$A$1:$AS$1,0),FALSE)</f>
        <v/>
      </c>
      <c r="F325" s="86">
        <f>VLOOKUP(A325,Database!$A:$AS,MATCH($F$1,Database!$A$1:$AS$1,0),FALSE)</f>
        <v/>
      </c>
      <c r="G325" s="86">
        <f>VLOOKUP(A325,Database!$A:$AS,MATCH($G$1,Database!$A$1:$AS$1,0),FALSE)</f>
        <v/>
      </c>
      <c r="H325" s="86">
        <f>(((Table134567891011121314151617343[[#This Row],[ITA]]-VLOOKUP($U$1,A:B,2,))/VLOOKUP($U$1,A:B,2,))*100)+100</f>
        <v/>
      </c>
      <c r="I325" s="86">
        <f>(((Table134567891011121314151617343[[#This Row],[FRA]]-VLOOKUP($U$1,A:C,3,))/VLOOKUP($U$1,A:C,3,))*100)+100</f>
        <v/>
      </c>
      <c r="J325" s="86">
        <f>(((Table134567891011121314151617343[[#This Row],[DEU]]-VLOOKUP($U$1,A:D,4,))/VLOOKUP($U$1,A:D,4,))*100)+100</f>
        <v/>
      </c>
      <c r="K325" s="86">
        <f>(((Table134567891011121314151617343[[#This Row],[ESP]]-VLOOKUP($U$1,A:E,5,))/VLOOKUP($U$1,A:E,5,))*100)+100</f>
        <v/>
      </c>
      <c r="L325" s="86">
        <f>(((Table134567891011121314151617343[[#This Row],[EA19]]-VLOOKUP($U$1,A:F,6,))/VLOOKUP($U$1,A:F,6,))*100)+100</f>
        <v/>
      </c>
      <c r="M325" s="86">
        <f>(((Table134567891011121314151617343[[#This Row],[GBR]]-VLOOKUP($U$1,A:G,7,))/VLOOKUP($U$1,A:G,7,))*100)+100</f>
        <v/>
      </c>
      <c r="N325" s="86">
        <f>VLOOKUP(A325,Database!$A:$AS,MATCH($N$1,Database!$A$1:$AS$1,0),FALSE)</f>
        <v/>
      </c>
      <c r="O325" s="86">
        <f>(((Table134567891011121314151617343[[#This Row],[USA]]-VLOOKUP($U$1,A:N,14,))/VLOOKUP($U$1,A:N,14,))*100)+100</f>
        <v/>
      </c>
      <c r="P325" s="86">
        <f>VLOOKUP(A325,Database!$A:$AS,MATCH($P$1,Database!$A$1:$AS$1,0),FALSE)</f>
        <v/>
      </c>
      <c r="Q325" s="86">
        <f>(((Table134567891011121314151617343[[#This Row],[JPN]]-VLOOKUP($U$1,A:Q,16,))/VLOOKUP($U$1,A:Q,16,))*100)+100</f>
        <v/>
      </c>
    </row>
    <row r="326" customFormat="1" s="94">
      <c r="A326" s="22" t="n">
        <v>42736</v>
      </c>
      <c r="B326" s="86">
        <f>VLOOKUP(A326,Database!$A:$AS,MATCH($B$1,Database!$A$1:$AS$1,0),FALSE)</f>
        <v/>
      </c>
      <c r="C326" s="86">
        <f>VLOOKUP(A326,Database!$A:$AS,MATCH($C$1,Database!$A$1:$AS$1,0),FALSE)</f>
        <v/>
      </c>
      <c r="D326" s="86">
        <f>VLOOKUP(A326,Database!$A:$AS,MATCH($D$1,Database!$A$1:$AS$1,0),FALSE)</f>
        <v/>
      </c>
      <c r="E326" s="86">
        <f>VLOOKUP(A326,Database!$A:$AS,MATCH($E$1,Database!$A$1:$AS$1,0),FALSE)</f>
        <v/>
      </c>
      <c r="F326" s="86">
        <f>VLOOKUP(A326,Database!$A:$AS,MATCH($F$1,Database!$A$1:$AS$1,0),FALSE)</f>
        <v/>
      </c>
      <c r="G326" s="86">
        <f>VLOOKUP(A326,Database!$A:$AS,MATCH($G$1,Database!$A$1:$AS$1,0),FALSE)</f>
        <v/>
      </c>
      <c r="H326" s="86">
        <f>(((Table134567891011121314151617343[[#This Row],[ITA]]-VLOOKUP($U$1,A:B,2,))/VLOOKUP($U$1,A:B,2,))*100)+100</f>
        <v/>
      </c>
      <c r="I326" s="86">
        <f>(((Table134567891011121314151617343[[#This Row],[FRA]]-VLOOKUP($U$1,A:C,3,))/VLOOKUP($U$1,A:C,3,))*100)+100</f>
        <v/>
      </c>
      <c r="J326" s="86">
        <f>(((Table134567891011121314151617343[[#This Row],[DEU]]-VLOOKUP($U$1,A:D,4,))/VLOOKUP($U$1,A:D,4,))*100)+100</f>
        <v/>
      </c>
      <c r="K326" s="86">
        <f>(((Table134567891011121314151617343[[#This Row],[ESP]]-VLOOKUP($U$1,A:E,5,))/VLOOKUP($U$1,A:E,5,))*100)+100</f>
        <v/>
      </c>
      <c r="L326" s="86">
        <f>(((Table134567891011121314151617343[[#This Row],[EA19]]-VLOOKUP($U$1,A:F,6,))/VLOOKUP($U$1,A:F,6,))*100)+100</f>
        <v/>
      </c>
      <c r="M326" s="86">
        <f>(((Table134567891011121314151617343[[#This Row],[GBR]]-VLOOKUP($U$1,A:G,7,))/VLOOKUP($U$1,A:G,7,))*100)+100</f>
        <v/>
      </c>
      <c r="N326" s="86">
        <f>VLOOKUP(A326,Database!$A:$AS,MATCH($N$1,Database!$A$1:$AS$1,0),FALSE)</f>
        <v/>
      </c>
      <c r="O326" s="86">
        <f>(((Table134567891011121314151617343[[#This Row],[USA]]-VLOOKUP($U$1,A:N,14,))/VLOOKUP($U$1,A:N,14,))*100)+100</f>
        <v/>
      </c>
      <c r="P326" s="86">
        <f>VLOOKUP(A326,Database!$A:$AS,MATCH($P$1,Database!$A$1:$AS$1,0),FALSE)</f>
        <v/>
      </c>
      <c r="Q326" s="86">
        <f>(((Table134567891011121314151617343[[#This Row],[JPN]]-VLOOKUP($U$1,A:Q,16,))/VLOOKUP($U$1,A:Q,16,))*100)+100</f>
        <v/>
      </c>
    </row>
    <row r="327" customFormat="1" s="94">
      <c r="A327" s="22" t="n">
        <v>42767</v>
      </c>
      <c r="B327" s="86">
        <f>VLOOKUP(A327,Database!$A:$AS,MATCH($B$1,Database!$A$1:$AS$1,0),FALSE)</f>
        <v/>
      </c>
      <c r="C327" s="86">
        <f>VLOOKUP(A327,Database!$A:$AS,MATCH($C$1,Database!$A$1:$AS$1,0),FALSE)</f>
        <v/>
      </c>
      <c r="D327" s="86">
        <f>VLOOKUP(A327,Database!$A:$AS,MATCH($D$1,Database!$A$1:$AS$1,0),FALSE)</f>
        <v/>
      </c>
      <c r="E327" s="86">
        <f>VLOOKUP(A327,Database!$A:$AS,MATCH($E$1,Database!$A$1:$AS$1,0),FALSE)</f>
        <v/>
      </c>
      <c r="F327" s="86">
        <f>VLOOKUP(A327,Database!$A:$AS,MATCH($F$1,Database!$A$1:$AS$1,0),FALSE)</f>
        <v/>
      </c>
      <c r="G327" s="86">
        <f>VLOOKUP(A327,Database!$A:$AS,MATCH($G$1,Database!$A$1:$AS$1,0),FALSE)</f>
        <v/>
      </c>
      <c r="H327" s="86">
        <f>(((Table134567891011121314151617343[[#This Row],[ITA]]-VLOOKUP($U$1,A:B,2,))/VLOOKUP($U$1,A:B,2,))*100)+100</f>
        <v/>
      </c>
      <c r="I327" s="86">
        <f>(((Table134567891011121314151617343[[#This Row],[FRA]]-VLOOKUP($U$1,A:C,3,))/VLOOKUP($U$1,A:C,3,))*100)+100</f>
        <v/>
      </c>
      <c r="J327" s="86">
        <f>(((Table134567891011121314151617343[[#This Row],[DEU]]-VLOOKUP($U$1,A:D,4,))/VLOOKUP($U$1,A:D,4,))*100)+100</f>
        <v/>
      </c>
      <c r="K327" s="86">
        <f>(((Table134567891011121314151617343[[#This Row],[ESP]]-VLOOKUP($U$1,A:E,5,))/VLOOKUP($U$1,A:E,5,))*100)+100</f>
        <v/>
      </c>
      <c r="L327" s="86">
        <f>(((Table134567891011121314151617343[[#This Row],[EA19]]-VLOOKUP($U$1,A:F,6,))/VLOOKUP($U$1,A:F,6,))*100)+100</f>
        <v/>
      </c>
      <c r="M327" s="86">
        <f>(((Table134567891011121314151617343[[#This Row],[GBR]]-VLOOKUP($U$1,A:G,7,))/VLOOKUP($U$1,A:G,7,))*100)+100</f>
        <v/>
      </c>
      <c r="N327" s="86">
        <f>VLOOKUP(A327,Database!$A:$AS,MATCH($N$1,Database!$A$1:$AS$1,0),FALSE)</f>
        <v/>
      </c>
      <c r="O327" s="86">
        <f>(((Table134567891011121314151617343[[#This Row],[USA]]-VLOOKUP($U$1,A:N,14,))/VLOOKUP($U$1,A:N,14,))*100)+100</f>
        <v/>
      </c>
      <c r="P327" s="86">
        <f>VLOOKUP(A327,Database!$A:$AS,MATCH($P$1,Database!$A$1:$AS$1,0),FALSE)</f>
        <v/>
      </c>
      <c r="Q327" s="86">
        <f>(((Table134567891011121314151617343[[#This Row],[JPN]]-VLOOKUP($U$1,A:Q,16,))/VLOOKUP($U$1,A:Q,16,))*100)+100</f>
        <v/>
      </c>
    </row>
    <row r="328" customFormat="1" s="94">
      <c r="A328" s="22" t="n">
        <v>42795</v>
      </c>
      <c r="B328" s="86">
        <f>VLOOKUP(A328,Database!$A:$AS,MATCH($B$1,Database!$A$1:$AS$1,0),FALSE)</f>
        <v/>
      </c>
      <c r="C328" s="86">
        <f>VLOOKUP(A328,Database!$A:$AS,MATCH($C$1,Database!$A$1:$AS$1,0),FALSE)</f>
        <v/>
      </c>
      <c r="D328" s="86">
        <f>VLOOKUP(A328,Database!$A:$AS,MATCH($D$1,Database!$A$1:$AS$1,0),FALSE)</f>
        <v/>
      </c>
      <c r="E328" s="86">
        <f>VLOOKUP(A328,Database!$A:$AS,MATCH($E$1,Database!$A$1:$AS$1,0),FALSE)</f>
        <v/>
      </c>
      <c r="F328" s="86">
        <f>VLOOKUP(A328,Database!$A:$AS,MATCH($F$1,Database!$A$1:$AS$1,0),FALSE)</f>
        <v/>
      </c>
      <c r="G328" s="86">
        <f>VLOOKUP(A328,Database!$A:$AS,MATCH($G$1,Database!$A$1:$AS$1,0),FALSE)</f>
        <v/>
      </c>
      <c r="H328" s="86">
        <f>(((Table134567891011121314151617343[[#This Row],[ITA]]-VLOOKUP($U$1,A:B,2,))/VLOOKUP($U$1,A:B,2,))*100)+100</f>
        <v/>
      </c>
      <c r="I328" s="86">
        <f>(((Table134567891011121314151617343[[#This Row],[FRA]]-VLOOKUP($U$1,A:C,3,))/VLOOKUP($U$1,A:C,3,))*100)+100</f>
        <v/>
      </c>
      <c r="J328" s="86">
        <f>(((Table134567891011121314151617343[[#This Row],[DEU]]-VLOOKUP($U$1,A:D,4,))/VLOOKUP($U$1,A:D,4,))*100)+100</f>
        <v/>
      </c>
      <c r="K328" s="86">
        <f>(((Table134567891011121314151617343[[#This Row],[ESP]]-VLOOKUP($U$1,A:E,5,))/VLOOKUP($U$1,A:E,5,))*100)+100</f>
        <v/>
      </c>
      <c r="L328" s="86">
        <f>(((Table134567891011121314151617343[[#This Row],[EA19]]-VLOOKUP($U$1,A:F,6,))/VLOOKUP($U$1,A:F,6,))*100)+100</f>
        <v/>
      </c>
      <c r="M328" s="86">
        <f>(((Table134567891011121314151617343[[#This Row],[GBR]]-VLOOKUP($U$1,A:G,7,))/VLOOKUP($U$1,A:G,7,))*100)+100</f>
        <v/>
      </c>
      <c r="N328" s="86">
        <f>VLOOKUP(A328,Database!$A:$AS,MATCH($N$1,Database!$A$1:$AS$1,0),FALSE)</f>
        <v/>
      </c>
      <c r="O328" s="86">
        <f>(((Table134567891011121314151617343[[#This Row],[USA]]-VLOOKUP($U$1,A:N,14,))/VLOOKUP($U$1,A:N,14,))*100)+100</f>
        <v/>
      </c>
      <c r="P328" s="86">
        <f>VLOOKUP(A328,Database!$A:$AS,MATCH($P$1,Database!$A$1:$AS$1,0),FALSE)</f>
        <v/>
      </c>
      <c r="Q328" s="86">
        <f>(((Table134567891011121314151617343[[#This Row],[JPN]]-VLOOKUP($U$1,A:Q,16,))/VLOOKUP($U$1,A:Q,16,))*100)+100</f>
        <v/>
      </c>
    </row>
    <row r="329" customFormat="1" s="94">
      <c r="A329" s="22" t="n">
        <v>42826</v>
      </c>
      <c r="B329" s="86">
        <f>VLOOKUP(A329,Database!$A:$AS,MATCH($B$1,Database!$A$1:$AS$1,0),FALSE)</f>
        <v/>
      </c>
      <c r="C329" s="86">
        <f>VLOOKUP(A329,Database!$A:$AS,MATCH($C$1,Database!$A$1:$AS$1,0),FALSE)</f>
        <v/>
      </c>
      <c r="D329" s="86">
        <f>VLOOKUP(A329,Database!$A:$AS,MATCH($D$1,Database!$A$1:$AS$1,0),FALSE)</f>
        <v/>
      </c>
      <c r="E329" s="86">
        <f>VLOOKUP(A329,Database!$A:$AS,MATCH($E$1,Database!$A$1:$AS$1,0),FALSE)</f>
        <v/>
      </c>
      <c r="F329" s="86">
        <f>VLOOKUP(A329,Database!$A:$AS,MATCH($F$1,Database!$A$1:$AS$1,0),FALSE)</f>
        <v/>
      </c>
      <c r="G329" s="86">
        <f>VLOOKUP(A329,Database!$A:$AS,MATCH($G$1,Database!$A$1:$AS$1,0),FALSE)</f>
        <v/>
      </c>
      <c r="H329" s="86">
        <f>(((Table134567891011121314151617343[[#This Row],[ITA]]-VLOOKUP($U$1,A:B,2,))/VLOOKUP($U$1,A:B,2,))*100)+100</f>
        <v/>
      </c>
      <c r="I329" s="86">
        <f>(((Table134567891011121314151617343[[#This Row],[FRA]]-VLOOKUP($U$1,A:C,3,))/VLOOKUP($U$1,A:C,3,))*100)+100</f>
        <v/>
      </c>
      <c r="J329" s="86">
        <f>(((Table134567891011121314151617343[[#This Row],[DEU]]-VLOOKUP($U$1,A:D,4,))/VLOOKUP($U$1,A:D,4,))*100)+100</f>
        <v/>
      </c>
      <c r="K329" s="86">
        <f>(((Table134567891011121314151617343[[#This Row],[ESP]]-VLOOKUP($U$1,A:E,5,))/VLOOKUP($U$1,A:E,5,))*100)+100</f>
        <v/>
      </c>
      <c r="L329" s="86">
        <f>(((Table134567891011121314151617343[[#This Row],[EA19]]-VLOOKUP($U$1,A:F,6,))/VLOOKUP($U$1,A:F,6,))*100)+100</f>
        <v/>
      </c>
      <c r="M329" s="86">
        <f>(((Table134567891011121314151617343[[#This Row],[GBR]]-VLOOKUP($U$1,A:G,7,))/VLOOKUP($U$1,A:G,7,))*100)+100</f>
        <v/>
      </c>
      <c r="N329" s="86">
        <f>VLOOKUP(A329,Database!$A:$AS,MATCH($N$1,Database!$A$1:$AS$1,0),FALSE)</f>
        <v/>
      </c>
      <c r="O329" s="86">
        <f>(((Table134567891011121314151617343[[#This Row],[USA]]-VLOOKUP($U$1,A:N,14,))/VLOOKUP($U$1,A:N,14,))*100)+100</f>
        <v/>
      </c>
      <c r="P329" s="86">
        <f>VLOOKUP(A329,Database!$A:$AS,MATCH($P$1,Database!$A$1:$AS$1,0),FALSE)</f>
        <v/>
      </c>
      <c r="Q329" s="86">
        <f>(((Table134567891011121314151617343[[#This Row],[JPN]]-VLOOKUP($U$1,A:Q,16,))/VLOOKUP($U$1,A:Q,16,))*100)+100</f>
        <v/>
      </c>
    </row>
    <row r="330" customFormat="1" s="94">
      <c r="A330" s="22" t="n">
        <v>42856</v>
      </c>
      <c r="B330" s="86">
        <f>VLOOKUP(A330,Database!$A:$AS,MATCH($B$1,Database!$A$1:$AS$1,0),FALSE)</f>
        <v/>
      </c>
      <c r="C330" s="86">
        <f>VLOOKUP(A330,Database!$A:$AS,MATCH($C$1,Database!$A$1:$AS$1,0),FALSE)</f>
        <v/>
      </c>
      <c r="D330" s="86">
        <f>VLOOKUP(A330,Database!$A:$AS,MATCH($D$1,Database!$A$1:$AS$1,0),FALSE)</f>
        <v/>
      </c>
      <c r="E330" s="86">
        <f>VLOOKUP(A330,Database!$A:$AS,MATCH($E$1,Database!$A$1:$AS$1,0),FALSE)</f>
        <v/>
      </c>
      <c r="F330" s="86">
        <f>VLOOKUP(A330,Database!$A:$AS,MATCH($F$1,Database!$A$1:$AS$1,0),FALSE)</f>
        <v/>
      </c>
      <c r="G330" s="86">
        <f>VLOOKUP(A330,Database!$A:$AS,MATCH($G$1,Database!$A$1:$AS$1,0),FALSE)</f>
        <v/>
      </c>
      <c r="H330" s="86">
        <f>(((Table134567891011121314151617343[[#This Row],[ITA]]-VLOOKUP($U$1,A:B,2,))/VLOOKUP($U$1,A:B,2,))*100)+100</f>
        <v/>
      </c>
      <c r="I330" s="86">
        <f>(((Table134567891011121314151617343[[#This Row],[FRA]]-VLOOKUP($U$1,A:C,3,))/VLOOKUP($U$1,A:C,3,))*100)+100</f>
        <v/>
      </c>
      <c r="J330" s="86">
        <f>(((Table134567891011121314151617343[[#This Row],[DEU]]-VLOOKUP($U$1,A:D,4,))/VLOOKUP($U$1,A:D,4,))*100)+100</f>
        <v/>
      </c>
      <c r="K330" s="86">
        <f>(((Table134567891011121314151617343[[#This Row],[ESP]]-VLOOKUP($U$1,A:E,5,))/VLOOKUP($U$1,A:E,5,))*100)+100</f>
        <v/>
      </c>
      <c r="L330" s="86">
        <f>(((Table134567891011121314151617343[[#This Row],[EA19]]-VLOOKUP($U$1,A:F,6,))/VLOOKUP($U$1,A:F,6,))*100)+100</f>
        <v/>
      </c>
      <c r="M330" s="86">
        <f>(((Table134567891011121314151617343[[#This Row],[GBR]]-VLOOKUP($U$1,A:G,7,))/VLOOKUP($U$1,A:G,7,))*100)+100</f>
        <v/>
      </c>
      <c r="N330" s="86">
        <f>VLOOKUP(A330,Database!$A:$AS,MATCH($N$1,Database!$A$1:$AS$1,0),FALSE)</f>
        <v/>
      </c>
      <c r="O330" s="86">
        <f>(((Table134567891011121314151617343[[#This Row],[USA]]-VLOOKUP($U$1,A:N,14,))/VLOOKUP($U$1,A:N,14,))*100)+100</f>
        <v/>
      </c>
      <c r="P330" s="86">
        <f>VLOOKUP(A330,Database!$A:$AS,MATCH($P$1,Database!$A$1:$AS$1,0),FALSE)</f>
        <v/>
      </c>
      <c r="Q330" s="86">
        <f>(((Table134567891011121314151617343[[#This Row],[JPN]]-VLOOKUP($U$1,A:Q,16,))/VLOOKUP($U$1,A:Q,16,))*100)+100</f>
        <v/>
      </c>
    </row>
    <row r="331" customFormat="1" s="94">
      <c r="A331" s="22" t="n">
        <v>42887</v>
      </c>
      <c r="B331" s="86">
        <f>VLOOKUP(A331,Database!$A:$AS,MATCH($B$1,Database!$A$1:$AS$1,0),FALSE)</f>
        <v/>
      </c>
      <c r="C331" s="86">
        <f>VLOOKUP(A331,Database!$A:$AS,MATCH($C$1,Database!$A$1:$AS$1,0),FALSE)</f>
        <v/>
      </c>
      <c r="D331" s="86">
        <f>VLOOKUP(A331,Database!$A:$AS,MATCH($D$1,Database!$A$1:$AS$1,0),FALSE)</f>
        <v/>
      </c>
      <c r="E331" s="86">
        <f>VLOOKUP(A331,Database!$A:$AS,MATCH($E$1,Database!$A$1:$AS$1,0),FALSE)</f>
        <v/>
      </c>
      <c r="F331" s="86">
        <f>VLOOKUP(A331,Database!$A:$AS,MATCH($F$1,Database!$A$1:$AS$1,0),FALSE)</f>
        <v/>
      </c>
      <c r="G331" s="86">
        <f>VLOOKUP(A331,Database!$A:$AS,MATCH($G$1,Database!$A$1:$AS$1,0),FALSE)</f>
        <v/>
      </c>
      <c r="H331" s="86">
        <f>(((Table134567891011121314151617343[[#This Row],[ITA]]-VLOOKUP($U$1,A:B,2,))/VLOOKUP($U$1,A:B,2,))*100)+100</f>
        <v/>
      </c>
      <c r="I331" s="86">
        <f>(((Table134567891011121314151617343[[#This Row],[FRA]]-VLOOKUP($U$1,A:C,3,))/VLOOKUP($U$1,A:C,3,))*100)+100</f>
        <v/>
      </c>
      <c r="J331" s="86">
        <f>(((Table134567891011121314151617343[[#This Row],[DEU]]-VLOOKUP($U$1,A:D,4,))/VLOOKUP($U$1,A:D,4,))*100)+100</f>
        <v/>
      </c>
      <c r="K331" s="86">
        <f>(((Table134567891011121314151617343[[#This Row],[ESP]]-VLOOKUP($U$1,A:E,5,))/VLOOKUP($U$1,A:E,5,))*100)+100</f>
        <v/>
      </c>
      <c r="L331" s="86">
        <f>(((Table134567891011121314151617343[[#This Row],[EA19]]-VLOOKUP($U$1,A:F,6,))/VLOOKUP($U$1,A:F,6,))*100)+100</f>
        <v/>
      </c>
      <c r="M331" s="86">
        <f>(((Table134567891011121314151617343[[#This Row],[GBR]]-VLOOKUP($U$1,A:G,7,))/VLOOKUP($U$1,A:G,7,))*100)+100</f>
        <v/>
      </c>
      <c r="N331" s="86">
        <f>VLOOKUP(A331,Database!$A:$AS,MATCH($N$1,Database!$A$1:$AS$1,0),FALSE)</f>
        <v/>
      </c>
      <c r="O331" s="86">
        <f>(((Table134567891011121314151617343[[#This Row],[USA]]-VLOOKUP($U$1,A:N,14,))/VLOOKUP($U$1,A:N,14,))*100)+100</f>
        <v/>
      </c>
      <c r="P331" s="86">
        <f>VLOOKUP(A331,Database!$A:$AS,MATCH($P$1,Database!$A$1:$AS$1,0),FALSE)</f>
        <v/>
      </c>
      <c r="Q331" s="86">
        <f>(((Table134567891011121314151617343[[#This Row],[JPN]]-VLOOKUP($U$1,A:Q,16,))/VLOOKUP($U$1,A:Q,16,))*100)+100</f>
        <v/>
      </c>
    </row>
    <row r="332" customFormat="1" s="94">
      <c r="A332" s="22" t="n">
        <v>42917</v>
      </c>
      <c r="B332" s="86">
        <f>VLOOKUP(A332,Database!$A:$AS,MATCH($B$1,Database!$A$1:$AS$1,0),FALSE)</f>
        <v/>
      </c>
      <c r="C332" s="86">
        <f>VLOOKUP(A332,Database!$A:$AS,MATCH($C$1,Database!$A$1:$AS$1,0),FALSE)</f>
        <v/>
      </c>
      <c r="D332" s="86">
        <f>VLOOKUP(A332,Database!$A:$AS,MATCH($D$1,Database!$A$1:$AS$1,0),FALSE)</f>
        <v/>
      </c>
      <c r="E332" s="86">
        <f>VLOOKUP(A332,Database!$A:$AS,MATCH($E$1,Database!$A$1:$AS$1,0),FALSE)</f>
        <v/>
      </c>
      <c r="F332" s="86">
        <f>VLOOKUP(A332,Database!$A:$AS,MATCH($F$1,Database!$A$1:$AS$1,0),FALSE)</f>
        <v/>
      </c>
      <c r="G332" s="86">
        <f>VLOOKUP(A332,Database!$A:$AS,MATCH($G$1,Database!$A$1:$AS$1,0),FALSE)</f>
        <v/>
      </c>
      <c r="H332" s="86">
        <f>(((Table134567891011121314151617343[[#This Row],[ITA]]-VLOOKUP($U$1,A:B,2,))/VLOOKUP($U$1,A:B,2,))*100)+100</f>
        <v/>
      </c>
      <c r="I332" s="86">
        <f>(((Table134567891011121314151617343[[#This Row],[FRA]]-VLOOKUP($U$1,A:C,3,))/VLOOKUP($U$1,A:C,3,))*100)+100</f>
        <v/>
      </c>
      <c r="J332" s="86">
        <f>(((Table134567891011121314151617343[[#This Row],[DEU]]-VLOOKUP($U$1,A:D,4,))/VLOOKUP($U$1,A:D,4,))*100)+100</f>
        <v/>
      </c>
      <c r="K332" s="86">
        <f>(((Table134567891011121314151617343[[#This Row],[ESP]]-VLOOKUP($U$1,A:E,5,))/VLOOKUP($U$1,A:E,5,))*100)+100</f>
        <v/>
      </c>
      <c r="L332" s="86">
        <f>(((Table134567891011121314151617343[[#This Row],[EA19]]-VLOOKUP($U$1,A:F,6,))/VLOOKUP($U$1,A:F,6,))*100)+100</f>
        <v/>
      </c>
      <c r="M332" s="86">
        <f>(((Table134567891011121314151617343[[#This Row],[GBR]]-VLOOKUP($U$1,A:G,7,))/VLOOKUP($U$1,A:G,7,))*100)+100</f>
        <v/>
      </c>
      <c r="N332" s="86">
        <f>VLOOKUP(A332,Database!$A:$AS,MATCH($N$1,Database!$A$1:$AS$1,0),FALSE)</f>
        <v/>
      </c>
      <c r="O332" s="86">
        <f>(((Table134567891011121314151617343[[#This Row],[USA]]-VLOOKUP($U$1,A:N,14,))/VLOOKUP($U$1,A:N,14,))*100)+100</f>
        <v/>
      </c>
      <c r="P332" s="86">
        <f>VLOOKUP(A332,Database!$A:$AS,MATCH($P$1,Database!$A$1:$AS$1,0),FALSE)</f>
        <v/>
      </c>
      <c r="Q332" s="86">
        <f>(((Table134567891011121314151617343[[#This Row],[JPN]]-VLOOKUP($U$1,A:Q,16,))/VLOOKUP($U$1,A:Q,16,))*100)+100</f>
        <v/>
      </c>
    </row>
    <row r="333" customFormat="1" s="94">
      <c r="A333" s="22" t="n">
        <v>42948</v>
      </c>
      <c r="B333" s="86">
        <f>VLOOKUP(A333,Database!$A:$AS,MATCH($B$1,Database!$A$1:$AS$1,0),FALSE)</f>
        <v/>
      </c>
      <c r="C333" s="86">
        <f>VLOOKUP(A333,Database!$A:$AS,MATCH($C$1,Database!$A$1:$AS$1,0),FALSE)</f>
        <v/>
      </c>
      <c r="D333" s="86">
        <f>VLOOKUP(A333,Database!$A:$AS,MATCH($D$1,Database!$A$1:$AS$1,0),FALSE)</f>
        <v/>
      </c>
      <c r="E333" s="86">
        <f>VLOOKUP(A333,Database!$A:$AS,MATCH($E$1,Database!$A$1:$AS$1,0),FALSE)</f>
        <v/>
      </c>
      <c r="F333" s="86">
        <f>VLOOKUP(A333,Database!$A:$AS,MATCH($F$1,Database!$A$1:$AS$1,0),FALSE)</f>
        <v/>
      </c>
      <c r="G333" s="86">
        <f>VLOOKUP(A333,Database!$A:$AS,MATCH($G$1,Database!$A$1:$AS$1,0),FALSE)</f>
        <v/>
      </c>
      <c r="H333" s="86">
        <f>(((Table134567891011121314151617343[[#This Row],[ITA]]-VLOOKUP($U$1,A:B,2,))/VLOOKUP($U$1,A:B,2,))*100)+100</f>
        <v/>
      </c>
      <c r="I333" s="86">
        <f>(((Table134567891011121314151617343[[#This Row],[FRA]]-VLOOKUP($U$1,A:C,3,))/VLOOKUP($U$1,A:C,3,))*100)+100</f>
        <v/>
      </c>
      <c r="J333" s="86">
        <f>(((Table134567891011121314151617343[[#This Row],[DEU]]-VLOOKUP($U$1,A:D,4,))/VLOOKUP($U$1,A:D,4,))*100)+100</f>
        <v/>
      </c>
      <c r="K333" s="86">
        <f>(((Table134567891011121314151617343[[#This Row],[ESP]]-VLOOKUP($U$1,A:E,5,))/VLOOKUP($U$1,A:E,5,))*100)+100</f>
        <v/>
      </c>
      <c r="L333" s="86">
        <f>(((Table134567891011121314151617343[[#This Row],[EA19]]-VLOOKUP($U$1,A:F,6,))/VLOOKUP($U$1,A:F,6,))*100)+100</f>
        <v/>
      </c>
      <c r="M333" s="86">
        <f>(((Table134567891011121314151617343[[#This Row],[GBR]]-VLOOKUP($U$1,A:G,7,))/VLOOKUP($U$1,A:G,7,))*100)+100</f>
        <v/>
      </c>
      <c r="N333" s="86">
        <f>VLOOKUP(A333,Database!$A:$AS,MATCH($N$1,Database!$A$1:$AS$1,0),FALSE)</f>
        <v/>
      </c>
      <c r="O333" s="86">
        <f>(((Table134567891011121314151617343[[#This Row],[USA]]-VLOOKUP($U$1,A:N,14,))/VLOOKUP($U$1,A:N,14,))*100)+100</f>
        <v/>
      </c>
      <c r="P333" s="86">
        <f>VLOOKUP(A333,Database!$A:$AS,MATCH($P$1,Database!$A$1:$AS$1,0),FALSE)</f>
        <v/>
      </c>
      <c r="Q333" s="86">
        <f>(((Table134567891011121314151617343[[#This Row],[JPN]]-VLOOKUP($U$1,A:Q,16,))/VLOOKUP($U$1,A:Q,16,))*100)+100</f>
        <v/>
      </c>
    </row>
    <row r="334" customFormat="1" s="94">
      <c r="A334" s="22" t="n">
        <v>42979</v>
      </c>
      <c r="B334" s="86">
        <f>VLOOKUP(A334,Database!$A:$AS,MATCH($B$1,Database!$A$1:$AS$1,0),FALSE)</f>
        <v/>
      </c>
      <c r="C334" s="86">
        <f>VLOOKUP(A334,Database!$A:$AS,MATCH($C$1,Database!$A$1:$AS$1,0),FALSE)</f>
        <v/>
      </c>
      <c r="D334" s="86">
        <f>VLOOKUP(A334,Database!$A:$AS,MATCH($D$1,Database!$A$1:$AS$1,0),FALSE)</f>
        <v/>
      </c>
      <c r="E334" s="86">
        <f>VLOOKUP(A334,Database!$A:$AS,MATCH($E$1,Database!$A$1:$AS$1,0),FALSE)</f>
        <v/>
      </c>
      <c r="F334" s="86">
        <f>VLOOKUP(A334,Database!$A:$AS,MATCH($F$1,Database!$A$1:$AS$1,0),FALSE)</f>
        <v/>
      </c>
      <c r="G334" s="86">
        <f>VLOOKUP(A334,Database!$A:$AS,MATCH($G$1,Database!$A$1:$AS$1,0),FALSE)</f>
        <v/>
      </c>
      <c r="H334" s="86">
        <f>(((Table134567891011121314151617343[[#This Row],[ITA]]-VLOOKUP($U$1,A:B,2,))/VLOOKUP($U$1,A:B,2,))*100)+100</f>
        <v/>
      </c>
      <c r="I334" s="86">
        <f>(((Table134567891011121314151617343[[#This Row],[FRA]]-VLOOKUP($U$1,A:C,3,))/VLOOKUP($U$1,A:C,3,))*100)+100</f>
        <v/>
      </c>
      <c r="J334" s="86">
        <f>(((Table134567891011121314151617343[[#This Row],[DEU]]-VLOOKUP($U$1,A:D,4,))/VLOOKUP($U$1,A:D,4,))*100)+100</f>
        <v/>
      </c>
      <c r="K334" s="86">
        <f>(((Table134567891011121314151617343[[#This Row],[ESP]]-VLOOKUP($U$1,A:E,5,))/VLOOKUP($U$1,A:E,5,))*100)+100</f>
        <v/>
      </c>
      <c r="L334" s="86">
        <f>(((Table134567891011121314151617343[[#This Row],[EA19]]-VLOOKUP($U$1,A:F,6,))/VLOOKUP($U$1,A:F,6,))*100)+100</f>
        <v/>
      </c>
      <c r="M334" s="86">
        <f>(((Table134567891011121314151617343[[#This Row],[GBR]]-VLOOKUP($U$1,A:G,7,))/VLOOKUP($U$1,A:G,7,))*100)+100</f>
        <v/>
      </c>
      <c r="N334" s="86">
        <f>VLOOKUP(A334,Database!$A:$AS,MATCH($N$1,Database!$A$1:$AS$1,0),FALSE)</f>
        <v/>
      </c>
      <c r="O334" s="86">
        <f>(((Table134567891011121314151617343[[#This Row],[USA]]-VLOOKUP($U$1,A:N,14,))/VLOOKUP($U$1,A:N,14,))*100)+100</f>
        <v/>
      </c>
      <c r="P334" s="86">
        <f>VLOOKUP(A334,Database!$A:$AS,MATCH($P$1,Database!$A$1:$AS$1,0),FALSE)</f>
        <v/>
      </c>
      <c r="Q334" s="86">
        <f>(((Table134567891011121314151617343[[#This Row],[JPN]]-VLOOKUP($U$1,A:Q,16,))/VLOOKUP($U$1,A:Q,16,))*100)+100</f>
        <v/>
      </c>
    </row>
    <row r="335" customFormat="1" s="94">
      <c r="A335" s="22" t="n">
        <v>43009</v>
      </c>
      <c r="B335" s="86">
        <f>VLOOKUP(A335,Database!$A:$AS,MATCH($B$1,Database!$A$1:$AS$1,0),FALSE)</f>
        <v/>
      </c>
      <c r="C335" s="86">
        <f>VLOOKUP(A335,Database!$A:$AS,MATCH($C$1,Database!$A$1:$AS$1,0),FALSE)</f>
        <v/>
      </c>
      <c r="D335" s="86">
        <f>VLOOKUP(A335,Database!$A:$AS,MATCH($D$1,Database!$A$1:$AS$1,0),FALSE)</f>
        <v/>
      </c>
      <c r="E335" s="86">
        <f>VLOOKUP(A335,Database!$A:$AS,MATCH($E$1,Database!$A$1:$AS$1,0),FALSE)</f>
        <v/>
      </c>
      <c r="F335" s="86">
        <f>VLOOKUP(A335,Database!$A:$AS,MATCH($F$1,Database!$A$1:$AS$1,0),FALSE)</f>
        <v/>
      </c>
      <c r="G335" s="86">
        <f>VLOOKUP(A335,Database!$A:$AS,MATCH($G$1,Database!$A$1:$AS$1,0),FALSE)</f>
        <v/>
      </c>
      <c r="H335" s="86">
        <f>(((Table134567891011121314151617343[[#This Row],[ITA]]-VLOOKUP($U$1,A:B,2,))/VLOOKUP($U$1,A:B,2,))*100)+100</f>
        <v/>
      </c>
      <c r="I335" s="86">
        <f>(((Table134567891011121314151617343[[#This Row],[FRA]]-VLOOKUP($U$1,A:C,3,))/VLOOKUP($U$1,A:C,3,))*100)+100</f>
        <v/>
      </c>
      <c r="J335" s="86">
        <f>(((Table134567891011121314151617343[[#This Row],[DEU]]-VLOOKUP($U$1,A:D,4,))/VLOOKUP($U$1,A:D,4,))*100)+100</f>
        <v/>
      </c>
      <c r="K335" s="86">
        <f>(((Table134567891011121314151617343[[#This Row],[ESP]]-VLOOKUP($U$1,A:E,5,))/VLOOKUP($U$1,A:E,5,))*100)+100</f>
        <v/>
      </c>
      <c r="L335" s="86">
        <f>(((Table134567891011121314151617343[[#This Row],[EA19]]-VLOOKUP($U$1,A:F,6,))/VLOOKUP($U$1,A:F,6,))*100)+100</f>
        <v/>
      </c>
      <c r="M335" s="86">
        <f>(((Table134567891011121314151617343[[#This Row],[GBR]]-VLOOKUP($U$1,A:G,7,))/VLOOKUP($U$1,A:G,7,))*100)+100</f>
        <v/>
      </c>
      <c r="N335" s="86">
        <f>VLOOKUP(A335,Database!$A:$AS,MATCH($N$1,Database!$A$1:$AS$1,0),FALSE)</f>
        <v/>
      </c>
      <c r="O335" s="86">
        <f>(((Table134567891011121314151617343[[#This Row],[USA]]-VLOOKUP($U$1,A:N,14,))/VLOOKUP($U$1,A:N,14,))*100)+100</f>
        <v/>
      </c>
      <c r="P335" s="86">
        <f>VLOOKUP(A335,Database!$A:$AS,MATCH($P$1,Database!$A$1:$AS$1,0),FALSE)</f>
        <v/>
      </c>
      <c r="Q335" s="86">
        <f>(((Table134567891011121314151617343[[#This Row],[JPN]]-VLOOKUP($U$1,A:Q,16,))/VLOOKUP($U$1,A:Q,16,))*100)+100</f>
        <v/>
      </c>
    </row>
    <row r="336" customFormat="1" s="94">
      <c r="A336" s="22" t="n">
        <v>43040</v>
      </c>
      <c r="B336" s="86">
        <f>VLOOKUP(A336,Database!$A:$AS,MATCH($B$1,Database!$A$1:$AS$1,0),FALSE)</f>
        <v/>
      </c>
      <c r="C336" s="86">
        <f>VLOOKUP(A336,Database!$A:$AS,MATCH($C$1,Database!$A$1:$AS$1,0),FALSE)</f>
        <v/>
      </c>
      <c r="D336" s="86">
        <f>VLOOKUP(A336,Database!$A:$AS,MATCH($D$1,Database!$A$1:$AS$1,0),FALSE)</f>
        <v/>
      </c>
      <c r="E336" s="86">
        <f>VLOOKUP(A336,Database!$A:$AS,MATCH($E$1,Database!$A$1:$AS$1,0),FALSE)</f>
        <v/>
      </c>
      <c r="F336" s="86">
        <f>VLOOKUP(A336,Database!$A:$AS,MATCH($F$1,Database!$A$1:$AS$1,0),FALSE)</f>
        <v/>
      </c>
      <c r="G336" s="86">
        <f>VLOOKUP(A336,Database!$A:$AS,MATCH($G$1,Database!$A$1:$AS$1,0),FALSE)</f>
        <v/>
      </c>
      <c r="H336" s="86">
        <f>(((Table134567891011121314151617343[[#This Row],[ITA]]-VLOOKUP($U$1,A:B,2,))/VLOOKUP($U$1,A:B,2,))*100)+100</f>
        <v/>
      </c>
      <c r="I336" s="86">
        <f>(((Table134567891011121314151617343[[#This Row],[FRA]]-VLOOKUP($U$1,A:C,3,))/VLOOKUP($U$1,A:C,3,))*100)+100</f>
        <v/>
      </c>
      <c r="J336" s="86">
        <f>(((Table134567891011121314151617343[[#This Row],[DEU]]-VLOOKUP($U$1,A:D,4,))/VLOOKUP($U$1,A:D,4,))*100)+100</f>
        <v/>
      </c>
      <c r="K336" s="86">
        <f>(((Table134567891011121314151617343[[#This Row],[ESP]]-VLOOKUP($U$1,A:E,5,))/VLOOKUP($U$1,A:E,5,))*100)+100</f>
        <v/>
      </c>
      <c r="L336" s="86">
        <f>(((Table134567891011121314151617343[[#This Row],[EA19]]-VLOOKUP($U$1,A:F,6,))/VLOOKUP($U$1,A:F,6,))*100)+100</f>
        <v/>
      </c>
      <c r="M336" s="86">
        <f>(((Table134567891011121314151617343[[#This Row],[GBR]]-VLOOKUP($U$1,A:G,7,))/VLOOKUP($U$1,A:G,7,))*100)+100</f>
        <v/>
      </c>
      <c r="N336" s="86">
        <f>VLOOKUP(A336,Database!$A:$AS,MATCH($N$1,Database!$A$1:$AS$1,0),FALSE)</f>
        <v/>
      </c>
      <c r="O336" s="86">
        <f>(((Table134567891011121314151617343[[#This Row],[USA]]-VLOOKUP($U$1,A:N,14,))/VLOOKUP($U$1,A:N,14,))*100)+100</f>
        <v/>
      </c>
      <c r="P336" s="86">
        <f>VLOOKUP(A336,Database!$A:$AS,MATCH($P$1,Database!$A$1:$AS$1,0),FALSE)</f>
        <v/>
      </c>
      <c r="Q336" s="86">
        <f>(((Table134567891011121314151617343[[#This Row],[JPN]]-VLOOKUP($U$1,A:Q,16,))/VLOOKUP($U$1,A:Q,16,))*100)+100</f>
        <v/>
      </c>
    </row>
    <row r="337" customFormat="1" s="94">
      <c r="A337" s="22" t="n">
        <v>43070</v>
      </c>
      <c r="B337" s="86">
        <f>VLOOKUP(A337,Database!$A:$AS,MATCH($B$1,Database!$A$1:$AS$1,0),FALSE)</f>
        <v/>
      </c>
      <c r="C337" s="86">
        <f>VLOOKUP(A337,Database!$A:$AS,MATCH($C$1,Database!$A$1:$AS$1,0),FALSE)</f>
        <v/>
      </c>
      <c r="D337" s="86">
        <f>VLOOKUP(A337,Database!$A:$AS,MATCH($D$1,Database!$A$1:$AS$1,0),FALSE)</f>
        <v/>
      </c>
      <c r="E337" s="86">
        <f>VLOOKUP(A337,Database!$A:$AS,MATCH($E$1,Database!$A$1:$AS$1,0),FALSE)</f>
        <v/>
      </c>
      <c r="F337" s="86">
        <f>VLOOKUP(A337,Database!$A:$AS,MATCH($F$1,Database!$A$1:$AS$1,0),FALSE)</f>
        <v/>
      </c>
      <c r="G337" s="86">
        <f>VLOOKUP(A337,Database!$A:$AS,MATCH($G$1,Database!$A$1:$AS$1,0),FALSE)</f>
        <v/>
      </c>
      <c r="H337" s="86">
        <f>(((Table134567891011121314151617343[[#This Row],[ITA]]-VLOOKUP($U$1,A:B,2,))/VLOOKUP($U$1,A:B,2,))*100)+100</f>
        <v/>
      </c>
      <c r="I337" s="86">
        <f>(((Table134567891011121314151617343[[#This Row],[FRA]]-VLOOKUP($U$1,A:C,3,))/VLOOKUP($U$1,A:C,3,))*100)+100</f>
        <v/>
      </c>
      <c r="J337" s="86">
        <f>(((Table134567891011121314151617343[[#This Row],[DEU]]-VLOOKUP($U$1,A:D,4,))/VLOOKUP($U$1,A:D,4,))*100)+100</f>
        <v/>
      </c>
      <c r="K337" s="86">
        <f>(((Table134567891011121314151617343[[#This Row],[ESP]]-VLOOKUP($U$1,A:E,5,))/VLOOKUP($U$1,A:E,5,))*100)+100</f>
        <v/>
      </c>
      <c r="L337" s="86">
        <f>(((Table134567891011121314151617343[[#This Row],[EA19]]-VLOOKUP($U$1,A:F,6,))/VLOOKUP($U$1,A:F,6,))*100)+100</f>
        <v/>
      </c>
      <c r="M337" s="86">
        <f>(((Table134567891011121314151617343[[#This Row],[GBR]]-VLOOKUP($U$1,A:G,7,))/VLOOKUP($U$1,A:G,7,))*100)+100</f>
        <v/>
      </c>
      <c r="N337" s="86">
        <f>VLOOKUP(A337,Database!$A:$AS,MATCH($N$1,Database!$A$1:$AS$1,0),FALSE)</f>
        <v/>
      </c>
      <c r="O337" s="86">
        <f>(((Table134567891011121314151617343[[#This Row],[USA]]-VLOOKUP($U$1,A:N,14,))/VLOOKUP($U$1,A:N,14,))*100)+100</f>
        <v/>
      </c>
      <c r="P337" s="86">
        <f>VLOOKUP(A337,Database!$A:$AS,MATCH($P$1,Database!$A$1:$AS$1,0),FALSE)</f>
        <v/>
      </c>
      <c r="Q337" s="86">
        <f>(((Table134567891011121314151617343[[#This Row],[JPN]]-VLOOKUP($U$1,A:Q,16,))/VLOOKUP($U$1,A:Q,16,))*100)+100</f>
        <v/>
      </c>
    </row>
    <row r="338" customFormat="1" s="94">
      <c r="A338" s="22" t="n">
        <v>43101</v>
      </c>
      <c r="B338" s="86">
        <f>VLOOKUP(A338,Database!$A:$AS,MATCH($B$1,Database!$A$1:$AS$1,0),FALSE)</f>
        <v/>
      </c>
      <c r="C338" s="86">
        <f>VLOOKUP(A338,Database!$A:$AS,MATCH($C$1,Database!$A$1:$AS$1,0),FALSE)</f>
        <v/>
      </c>
      <c r="D338" s="86">
        <f>VLOOKUP(A338,Database!$A:$AS,MATCH($D$1,Database!$A$1:$AS$1,0),FALSE)</f>
        <v/>
      </c>
      <c r="E338" s="86">
        <f>VLOOKUP(A338,Database!$A:$AS,MATCH($E$1,Database!$A$1:$AS$1,0),FALSE)</f>
        <v/>
      </c>
      <c r="F338" s="86">
        <f>VLOOKUP(A338,Database!$A:$AS,MATCH($F$1,Database!$A$1:$AS$1,0),FALSE)</f>
        <v/>
      </c>
      <c r="G338" s="86">
        <f>VLOOKUP(A338,Database!$A:$AS,MATCH($G$1,Database!$A$1:$AS$1,0),FALSE)</f>
        <v/>
      </c>
      <c r="H338" s="86">
        <f>(((Table134567891011121314151617343[[#This Row],[ITA]]-VLOOKUP($U$1,A:B,2,))/VLOOKUP($U$1,A:B,2,))*100)+100</f>
        <v/>
      </c>
      <c r="I338" s="86">
        <f>(((Table134567891011121314151617343[[#This Row],[FRA]]-VLOOKUP($U$1,A:C,3,))/VLOOKUP($U$1,A:C,3,))*100)+100</f>
        <v/>
      </c>
      <c r="J338" s="86">
        <f>(((Table134567891011121314151617343[[#This Row],[DEU]]-VLOOKUP($U$1,A:D,4,))/VLOOKUP($U$1,A:D,4,))*100)+100</f>
        <v/>
      </c>
      <c r="K338" s="86">
        <f>(((Table134567891011121314151617343[[#This Row],[ESP]]-VLOOKUP($U$1,A:E,5,))/VLOOKUP($U$1,A:E,5,))*100)+100</f>
        <v/>
      </c>
      <c r="L338" s="86">
        <f>(((Table134567891011121314151617343[[#This Row],[EA19]]-VLOOKUP($U$1,A:F,6,))/VLOOKUP($U$1,A:F,6,))*100)+100</f>
        <v/>
      </c>
      <c r="M338" s="86">
        <f>(((Table134567891011121314151617343[[#This Row],[GBR]]-VLOOKUP($U$1,A:G,7,))/VLOOKUP($U$1,A:G,7,))*100)+100</f>
        <v/>
      </c>
      <c r="N338" s="86">
        <f>VLOOKUP(A338,Database!$A:$AS,MATCH($N$1,Database!$A$1:$AS$1,0),FALSE)</f>
        <v/>
      </c>
      <c r="O338" s="86">
        <f>(((Table134567891011121314151617343[[#This Row],[USA]]-VLOOKUP($U$1,A:N,14,))/VLOOKUP($U$1,A:N,14,))*100)+100</f>
        <v/>
      </c>
      <c r="P338" s="86">
        <f>VLOOKUP(A338,Database!$A:$AS,MATCH($P$1,Database!$A$1:$AS$1,0),FALSE)</f>
        <v/>
      </c>
      <c r="Q338" s="86">
        <f>(((Table134567891011121314151617343[[#This Row],[JPN]]-VLOOKUP($U$1,A:Q,16,))/VLOOKUP($U$1,A:Q,16,))*100)+100</f>
        <v/>
      </c>
    </row>
    <row r="339" customFormat="1" s="94">
      <c r="A339" s="22" t="n">
        <v>43132</v>
      </c>
      <c r="B339" s="86">
        <f>VLOOKUP(A339,Database!$A:$AS,MATCH($B$1,Database!$A$1:$AS$1,0),FALSE)</f>
        <v/>
      </c>
      <c r="C339" s="86">
        <f>VLOOKUP(A339,Database!$A:$AS,MATCH($C$1,Database!$A$1:$AS$1,0),FALSE)</f>
        <v/>
      </c>
      <c r="D339" s="86">
        <f>VLOOKUP(A339,Database!$A:$AS,MATCH($D$1,Database!$A$1:$AS$1,0),FALSE)</f>
        <v/>
      </c>
      <c r="E339" s="86">
        <f>VLOOKUP(A339,Database!$A:$AS,MATCH($E$1,Database!$A$1:$AS$1,0),FALSE)</f>
        <v/>
      </c>
      <c r="F339" s="86">
        <f>VLOOKUP(A339,Database!$A:$AS,MATCH($F$1,Database!$A$1:$AS$1,0),FALSE)</f>
        <v/>
      </c>
      <c r="G339" s="86">
        <f>VLOOKUP(A339,Database!$A:$AS,MATCH($G$1,Database!$A$1:$AS$1,0),FALSE)</f>
        <v/>
      </c>
      <c r="H339" s="86">
        <f>(((Table134567891011121314151617343[[#This Row],[ITA]]-VLOOKUP($U$1,A:B,2,))/VLOOKUP($U$1,A:B,2,))*100)+100</f>
        <v/>
      </c>
      <c r="I339" s="86">
        <f>(((Table134567891011121314151617343[[#This Row],[FRA]]-VLOOKUP($U$1,A:C,3,))/VLOOKUP($U$1,A:C,3,))*100)+100</f>
        <v/>
      </c>
      <c r="J339" s="86">
        <f>(((Table134567891011121314151617343[[#This Row],[DEU]]-VLOOKUP($U$1,A:D,4,))/VLOOKUP($U$1,A:D,4,))*100)+100</f>
        <v/>
      </c>
      <c r="K339" s="86">
        <f>(((Table134567891011121314151617343[[#This Row],[ESP]]-VLOOKUP($U$1,A:E,5,))/VLOOKUP($U$1,A:E,5,))*100)+100</f>
        <v/>
      </c>
      <c r="L339" s="86">
        <f>(((Table134567891011121314151617343[[#This Row],[EA19]]-VLOOKUP($U$1,A:F,6,))/VLOOKUP($U$1,A:F,6,))*100)+100</f>
        <v/>
      </c>
      <c r="M339" s="86">
        <f>(((Table134567891011121314151617343[[#This Row],[GBR]]-VLOOKUP($U$1,A:G,7,))/VLOOKUP($U$1,A:G,7,))*100)+100</f>
        <v/>
      </c>
      <c r="N339" s="86">
        <f>VLOOKUP(A339,Database!$A:$AS,MATCH($N$1,Database!$A$1:$AS$1,0),FALSE)</f>
        <v/>
      </c>
      <c r="O339" s="86">
        <f>(((Table134567891011121314151617343[[#This Row],[USA]]-VLOOKUP($U$1,A:N,14,))/VLOOKUP($U$1,A:N,14,))*100)+100</f>
        <v/>
      </c>
      <c r="P339" s="86">
        <f>VLOOKUP(A339,Database!$A:$AS,MATCH($P$1,Database!$A$1:$AS$1,0),FALSE)</f>
        <v/>
      </c>
      <c r="Q339" s="86">
        <f>(((Table134567891011121314151617343[[#This Row],[JPN]]-VLOOKUP($U$1,A:Q,16,))/VLOOKUP($U$1,A:Q,16,))*100)+100</f>
        <v/>
      </c>
    </row>
    <row r="340" customFormat="1" s="94">
      <c r="A340" s="22" t="n">
        <v>43160</v>
      </c>
      <c r="B340" s="86">
        <f>VLOOKUP(A340,Database!$A:$AS,MATCH($B$1,Database!$A$1:$AS$1,0),FALSE)</f>
        <v/>
      </c>
      <c r="C340" s="86">
        <f>VLOOKUP(A340,Database!$A:$AS,MATCH($C$1,Database!$A$1:$AS$1,0),FALSE)</f>
        <v/>
      </c>
      <c r="D340" s="86">
        <f>VLOOKUP(A340,Database!$A:$AS,MATCH($D$1,Database!$A$1:$AS$1,0),FALSE)</f>
        <v/>
      </c>
      <c r="E340" s="86">
        <f>VLOOKUP(A340,Database!$A:$AS,MATCH($E$1,Database!$A$1:$AS$1,0),FALSE)</f>
        <v/>
      </c>
      <c r="F340" s="86">
        <f>VLOOKUP(A340,Database!$A:$AS,MATCH($F$1,Database!$A$1:$AS$1,0),FALSE)</f>
        <v/>
      </c>
      <c r="G340" s="86">
        <f>VLOOKUP(A340,Database!$A:$AS,MATCH($G$1,Database!$A$1:$AS$1,0),FALSE)</f>
        <v/>
      </c>
      <c r="H340" s="86">
        <f>(((Table134567891011121314151617343[[#This Row],[ITA]]-VLOOKUP($U$1,A:B,2,))/VLOOKUP($U$1,A:B,2,))*100)+100</f>
        <v/>
      </c>
      <c r="I340" s="86">
        <f>(((Table134567891011121314151617343[[#This Row],[FRA]]-VLOOKUP($U$1,A:C,3,))/VLOOKUP($U$1,A:C,3,))*100)+100</f>
        <v/>
      </c>
      <c r="J340" s="86">
        <f>(((Table134567891011121314151617343[[#This Row],[DEU]]-VLOOKUP($U$1,A:D,4,))/VLOOKUP($U$1,A:D,4,))*100)+100</f>
        <v/>
      </c>
      <c r="K340" s="86">
        <f>(((Table134567891011121314151617343[[#This Row],[ESP]]-VLOOKUP($U$1,A:E,5,))/VLOOKUP($U$1,A:E,5,))*100)+100</f>
        <v/>
      </c>
      <c r="L340" s="86">
        <f>(((Table134567891011121314151617343[[#This Row],[EA19]]-VLOOKUP($U$1,A:F,6,))/VLOOKUP($U$1,A:F,6,))*100)+100</f>
        <v/>
      </c>
      <c r="M340" s="86">
        <f>(((Table134567891011121314151617343[[#This Row],[GBR]]-VLOOKUP($U$1,A:G,7,))/VLOOKUP($U$1,A:G,7,))*100)+100</f>
        <v/>
      </c>
      <c r="N340" s="86">
        <f>VLOOKUP(A340,Database!$A:$AS,MATCH($N$1,Database!$A$1:$AS$1,0),FALSE)</f>
        <v/>
      </c>
      <c r="O340" s="86">
        <f>(((Table134567891011121314151617343[[#This Row],[USA]]-VLOOKUP($U$1,A:N,14,))/VLOOKUP($U$1,A:N,14,))*100)+100</f>
        <v/>
      </c>
      <c r="P340" s="86">
        <f>VLOOKUP(A340,Database!$A:$AS,MATCH($P$1,Database!$A$1:$AS$1,0),FALSE)</f>
        <v/>
      </c>
      <c r="Q340" s="86">
        <f>(((Table134567891011121314151617343[[#This Row],[JPN]]-VLOOKUP($U$1,A:Q,16,))/VLOOKUP($U$1,A:Q,16,))*100)+100</f>
        <v/>
      </c>
    </row>
    <row r="341" customFormat="1" s="94">
      <c r="A341" s="22" t="n">
        <v>43191</v>
      </c>
      <c r="B341" s="86">
        <f>VLOOKUP(A341,Database!$A:$AS,MATCH($B$1,Database!$A$1:$AS$1,0),FALSE)</f>
        <v/>
      </c>
      <c r="C341" s="86">
        <f>VLOOKUP(A341,Database!$A:$AS,MATCH($C$1,Database!$A$1:$AS$1,0),FALSE)</f>
        <v/>
      </c>
      <c r="D341" s="86">
        <f>VLOOKUP(A341,Database!$A:$AS,MATCH($D$1,Database!$A$1:$AS$1,0),FALSE)</f>
        <v/>
      </c>
      <c r="E341" s="86">
        <f>VLOOKUP(A341,Database!$A:$AS,MATCH($E$1,Database!$A$1:$AS$1,0),FALSE)</f>
        <v/>
      </c>
      <c r="F341" s="86">
        <f>VLOOKUP(A341,Database!$A:$AS,MATCH($F$1,Database!$A$1:$AS$1,0),FALSE)</f>
        <v/>
      </c>
      <c r="G341" s="86">
        <f>VLOOKUP(A341,Database!$A:$AS,MATCH($G$1,Database!$A$1:$AS$1,0),FALSE)</f>
        <v/>
      </c>
      <c r="H341" s="86">
        <f>(((Table134567891011121314151617343[[#This Row],[ITA]]-VLOOKUP($U$1,A:B,2,))/VLOOKUP($U$1,A:B,2,))*100)+100</f>
        <v/>
      </c>
      <c r="I341" s="86">
        <f>(((Table134567891011121314151617343[[#This Row],[FRA]]-VLOOKUP($U$1,A:C,3,))/VLOOKUP($U$1,A:C,3,))*100)+100</f>
        <v/>
      </c>
      <c r="J341" s="86">
        <f>(((Table134567891011121314151617343[[#This Row],[DEU]]-VLOOKUP($U$1,A:D,4,))/VLOOKUP($U$1,A:D,4,))*100)+100</f>
        <v/>
      </c>
      <c r="K341" s="86">
        <f>(((Table134567891011121314151617343[[#This Row],[ESP]]-VLOOKUP($U$1,A:E,5,))/VLOOKUP($U$1,A:E,5,))*100)+100</f>
        <v/>
      </c>
      <c r="L341" s="86">
        <f>(((Table134567891011121314151617343[[#This Row],[EA19]]-VLOOKUP($U$1,A:F,6,))/VLOOKUP($U$1,A:F,6,))*100)+100</f>
        <v/>
      </c>
      <c r="M341" s="86">
        <f>(((Table134567891011121314151617343[[#This Row],[GBR]]-VLOOKUP($U$1,A:G,7,))/VLOOKUP($U$1,A:G,7,))*100)+100</f>
        <v/>
      </c>
      <c r="N341" s="86">
        <f>VLOOKUP(A341,Database!$A:$AS,MATCH($N$1,Database!$A$1:$AS$1,0),FALSE)</f>
        <v/>
      </c>
      <c r="O341" s="86">
        <f>(((Table134567891011121314151617343[[#This Row],[USA]]-VLOOKUP($U$1,A:N,14,))/VLOOKUP($U$1,A:N,14,))*100)+100</f>
        <v/>
      </c>
      <c r="P341" s="86">
        <f>VLOOKUP(A341,Database!$A:$AS,MATCH($P$1,Database!$A$1:$AS$1,0),FALSE)</f>
        <v/>
      </c>
      <c r="Q341" s="86">
        <f>(((Table134567891011121314151617343[[#This Row],[JPN]]-VLOOKUP($U$1,A:Q,16,))/VLOOKUP($U$1,A:Q,16,))*100)+100</f>
        <v/>
      </c>
    </row>
    <row r="342" customFormat="1" s="94">
      <c r="A342" s="22" t="n">
        <v>43221</v>
      </c>
      <c r="B342" s="86">
        <f>VLOOKUP(A342,Database!$A:$AS,MATCH($B$1,Database!$A$1:$AS$1,0),FALSE)</f>
        <v/>
      </c>
      <c r="C342" s="86">
        <f>VLOOKUP(A342,Database!$A:$AS,MATCH($C$1,Database!$A$1:$AS$1,0),FALSE)</f>
        <v/>
      </c>
      <c r="D342" s="86">
        <f>VLOOKUP(A342,Database!$A:$AS,MATCH($D$1,Database!$A$1:$AS$1,0),FALSE)</f>
        <v/>
      </c>
      <c r="E342" s="86">
        <f>VLOOKUP(A342,Database!$A:$AS,MATCH($E$1,Database!$A$1:$AS$1,0),FALSE)</f>
        <v/>
      </c>
      <c r="F342" s="86">
        <f>VLOOKUP(A342,Database!$A:$AS,MATCH($F$1,Database!$A$1:$AS$1,0),FALSE)</f>
        <v/>
      </c>
      <c r="G342" s="86">
        <f>VLOOKUP(A342,Database!$A:$AS,MATCH($G$1,Database!$A$1:$AS$1,0),FALSE)</f>
        <v/>
      </c>
      <c r="H342" s="86">
        <f>(((Table134567891011121314151617343[[#This Row],[ITA]]-VLOOKUP($U$1,A:B,2,))/VLOOKUP($U$1,A:B,2,))*100)+100</f>
        <v/>
      </c>
      <c r="I342" s="86">
        <f>(((Table134567891011121314151617343[[#This Row],[FRA]]-VLOOKUP($U$1,A:C,3,))/VLOOKUP($U$1,A:C,3,))*100)+100</f>
        <v/>
      </c>
      <c r="J342" s="86">
        <f>(((Table134567891011121314151617343[[#This Row],[DEU]]-VLOOKUP($U$1,A:D,4,))/VLOOKUP($U$1,A:D,4,))*100)+100</f>
        <v/>
      </c>
      <c r="K342" s="86">
        <f>(((Table134567891011121314151617343[[#This Row],[ESP]]-VLOOKUP($U$1,A:E,5,))/VLOOKUP($U$1,A:E,5,))*100)+100</f>
        <v/>
      </c>
      <c r="L342" s="86">
        <f>(((Table134567891011121314151617343[[#This Row],[EA19]]-VLOOKUP($U$1,A:F,6,))/VLOOKUP($U$1,A:F,6,))*100)+100</f>
        <v/>
      </c>
      <c r="M342" s="86">
        <f>(((Table134567891011121314151617343[[#This Row],[GBR]]-VLOOKUP($U$1,A:G,7,))/VLOOKUP($U$1,A:G,7,))*100)+100</f>
        <v/>
      </c>
      <c r="N342" s="86">
        <f>VLOOKUP(A342,Database!$A:$AS,MATCH($N$1,Database!$A$1:$AS$1,0),FALSE)</f>
        <v/>
      </c>
      <c r="O342" s="86">
        <f>(((Table134567891011121314151617343[[#This Row],[USA]]-VLOOKUP($U$1,A:N,14,))/VLOOKUP($U$1,A:N,14,))*100)+100</f>
        <v/>
      </c>
      <c r="P342" s="86">
        <f>VLOOKUP(A342,Database!$A:$AS,MATCH($P$1,Database!$A$1:$AS$1,0),FALSE)</f>
        <v/>
      </c>
      <c r="Q342" s="86">
        <f>(((Table134567891011121314151617343[[#This Row],[JPN]]-VLOOKUP($U$1,A:Q,16,))/VLOOKUP($U$1,A:Q,16,))*100)+100</f>
        <v/>
      </c>
    </row>
    <row r="343" customFormat="1" s="94">
      <c r="A343" s="22" t="n">
        <v>43252</v>
      </c>
      <c r="B343" s="86">
        <f>VLOOKUP(A343,Database!$A:$AS,MATCH($B$1,Database!$A$1:$AS$1,0),FALSE)</f>
        <v/>
      </c>
      <c r="C343" s="86">
        <f>VLOOKUP(A343,Database!$A:$AS,MATCH($C$1,Database!$A$1:$AS$1,0),FALSE)</f>
        <v/>
      </c>
      <c r="D343" s="86">
        <f>VLOOKUP(A343,Database!$A:$AS,MATCH($D$1,Database!$A$1:$AS$1,0),FALSE)</f>
        <v/>
      </c>
      <c r="E343" s="86">
        <f>VLOOKUP(A343,Database!$A:$AS,MATCH($E$1,Database!$A$1:$AS$1,0),FALSE)</f>
        <v/>
      </c>
      <c r="F343" s="86">
        <f>VLOOKUP(A343,Database!$A:$AS,MATCH($F$1,Database!$A$1:$AS$1,0),FALSE)</f>
        <v/>
      </c>
      <c r="G343" s="86">
        <f>VLOOKUP(A343,Database!$A:$AS,MATCH($G$1,Database!$A$1:$AS$1,0),FALSE)</f>
        <v/>
      </c>
      <c r="H343" s="86">
        <f>(((Table134567891011121314151617343[[#This Row],[ITA]]-VLOOKUP($U$1,A:B,2,))/VLOOKUP($U$1,A:B,2,))*100)+100</f>
        <v/>
      </c>
      <c r="I343" s="86">
        <f>(((Table134567891011121314151617343[[#This Row],[FRA]]-VLOOKUP($U$1,A:C,3,))/VLOOKUP($U$1,A:C,3,))*100)+100</f>
        <v/>
      </c>
      <c r="J343" s="86">
        <f>(((Table134567891011121314151617343[[#This Row],[DEU]]-VLOOKUP($U$1,A:D,4,))/VLOOKUP($U$1,A:D,4,))*100)+100</f>
        <v/>
      </c>
      <c r="K343" s="86">
        <f>(((Table134567891011121314151617343[[#This Row],[ESP]]-VLOOKUP($U$1,A:E,5,))/VLOOKUP($U$1,A:E,5,))*100)+100</f>
        <v/>
      </c>
      <c r="L343" s="86">
        <f>(((Table134567891011121314151617343[[#This Row],[EA19]]-VLOOKUP($U$1,A:F,6,))/VLOOKUP($U$1,A:F,6,))*100)+100</f>
        <v/>
      </c>
      <c r="M343" s="86">
        <f>(((Table134567891011121314151617343[[#This Row],[GBR]]-VLOOKUP($U$1,A:G,7,))/VLOOKUP($U$1,A:G,7,))*100)+100</f>
        <v/>
      </c>
      <c r="N343" s="86">
        <f>VLOOKUP(A343,Database!$A:$AS,MATCH($N$1,Database!$A$1:$AS$1,0),FALSE)</f>
        <v/>
      </c>
      <c r="O343" s="86">
        <f>(((Table134567891011121314151617343[[#This Row],[USA]]-VLOOKUP($U$1,A:N,14,))/VLOOKUP($U$1,A:N,14,))*100)+100</f>
        <v/>
      </c>
      <c r="P343" s="86">
        <f>VLOOKUP(A343,Database!$A:$AS,MATCH($P$1,Database!$A$1:$AS$1,0),FALSE)</f>
        <v/>
      </c>
      <c r="Q343" s="86">
        <f>(((Table134567891011121314151617343[[#This Row],[JPN]]-VLOOKUP($U$1,A:Q,16,))/VLOOKUP($U$1,A:Q,16,))*100)+100</f>
        <v/>
      </c>
    </row>
    <row r="344" customFormat="1" s="94">
      <c r="A344" s="22" t="n">
        <v>43282</v>
      </c>
      <c r="B344" s="86">
        <f>VLOOKUP(A344,Database!$A:$AS,MATCH($B$1,Database!$A$1:$AS$1,0),FALSE)</f>
        <v/>
      </c>
      <c r="C344" s="86">
        <f>VLOOKUP(A344,Database!$A:$AS,MATCH($C$1,Database!$A$1:$AS$1,0),FALSE)</f>
        <v/>
      </c>
      <c r="D344" s="86">
        <f>VLOOKUP(A344,Database!$A:$AS,MATCH($D$1,Database!$A$1:$AS$1,0),FALSE)</f>
        <v/>
      </c>
      <c r="E344" s="86">
        <f>VLOOKUP(A344,Database!$A:$AS,MATCH($E$1,Database!$A$1:$AS$1,0),FALSE)</f>
        <v/>
      </c>
      <c r="F344" s="86">
        <f>VLOOKUP(A344,Database!$A:$AS,MATCH($F$1,Database!$A$1:$AS$1,0),FALSE)</f>
        <v/>
      </c>
      <c r="G344" s="86">
        <f>VLOOKUP(A344,Database!$A:$AS,MATCH($G$1,Database!$A$1:$AS$1,0),FALSE)</f>
        <v/>
      </c>
      <c r="H344" s="86">
        <f>(((Table134567891011121314151617343[[#This Row],[ITA]]-VLOOKUP($U$1,A:B,2,))/VLOOKUP($U$1,A:B,2,))*100)+100</f>
        <v/>
      </c>
      <c r="I344" s="86">
        <f>(((Table134567891011121314151617343[[#This Row],[FRA]]-VLOOKUP($U$1,A:C,3,))/VLOOKUP($U$1,A:C,3,))*100)+100</f>
        <v/>
      </c>
      <c r="J344" s="86">
        <f>(((Table134567891011121314151617343[[#This Row],[DEU]]-VLOOKUP($U$1,A:D,4,))/VLOOKUP($U$1,A:D,4,))*100)+100</f>
        <v/>
      </c>
      <c r="K344" s="86">
        <f>(((Table134567891011121314151617343[[#This Row],[ESP]]-VLOOKUP($U$1,A:E,5,))/VLOOKUP($U$1,A:E,5,))*100)+100</f>
        <v/>
      </c>
      <c r="L344" s="86">
        <f>(((Table134567891011121314151617343[[#This Row],[EA19]]-VLOOKUP($U$1,A:F,6,))/VLOOKUP($U$1,A:F,6,))*100)+100</f>
        <v/>
      </c>
      <c r="M344" s="86">
        <f>(((Table134567891011121314151617343[[#This Row],[GBR]]-VLOOKUP($U$1,A:G,7,))/VLOOKUP($U$1,A:G,7,))*100)+100</f>
        <v/>
      </c>
      <c r="N344" s="86">
        <f>VLOOKUP(A344,Database!$A:$AS,MATCH($N$1,Database!$A$1:$AS$1,0),FALSE)</f>
        <v/>
      </c>
      <c r="O344" s="86">
        <f>(((Table134567891011121314151617343[[#This Row],[USA]]-VLOOKUP($U$1,A:N,14,))/VLOOKUP($U$1,A:N,14,))*100)+100</f>
        <v/>
      </c>
      <c r="P344" s="86">
        <f>VLOOKUP(A344,Database!$A:$AS,MATCH($P$1,Database!$A$1:$AS$1,0),FALSE)</f>
        <v/>
      </c>
      <c r="Q344" s="86">
        <f>(((Table134567891011121314151617343[[#This Row],[JPN]]-VLOOKUP($U$1,A:Q,16,))/VLOOKUP($U$1,A:Q,16,))*100)+100</f>
        <v/>
      </c>
    </row>
    <row r="345" customFormat="1" s="94">
      <c r="A345" s="22" t="n">
        <v>43313</v>
      </c>
      <c r="B345" s="86">
        <f>VLOOKUP(A345,Database!$A:$AS,MATCH($B$1,Database!$A$1:$AS$1,0),FALSE)</f>
        <v/>
      </c>
      <c r="C345" s="86">
        <f>VLOOKUP(A345,Database!$A:$AS,MATCH($C$1,Database!$A$1:$AS$1,0),FALSE)</f>
        <v/>
      </c>
      <c r="D345" s="86">
        <f>VLOOKUP(A345,Database!$A:$AS,MATCH($D$1,Database!$A$1:$AS$1,0),FALSE)</f>
        <v/>
      </c>
      <c r="E345" s="86">
        <f>VLOOKUP(A345,Database!$A:$AS,MATCH($E$1,Database!$A$1:$AS$1,0),FALSE)</f>
        <v/>
      </c>
      <c r="F345" s="86">
        <f>VLOOKUP(A345,Database!$A:$AS,MATCH($F$1,Database!$A$1:$AS$1,0),FALSE)</f>
        <v/>
      </c>
      <c r="G345" s="86">
        <f>VLOOKUP(A345,Database!$A:$AS,MATCH($G$1,Database!$A$1:$AS$1,0),FALSE)</f>
        <v/>
      </c>
      <c r="H345" s="86">
        <f>(((Table134567891011121314151617343[[#This Row],[ITA]]-VLOOKUP($U$1,A:B,2,))/VLOOKUP($U$1,A:B,2,))*100)+100</f>
        <v/>
      </c>
      <c r="I345" s="86">
        <f>(((Table134567891011121314151617343[[#This Row],[FRA]]-VLOOKUP($U$1,A:C,3,))/VLOOKUP($U$1,A:C,3,))*100)+100</f>
        <v/>
      </c>
      <c r="J345" s="86">
        <f>(((Table134567891011121314151617343[[#This Row],[DEU]]-VLOOKUP($U$1,A:D,4,))/VLOOKUP($U$1,A:D,4,))*100)+100</f>
        <v/>
      </c>
      <c r="K345" s="86">
        <f>(((Table134567891011121314151617343[[#This Row],[ESP]]-VLOOKUP($U$1,A:E,5,))/VLOOKUP($U$1,A:E,5,))*100)+100</f>
        <v/>
      </c>
      <c r="L345" s="86">
        <f>(((Table134567891011121314151617343[[#This Row],[EA19]]-VLOOKUP($U$1,A:F,6,))/VLOOKUP($U$1,A:F,6,))*100)+100</f>
        <v/>
      </c>
      <c r="M345" s="86">
        <f>(((Table134567891011121314151617343[[#This Row],[GBR]]-VLOOKUP($U$1,A:G,7,))/VLOOKUP($U$1,A:G,7,))*100)+100</f>
        <v/>
      </c>
      <c r="N345" s="86">
        <f>VLOOKUP(A345,Database!$A:$AS,MATCH($N$1,Database!$A$1:$AS$1,0),FALSE)</f>
        <v/>
      </c>
      <c r="O345" s="86">
        <f>(((Table134567891011121314151617343[[#This Row],[USA]]-VLOOKUP($U$1,A:N,14,))/VLOOKUP($U$1,A:N,14,))*100)+100</f>
        <v/>
      </c>
      <c r="P345" s="86">
        <f>VLOOKUP(A345,Database!$A:$AS,MATCH($P$1,Database!$A$1:$AS$1,0),FALSE)</f>
        <v/>
      </c>
      <c r="Q345" s="86">
        <f>(((Table134567891011121314151617343[[#This Row],[JPN]]-VLOOKUP($U$1,A:Q,16,))/VLOOKUP($U$1,A:Q,16,))*100)+100</f>
        <v/>
      </c>
    </row>
    <row r="346" customFormat="1" s="94">
      <c r="A346" s="22" t="n">
        <v>43344</v>
      </c>
      <c r="B346" s="86">
        <f>VLOOKUP(A346,Database!$A:$AS,MATCH($B$1,Database!$A$1:$AS$1,0),FALSE)</f>
        <v/>
      </c>
      <c r="C346" s="86">
        <f>VLOOKUP(A346,Database!$A:$AS,MATCH($C$1,Database!$A$1:$AS$1,0),FALSE)</f>
        <v/>
      </c>
      <c r="D346" s="86">
        <f>VLOOKUP(A346,Database!$A:$AS,MATCH($D$1,Database!$A$1:$AS$1,0),FALSE)</f>
        <v/>
      </c>
      <c r="E346" s="86">
        <f>VLOOKUP(A346,Database!$A:$AS,MATCH($E$1,Database!$A$1:$AS$1,0),FALSE)</f>
        <v/>
      </c>
      <c r="F346" s="86">
        <f>VLOOKUP(A346,Database!$A:$AS,MATCH($F$1,Database!$A$1:$AS$1,0),FALSE)</f>
        <v/>
      </c>
      <c r="G346" s="86">
        <f>VLOOKUP(A346,Database!$A:$AS,MATCH($G$1,Database!$A$1:$AS$1,0),FALSE)</f>
        <v/>
      </c>
      <c r="H346" s="86">
        <f>(((Table134567891011121314151617343[[#This Row],[ITA]]-VLOOKUP($U$1,A:B,2,))/VLOOKUP($U$1,A:B,2,))*100)+100</f>
        <v/>
      </c>
      <c r="I346" s="86">
        <f>(((Table134567891011121314151617343[[#This Row],[FRA]]-VLOOKUP($U$1,A:C,3,))/VLOOKUP($U$1,A:C,3,))*100)+100</f>
        <v/>
      </c>
      <c r="J346" s="86">
        <f>(((Table134567891011121314151617343[[#This Row],[DEU]]-VLOOKUP($U$1,A:D,4,))/VLOOKUP($U$1,A:D,4,))*100)+100</f>
        <v/>
      </c>
      <c r="K346" s="86">
        <f>(((Table134567891011121314151617343[[#This Row],[ESP]]-VLOOKUP($U$1,A:E,5,))/VLOOKUP($U$1,A:E,5,))*100)+100</f>
        <v/>
      </c>
      <c r="L346" s="86">
        <f>(((Table134567891011121314151617343[[#This Row],[EA19]]-VLOOKUP($U$1,A:F,6,))/VLOOKUP($U$1,A:F,6,))*100)+100</f>
        <v/>
      </c>
      <c r="M346" s="86">
        <f>(((Table134567891011121314151617343[[#This Row],[GBR]]-VLOOKUP($U$1,A:G,7,))/VLOOKUP($U$1,A:G,7,))*100)+100</f>
        <v/>
      </c>
      <c r="N346" s="86">
        <f>VLOOKUP(A346,Database!$A:$AS,MATCH($N$1,Database!$A$1:$AS$1,0),FALSE)</f>
        <v/>
      </c>
      <c r="O346" s="86">
        <f>(((Table134567891011121314151617343[[#This Row],[USA]]-VLOOKUP($U$1,A:N,14,))/VLOOKUP($U$1,A:N,14,))*100)+100</f>
        <v/>
      </c>
      <c r="P346" s="86">
        <f>VLOOKUP(A346,Database!$A:$AS,MATCH($P$1,Database!$A$1:$AS$1,0),FALSE)</f>
        <v/>
      </c>
      <c r="Q346" s="86">
        <f>(((Table134567891011121314151617343[[#This Row],[JPN]]-VLOOKUP($U$1,A:Q,16,))/VLOOKUP($U$1,A:Q,16,))*100)+100</f>
        <v/>
      </c>
    </row>
    <row r="347" customFormat="1" s="94">
      <c r="A347" s="22" t="n">
        <v>43374</v>
      </c>
      <c r="B347" s="86">
        <f>VLOOKUP(A347,Database!$A:$AS,MATCH($B$1,Database!$A$1:$AS$1,0),FALSE)</f>
        <v/>
      </c>
      <c r="C347" s="86">
        <f>VLOOKUP(A347,Database!$A:$AS,MATCH($C$1,Database!$A$1:$AS$1,0),FALSE)</f>
        <v/>
      </c>
      <c r="D347" s="86">
        <f>VLOOKUP(A347,Database!$A:$AS,MATCH($D$1,Database!$A$1:$AS$1,0),FALSE)</f>
        <v/>
      </c>
      <c r="E347" s="86">
        <f>VLOOKUP(A347,Database!$A:$AS,MATCH($E$1,Database!$A$1:$AS$1,0),FALSE)</f>
        <v/>
      </c>
      <c r="F347" s="86">
        <f>VLOOKUP(A347,Database!$A:$AS,MATCH($F$1,Database!$A$1:$AS$1,0),FALSE)</f>
        <v/>
      </c>
      <c r="G347" s="86">
        <f>VLOOKUP(A347,Database!$A:$AS,MATCH($G$1,Database!$A$1:$AS$1,0),FALSE)</f>
        <v/>
      </c>
      <c r="H347" s="86">
        <f>(((Table134567891011121314151617343[[#This Row],[ITA]]-VLOOKUP($U$1,A:B,2,))/VLOOKUP($U$1,A:B,2,))*100)+100</f>
        <v/>
      </c>
      <c r="I347" s="86">
        <f>(((Table134567891011121314151617343[[#This Row],[FRA]]-VLOOKUP($U$1,A:C,3,))/VLOOKUP($U$1,A:C,3,))*100)+100</f>
        <v/>
      </c>
      <c r="J347" s="86">
        <f>(((Table134567891011121314151617343[[#This Row],[DEU]]-VLOOKUP($U$1,A:D,4,))/VLOOKUP($U$1,A:D,4,))*100)+100</f>
        <v/>
      </c>
      <c r="K347" s="86">
        <f>(((Table134567891011121314151617343[[#This Row],[ESP]]-VLOOKUP($U$1,A:E,5,))/VLOOKUP($U$1,A:E,5,))*100)+100</f>
        <v/>
      </c>
      <c r="L347" s="86">
        <f>(((Table134567891011121314151617343[[#This Row],[EA19]]-VLOOKUP($U$1,A:F,6,))/VLOOKUP($U$1,A:F,6,))*100)+100</f>
        <v/>
      </c>
      <c r="M347" s="86">
        <f>(((Table134567891011121314151617343[[#This Row],[GBR]]-VLOOKUP($U$1,A:G,7,))/VLOOKUP($U$1,A:G,7,))*100)+100</f>
        <v/>
      </c>
      <c r="N347" s="86">
        <f>VLOOKUP(A347,Database!$A:$AS,MATCH($N$1,Database!$A$1:$AS$1,0),FALSE)</f>
        <v/>
      </c>
      <c r="O347" s="86">
        <f>(((Table134567891011121314151617343[[#This Row],[USA]]-VLOOKUP($U$1,A:N,14,))/VLOOKUP($U$1,A:N,14,))*100)+100</f>
        <v/>
      </c>
      <c r="P347" s="86">
        <f>VLOOKUP(A347,Database!$A:$AS,MATCH($P$1,Database!$A$1:$AS$1,0),FALSE)</f>
        <v/>
      </c>
      <c r="Q347" s="86">
        <f>(((Table134567891011121314151617343[[#This Row],[JPN]]-VLOOKUP($U$1,A:Q,16,))/VLOOKUP($U$1,A:Q,16,))*100)+100</f>
        <v/>
      </c>
    </row>
    <row r="348" customFormat="1" s="94">
      <c r="A348" s="22" t="n">
        <v>43405</v>
      </c>
      <c r="B348" s="86">
        <f>VLOOKUP(A348,Database!$A:$AS,MATCH($B$1,Database!$A$1:$AS$1,0),FALSE)</f>
        <v/>
      </c>
      <c r="C348" s="86">
        <f>VLOOKUP(A348,Database!$A:$AS,MATCH($C$1,Database!$A$1:$AS$1,0),FALSE)</f>
        <v/>
      </c>
      <c r="D348" s="86">
        <f>VLOOKUP(A348,Database!$A:$AS,MATCH($D$1,Database!$A$1:$AS$1,0),FALSE)</f>
        <v/>
      </c>
      <c r="E348" s="86">
        <f>VLOOKUP(A348,Database!$A:$AS,MATCH($E$1,Database!$A$1:$AS$1,0),FALSE)</f>
        <v/>
      </c>
      <c r="F348" s="86">
        <f>VLOOKUP(A348,Database!$A:$AS,MATCH($F$1,Database!$A$1:$AS$1,0),FALSE)</f>
        <v/>
      </c>
      <c r="G348" s="86">
        <f>VLOOKUP(A348,Database!$A:$AS,MATCH($G$1,Database!$A$1:$AS$1,0),FALSE)</f>
        <v/>
      </c>
      <c r="H348" s="86">
        <f>(((Table134567891011121314151617343[[#This Row],[ITA]]-VLOOKUP($U$1,A:B,2,))/VLOOKUP($U$1,A:B,2,))*100)+100</f>
        <v/>
      </c>
      <c r="I348" s="86">
        <f>(((Table134567891011121314151617343[[#This Row],[FRA]]-VLOOKUP($U$1,A:C,3,))/VLOOKUP($U$1,A:C,3,))*100)+100</f>
        <v/>
      </c>
      <c r="J348" s="86">
        <f>(((Table134567891011121314151617343[[#This Row],[DEU]]-VLOOKUP($U$1,A:D,4,))/VLOOKUP($U$1,A:D,4,))*100)+100</f>
        <v/>
      </c>
      <c r="K348" s="86">
        <f>(((Table134567891011121314151617343[[#This Row],[ESP]]-VLOOKUP($U$1,A:E,5,))/VLOOKUP($U$1,A:E,5,))*100)+100</f>
        <v/>
      </c>
      <c r="L348" s="86">
        <f>(((Table134567891011121314151617343[[#This Row],[EA19]]-VLOOKUP($U$1,A:F,6,))/VLOOKUP($U$1,A:F,6,))*100)+100</f>
        <v/>
      </c>
      <c r="M348" s="86">
        <f>(((Table134567891011121314151617343[[#This Row],[GBR]]-VLOOKUP($U$1,A:G,7,))/VLOOKUP($U$1,A:G,7,))*100)+100</f>
        <v/>
      </c>
      <c r="N348" s="86">
        <f>VLOOKUP(A348,Database!$A:$AS,MATCH($N$1,Database!$A$1:$AS$1,0),FALSE)</f>
        <v/>
      </c>
      <c r="O348" s="86">
        <f>(((Table134567891011121314151617343[[#This Row],[USA]]-VLOOKUP($U$1,A:N,14,))/VLOOKUP($U$1,A:N,14,))*100)+100</f>
        <v/>
      </c>
      <c r="P348" s="86">
        <f>VLOOKUP(A348,Database!$A:$AS,MATCH($P$1,Database!$A$1:$AS$1,0),FALSE)</f>
        <v/>
      </c>
      <c r="Q348" s="86">
        <f>(((Table134567891011121314151617343[[#This Row],[JPN]]-VLOOKUP($U$1,A:Q,16,))/VLOOKUP($U$1,A:Q,16,))*100)+100</f>
        <v/>
      </c>
    </row>
    <row r="349" customFormat="1" s="94">
      <c r="A349" s="22" t="n">
        <v>43435</v>
      </c>
      <c r="B349" s="86">
        <f>VLOOKUP(A349,Database!$A:$AS,MATCH($B$1,Database!$A$1:$AS$1,0),FALSE)</f>
        <v/>
      </c>
      <c r="C349" s="86">
        <f>VLOOKUP(A349,Database!$A:$AS,MATCH($C$1,Database!$A$1:$AS$1,0),FALSE)</f>
        <v/>
      </c>
      <c r="D349" s="86">
        <f>VLOOKUP(A349,Database!$A:$AS,MATCH($D$1,Database!$A$1:$AS$1,0),FALSE)</f>
        <v/>
      </c>
      <c r="E349" s="86">
        <f>VLOOKUP(A349,Database!$A:$AS,MATCH($E$1,Database!$A$1:$AS$1,0),FALSE)</f>
        <v/>
      </c>
      <c r="F349" s="86">
        <f>VLOOKUP(A349,Database!$A:$AS,MATCH($F$1,Database!$A$1:$AS$1,0),FALSE)</f>
        <v/>
      </c>
      <c r="G349" s="86">
        <f>VLOOKUP(A349,Database!$A:$AS,MATCH($G$1,Database!$A$1:$AS$1,0),FALSE)</f>
        <v/>
      </c>
      <c r="H349" s="86">
        <f>(((Table134567891011121314151617343[[#This Row],[ITA]]-VLOOKUP($U$1,A:B,2,))/VLOOKUP($U$1,A:B,2,))*100)+100</f>
        <v/>
      </c>
      <c r="I349" s="86">
        <f>(((Table134567891011121314151617343[[#This Row],[FRA]]-VLOOKUP($U$1,A:C,3,))/VLOOKUP($U$1,A:C,3,))*100)+100</f>
        <v/>
      </c>
      <c r="J349" s="86">
        <f>(((Table134567891011121314151617343[[#This Row],[DEU]]-VLOOKUP($U$1,A:D,4,))/VLOOKUP($U$1,A:D,4,))*100)+100</f>
        <v/>
      </c>
      <c r="K349" s="86">
        <f>(((Table134567891011121314151617343[[#This Row],[ESP]]-VLOOKUP($U$1,A:E,5,))/VLOOKUP($U$1,A:E,5,))*100)+100</f>
        <v/>
      </c>
      <c r="L349" s="86">
        <f>(((Table134567891011121314151617343[[#This Row],[EA19]]-VLOOKUP($U$1,A:F,6,))/VLOOKUP($U$1,A:F,6,))*100)+100</f>
        <v/>
      </c>
      <c r="M349" s="86">
        <f>(((Table134567891011121314151617343[[#This Row],[GBR]]-VLOOKUP($U$1,A:G,7,))/VLOOKUP($U$1,A:G,7,))*100)+100</f>
        <v/>
      </c>
      <c r="N349" s="86">
        <f>VLOOKUP(A349,Database!$A:$AS,MATCH($N$1,Database!$A$1:$AS$1,0),FALSE)</f>
        <v/>
      </c>
      <c r="O349" s="86">
        <f>(((Table134567891011121314151617343[[#This Row],[USA]]-VLOOKUP($U$1,A:N,14,))/VLOOKUP($U$1,A:N,14,))*100)+100</f>
        <v/>
      </c>
      <c r="P349" s="86">
        <f>VLOOKUP(A349,Database!$A:$AS,MATCH($P$1,Database!$A$1:$AS$1,0),FALSE)</f>
        <v/>
      </c>
      <c r="Q349" s="86">
        <f>(((Table134567891011121314151617343[[#This Row],[JPN]]-VLOOKUP($U$1,A:Q,16,))/VLOOKUP($U$1,A:Q,16,))*100)+100</f>
        <v/>
      </c>
    </row>
    <row r="350" customFormat="1" s="94">
      <c r="A350" s="22" t="n">
        <v>43466</v>
      </c>
      <c r="B350" s="86">
        <f>VLOOKUP(A350,Database!$A:$AS,MATCH($B$1,Database!$A$1:$AS$1,0),FALSE)</f>
        <v/>
      </c>
      <c r="C350" s="86">
        <f>VLOOKUP(A350,Database!$A:$AS,MATCH($C$1,Database!$A$1:$AS$1,0),FALSE)</f>
        <v/>
      </c>
      <c r="D350" s="86">
        <f>VLOOKUP(A350,Database!$A:$AS,MATCH($D$1,Database!$A$1:$AS$1,0),FALSE)</f>
        <v/>
      </c>
      <c r="E350" s="86">
        <f>VLOOKUP(A350,Database!$A:$AS,MATCH($E$1,Database!$A$1:$AS$1,0),FALSE)</f>
        <v/>
      </c>
      <c r="F350" s="86">
        <f>VLOOKUP(A350,Database!$A:$AS,MATCH($F$1,Database!$A$1:$AS$1,0),FALSE)</f>
        <v/>
      </c>
      <c r="G350" s="86">
        <f>VLOOKUP(A350,Database!$A:$AS,MATCH($G$1,Database!$A$1:$AS$1,0),FALSE)</f>
        <v/>
      </c>
      <c r="H350" s="86">
        <f>(((Table134567891011121314151617343[[#This Row],[ITA]]-VLOOKUP($U$1,A:B,2,))/VLOOKUP($U$1,A:B,2,))*100)+100</f>
        <v/>
      </c>
      <c r="I350" s="86">
        <f>(((Table134567891011121314151617343[[#This Row],[FRA]]-VLOOKUP($U$1,A:C,3,))/VLOOKUP($U$1,A:C,3,))*100)+100</f>
        <v/>
      </c>
      <c r="J350" s="86">
        <f>(((Table134567891011121314151617343[[#This Row],[DEU]]-VLOOKUP($U$1,A:D,4,))/VLOOKUP($U$1,A:D,4,))*100)+100</f>
        <v/>
      </c>
      <c r="K350" s="86">
        <f>(((Table134567891011121314151617343[[#This Row],[ESP]]-VLOOKUP($U$1,A:E,5,))/VLOOKUP($U$1,A:E,5,))*100)+100</f>
        <v/>
      </c>
      <c r="L350" s="86">
        <f>(((Table134567891011121314151617343[[#This Row],[EA19]]-VLOOKUP($U$1,A:F,6,))/VLOOKUP($U$1,A:F,6,))*100)+100</f>
        <v/>
      </c>
      <c r="M350" s="86">
        <f>(((Table134567891011121314151617343[[#This Row],[GBR]]-VLOOKUP($U$1,A:G,7,))/VLOOKUP($U$1,A:G,7,))*100)+100</f>
        <v/>
      </c>
      <c r="N350" s="86">
        <f>VLOOKUP(A350,Database!$A:$AS,MATCH($N$1,Database!$A$1:$AS$1,0),FALSE)</f>
        <v/>
      </c>
      <c r="O350" s="86">
        <f>(((Table134567891011121314151617343[[#This Row],[USA]]-VLOOKUP($U$1,A:N,14,))/VLOOKUP($U$1,A:N,14,))*100)+100</f>
        <v/>
      </c>
      <c r="P350" s="86">
        <f>VLOOKUP(A350,Database!$A:$AS,MATCH($P$1,Database!$A$1:$AS$1,0),FALSE)</f>
        <v/>
      </c>
      <c r="Q350" s="86">
        <f>(((Table134567891011121314151617343[[#This Row],[JPN]]-VLOOKUP($U$1,A:Q,16,))/VLOOKUP($U$1,A:Q,16,))*100)+100</f>
        <v/>
      </c>
    </row>
    <row r="351" customFormat="1" s="94">
      <c r="A351" s="22" t="n">
        <v>43497</v>
      </c>
      <c r="B351" s="86">
        <f>VLOOKUP(A351,Database!$A:$AS,MATCH($B$1,Database!$A$1:$AS$1,0),FALSE)</f>
        <v/>
      </c>
      <c r="C351" s="86">
        <f>VLOOKUP(A351,Database!$A:$AS,MATCH($C$1,Database!$A$1:$AS$1,0),FALSE)</f>
        <v/>
      </c>
      <c r="D351" s="86">
        <f>VLOOKUP(A351,Database!$A:$AS,MATCH($D$1,Database!$A$1:$AS$1,0),FALSE)</f>
        <v/>
      </c>
      <c r="E351" s="86">
        <f>VLOOKUP(A351,Database!$A:$AS,MATCH($E$1,Database!$A$1:$AS$1,0),FALSE)</f>
        <v/>
      </c>
      <c r="F351" s="86">
        <f>VLOOKUP(A351,Database!$A:$AS,MATCH($F$1,Database!$A$1:$AS$1,0),FALSE)</f>
        <v/>
      </c>
      <c r="G351" s="86">
        <f>VLOOKUP(A351,Database!$A:$AS,MATCH($G$1,Database!$A$1:$AS$1,0),FALSE)</f>
        <v/>
      </c>
      <c r="H351" s="86">
        <f>(((Table134567891011121314151617343[[#This Row],[ITA]]-VLOOKUP($U$1,A:B,2,))/VLOOKUP($U$1,A:B,2,))*100)+100</f>
        <v/>
      </c>
      <c r="I351" s="86">
        <f>(((Table134567891011121314151617343[[#This Row],[FRA]]-VLOOKUP($U$1,A:C,3,))/VLOOKUP($U$1,A:C,3,))*100)+100</f>
        <v/>
      </c>
      <c r="J351" s="86">
        <f>(((Table134567891011121314151617343[[#This Row],[DEU]]-VLOOKUP($U$1,A:D,4,))/VLOOKUP($U$1,A:D,4,))*100)+100</f>
        <v/>
      </c>
      <c r="K351" s="86">
        <f>(((Table134567891011121314151617343[[#This Row],[ESP]]-VLOOKUP($U$1,A:E,5,))/VLOOKUP($U$1,A:E,5,))*100)+100</f>
        <v/>
      </c>
      <c r="L351" s="86">
        <f>(((Table134567891011121314151617343[[#This Row],[EA19]]-VLOOKUP($U$1,A:F,6,))/VLOOKUP($U$1,A:F,6,))*100)+100</f>
        <v/>
      </c>
      <c r="M351" s="86">
        <f>(((Table134567891011121314151617343[[#This Row],[GBR]]-VLOOKUP($U$1,A:G,7,))/VLOOKUP($U$1,A:G,7,))*100)+100</f>
        <v/>
      </c>
      <c r="N351" s="86">
        <f>VLOOKUP(A351,Database!$A:$AS,MATCH($N$1,Database!$A$1:$AS$1,0),FALSE)</f>
        <v/>
      </c>
      <c r="O351" s="86">
        <f>(((Table134567891011121314151617343[[#This Row],[USA]]-VLOOKUP($U$1,A:N,14,))/VLOOKUP($U$1,A:N,14,))*100)+100</f>
        <v/>
      </c>
      <c r="P351" s="86">
        <f>VLOOKUP(A351,Database!$A:$AS,MATCH($P$1,Database!$A$1:$AS$1,0),FALSE)</f>
        <v/>
      </c>
      <c r="Q351" s="86">
        <f>(((Table134567891011121314151617343[[#This Row],[JPN]]-VLOOKUP($U$1,A:Q,16,))/VLOOKUP($U$1,A:Q,16,))*100)+100</f>
        <v/>
      </c>
    </row>
    <row r="352" customFormat="1" s="94">
      <c r="A352" s="22" t="n">
        <v>43525</v>
      </c>
      <c r="B352" s="86">
        <f>VLOOKUP(A352,Database!$A:$AS,MATCH($B$1,Database!$A$1:$AS$1,0),FALSE)</f>
        <v/>
      </c>
      <c r="C352" s="86">
        <f>VLOOKUP(A352,Database!$A:$AS,MATCH($C$1,Database!$A$1:$AS$1,0),FALSE)</f>
        <v/>
      </c>
      <c r="D352" s="86">
        <f>VLOOKUP(A352,Database!$A:$AS,MATCH($D$1,Database!$A$1:$AS$1,0),FALSE)</f>
        <v/>
      </c>
      <c r="E352" s="86">
        <f>VLOOKUP(A352,Database!$A:$AS,MATCH($E$1,Database!$A$1:$AS$1,0),FALSE)</f>
        <v/>
      </c>
      <c r="F352" s="86">
        <f>VLOOKUP(A352,Database!$A:$AS,MATCH($F$1,Database!$A$1:$AS$1,0),FALSE)</f>
        <v/>
      </c>
      <c r="G352" s="86">
        <f>VLOOKUP(A352,Database!$A:$AS,MATCH($G$1,Database!$A$1:$AS$1,0),FALSE)</f>
        <v/>
      </c>
      <c r="H352" s="86">
        <f>(((Table134567891011121314151617343[[#This Row],[ITA]]-VLOOKUP($U$1,A:B,2,))/VLOOKUP($U$1,A:B,2,))*100)+100</f>
        <v/>
      </c>
      <c r="I352" s="86">
        <f>(((Table134567891011121314151617343[[#This Row],[FRA]]-VLOOKUP($U$1,A:C,3,))/VLOOKUP($U$1,A:C,3,))*100)+100</f>
        <v/>
      </c>
      <c r="J352" s="86">
        <f>(((Table134567891011121314151617343[[#This Row],[DEU]]-VLOOKUP($U$1,A:D,4,))/VLOOKUP($U$1,A:D,4,))*100)+100</f>
        <v/>
      </c>
      <c r="K352" s="86">
        <f>(((Table134567891011121314151617343[[#This Row],[ESP]]-VLOOKUP($U$1,A:E,5,))/VLOOKUP($U$1,A:E,5,))*100)+100</f>
        <v/>
      </c>
      <c r="L352" s="86">
        <f>(((Table134567891011121314151617343[[#This Row],[EA19]]-VLOOKUP($U$1,A:F,6,))/VLOOKUP($U$1,A:F,6,))*100)+100</f>
        <v/>
      </c>
      <c r="M352" s="86">
        <f>(((Table134567891011121314151617343[[#This Row],[GBR]]-VLOOKUP($U$1,A:G,7,))/VLOOKUP($U$1,A:G,7,))*100)+100</f>
        <v/>
      </c>
      <c r="N352" s="86">
        <f>VLOOKUP(A352,Database!$A:$AS,MATCH($N$1,Database!$A$1:$AS$1,0),FALSE)</f>
        <v/>
      </c>
      <c r="O352" s="86">
        <f>(((Table134567891011121314151617343[[#This Row],[USA]]-VLOOKUP($U$1,A:N,14,))/VLOOKUP($U$1,A:N,14,))*100)+100</f>
        <v/>
      </c>
      <c r="P352" s="86">
        <f>VLOOKUP(A352,Database!$A:$AS,MATCH($P$1,Database!$A$1:$AS$1,0),FALSE)</f>
        <v/>
      </c>
      <c r="Q352" s="86">
        <f>(((Table134567891011121314151617343[[#This Row],[JPN]]-VLOOKUP($U$1,A:Q,16,))/VLOOKUP($U$1,A:Q,16,))*100)+100</f>
        <v/>
      </c>
    </row>
    <row r="353" customFormat="1" s="94">
      <c r="A353" s="22" t="n">
        <v>43556</v>
      </c>
      <c r="B353" s="86">
        <f>VLOOKUP(A353,Database!$A:$AS,MATCH($B$1,Database!$A$1:$AS$1,0),FALSE)</f>
        <v/>
      </c>
      <c r="C353" s="86">
        <f>VLOOKUP(A353,Database!$A:$AS,MATCH($C$1,Database!$A$1:$AS$1,0),FALSE)</f>
        <v/>
      </c>
      <c r="D353" s="86">
        <f>VLOOKUP(A353,Database!$A:$AS,MATCH($D$1,Database!$A$1:$AS$1,0),FALSE)</f>
        <v/>
      </c>
      <c r="E353" s="86">
        <f>VLOOKUP(A353,Database!$A:$AS,MATCH($E$1,Database!$A$1:$AS$1,0),FALSE)</f>
        <v/>
      </c>
      <c r="F353" s="86">
        <f>VLOOKUP(A353,Database!$A:$AS,MATCH($F$1,Database!$A$1:$AS$1,0),FALSE)</f>
        <v/>
      </c>
      <c r="G353" s="86">
        <f>VLOOKUP(A353,Database!$A:$AS,MATCH($G$1,Database!$A$1:$AS$1,0),FALSE)</f>
        <v/>
      </c>
      <c r="H353" s="86">
        <f>(((Table134567891011121314151617343[[#This Row],[ITA]]-VLOOKUP($U$1,A:B,2,))/VLOOKUP($U$1,A:B,2,))*100)+100</f>
        <v/>
      </c>
      <c r="I353" s="86">
        <f>(((Table134567891011121314151617343[[#This Row],[FRA]]-VLOOKUP($U$1,A:C,3,))/VLOOKUP($U$1,A:C,3,))*100)+100</f>
        <v/>
      </c>
      <c r="J353" s="86">
        <f>(((Table134567891011121314151617343[[#This Row],[DEU]]-VLOOKUP($U$1,A:D,4,))/VLOOKUP($U$1,A:D,4,))*100)+100</f>
        <v/>
      </c>
      <c r="K353" s="86">
        <f>(((Table134567891011121314151617343[[#This Row],[ESP]]-VLOOKUP($U$1,A:E,5,))/VLOOKUP($U$1,A:E,5,))*100)+100</f>
        <v/>
      </c>
      <c r="L353" s="86">
        <f>(((Table134567891011121314151617343[[#This Row],[EA19]]-VLOOKUP($U$1,A:F,6,))/VLOOKUP($U$1,A:F,6,))*100)+100</f>
        <v/>
      </c>
      <c r="M353" s="86">
        <f>(((Table134567891011121314151617343[[#This Row],[GBR]]-VLOOKUP($U$1,A:G,7,))/VLOOKUP($U$1,A:G,7,))*100)+100</f>
        <v/>
      </c>
      <c r="N353" s="86">
        <f>VLOOKUP(A353,Database!$A:$AS,MATCH($N$1,Database!$A$1:$AS$1,0),FALSE)</f>
        <v/>
      </c>
      <c r="O353" s="86">
        <f>(((Table134567891011121314151617343[[#This Row],[USA]]-VLOOKUP($U$1,A:N,14,))/VLOOKUP($U$1,A:N,14,))*100)+100</f>
        <v/>
      </c>
      <c r="P353" s="86">
        <f>VLOOKUP(A353,Database!$A:$AS,MATCH($P$1,Database!$A$1:$AS$1,0),FALSE)</f>
        <v/>
      </c>
      <c r="Q353" s="86">
        <f>(((Table134567891011121314151617343[[#This Row],[JPN]]-VLOOKUP($U$1,A:Q,16,))/VLOOKUP($U$1,A:Q,16,))*100)+100</f>
        <v/>
      </c>
    </row>
    <row r="354" customFormat="1" s="94">
      <c r="A354" s="22" t="n">
        <v>43586</v>
      </c>
      <c r="B354" s="86">
        <f>VLOOKUP(A354,Database!$A:$AS,MATCH($B$1,Database!$A$1:$AS$1,0),FALSE)</f>
        <v/>
      </c>
      <c r="C354" s="86">
        <f>VLOOKUP(A354,Database!$A:$AS,MATCH($C$1,Database!$A$1:$AS$1,0),FALSE)</f>
        <v/>
      </c>
      <c r="D354" s="86">
        <f>VLOOKUP(A354,Database!$A:$AS,MATCH($D$1,Database!$A$1:$AS$1,0),FALSE)</f>
        <v/>
      </c>
      <c r="E354" s="86">
        <f>VLOOKUP(A354,Database!$A:$AS,MATCH($E$1,Database!$A$1:$AS$1,0),FALSE)</f>
        <v/>
      </c>
      <c r="F354" s="86">
        <f>VLOOKUP(A354,Database!$A:$AS,MATCH($F$1,Database!$A$1:$AS$1,0),FALSE)</f>
        <v/>
      </c>
      <c r="G354" s="86">
        <f>VLOOKUP(A354,Database!$A:$AS,MATCH($G$1,Database!$A$1:$AS$1,0),FALSE)</f>
        <v/>
      </c>
      <c r="H354" s="86">
        <f>(((Table134567891011121314151617343[[#This Row],[ITA]]-VLOOKUP($U$1,A:B,2,))/VLOOKUP($U$1,A:B,2,))*100)+100</f>
        <v/>
      </c>
      <c r="I354" s="86">
        <f>(((Table134567891011121314151617343[[#This Row],[FRA]]-VLOOKUP($U$1,A:C,3,))/VLOOKUP($U$1,A:C,3,))*100)+100</f>
        <v/>
      </c>
      <c r="J354" s="86">
        <f>(((Table134567891011121314151617343[[#This Row],[DEU]]-VLOOKUP($U$1,A:D,4,))/VLOOKUP($U$1,A:D,4,))*100)+100</f>
        <v/>
      </c>
      <c r="K354" s="86">
        <f>(((Table134567891011121314151617343[[#This Row],[ESP]]-VLOOKUP($U$1,A:E,5,))/VLOOKUP($U$1,A:E,5,))*100)+100</f>
        <v/>
      </c>
      <c r="L354" s="86">
        <f>(((Table134567891011121314151617343[[#This Row],[EA19]]-VLOOKUP($U$1,A:F,6,))/VLOOKUP($U$1,A:F,6,))*100)+100</f>
        <v/>
      </c>
      <c r="M354" s="86">
        <f>(((Table134567891011121314151617343[[#This Row],[GBR]]-VLOOKUP($U$1,A:G,7,))/VLOOKUP($U$1,A:G,7,))*100)+100</f>
        <v/>
      </c>
      <c r="N354" s="86">
        <f>VLOOKUP(A354,Database!$A:$AS,MATCH($N$1,Database!$A$1:$AS$1,0),FALSE)</f>
        <v/>
      </c>
      <c r="O354" s="86">
        <f>(((Table134567891011121314151617343[[#This Row],[USA]]-VLOOKUP($U$1,A:N,14,))/VLOOKUP($U$1,A:N,14,))*100)+100</f>
        <v/>
      </c>
      <c r="P354" s="86">
        <f>VLOOKUP(A354,Database!$A:$AS,MATCH($P$1,Database!$A$1:$AS$1,0),FALSE)</f>
        <v/>
      </c>
      <c r="Q354" s="86">
        <f>(((Table134567891011121314151617343[[#This Row],[JPN]]-VLOOKUP($U$1,A:Q,16,))/VLOOKUP($U$1,A:Q,16,))*100)+100</f>
        <v/>
      </c>
    </row>
    <row r="355" customFormat="1" s="94">
      <c r="A355" s="22" t="n">
        <v>43617</v>
      </c>
      <c r="B355" s="86">
        <f>VLOOKUP(A355,Database!$A:$AS,MATCH($B$1,Database!$A$1:$AS$1,0),FALSE)</f>
        <v/>
      </c>
      <c r="C355" s="86">
        <f>VLOOKUP(A355,Database!$A:$AS,MATCH($C$1,Database!$A$1:$AS$1,0),FALSE)</f>
        <v/>
      </c>
      <c r="D355" s="86">
        <f>VLOOKUP(A355,Database!$A:$AS,MATCH($D$1,Database!$A$1:$AS$1,0),FALSE)</f>
        <v/>
      </c>
      <c r="E355" s="86">
        <f>VLOOKUP(A355,Database!$A:$AS,MATCH($E$1,Database!$A$1:$AS$1,0),FALSE)</f>
        <v/>
      </c>
      <c r="F355" s="86">
        <f>VLOOKUP(A355,Database!$A:$AS,MATCH($F$1,Database!$A$1:$AS$1,0),FALSE)</f>
        <v/>
      </c>
      <c r="G355" s="86">
        <f>VLOOKUP(A355,Database!$A:$AS,MATCH($G$1,Database!$A$1:$AS$1,0),FALSE)</f>
        <v/>
      </c>
      <c r="H355" s="86">
        <f>(((Table134567891011121314151617343[[#This Row],[ITA]]-VLOOKUP($U$1,A:B,2,))/VLOOKUP($U$1,A:B,2,))*100)+100</f>
        <v/>
      </c>
      <c r="I355" s="86">
        <f>(((Table134567891011121314151617343[[#This Row],[FRA]]-VLOOKUP($U$1,A:C,3,))/VLOOKUP($U$1,A:C,3,))*100)+100</f>
        <v/>
      </c>
      <c r="J355" s="86">
        <f>(((Table134567891011121314151617343[[#This Row],[DEU]]-VLOOKUP($U$1,A:D,4,))/VLOOKUP($U$1,A:D,4,))*100)+100</f>
        <v/>
      </c>
      <c r="K355" s="86">
        <f>(((Table134567891011121314151617343[[#This Row],[ESP]]-VLOOKUP($U$1,A:E,5,))/VLOOKUP($U$1,A:E,5,))*100)+100</f>
        <v/>
      </c>
      <c r="L355" s="86">
        <f>(((Table134567891011121314151617343[[#This Row],[EA19]]-VLOOKUP($U$1,A:F,6,))/VLOOKUP($U$1,A:F,6,))*100)+100</f>
        <v/>
      </c>
      <c r="M355" s="86">
        <f>(((Table134567891011121314151617343[[#This Row],[GBR]]-VLOOKUP($U$1,A:G,7,))/VLOOKUP($U$1,A:G,7,))*100)+100</f>
        <v/>
      </c>
      <c r="N355" s="86">
        <f>VLOOKUP(A355,Database!$A:$AS,MATCH($N$1,Database!$A$1:$AS$1,0),FALSE)</f>
        <v/>
      </c>
      <c r="O355" s="86">
        <f>(((Table134567891011121314151617343[[#This Row],[USA]]-VLOOKUP($U$1,A:N,14,))/VLOOKUP($U$1,A:N,14,))*100)+100</f>
        <v/>
      </c>
      <c r="P355" s="86">
        <f>VLOOKUP(A355,Database!$A:$AS,MATCH($P$1,Database!$A$1:$AS$1,0),FALSE)</f>
        <v/>
      </c>
      <c r="Q355" s="86">
        <f>(((Table134567891011121314151617343[[#This Row],[JPN]]-VLOOKUP($U$1,A:Q,16,))/VLOOKUP($U$1,A:Q,16,))*100)+100</f>
        <v/>
      </c>
    </row>
    <row r="356" customFormat="1" s="94">
      <c r="A356" s="22" t="n">
        <v>43647</v>
      </c>
      <c r="B356" s="86">
        <f>VLOOKUP(A356,Database!$A:$AS,MATCH($B$1,Database!$A$1:$AS$1,0),FALSE)</f>
        <v/>
      </c>
      <c r="C356" s="86">
        <f>VLOOKUP(A356,Database!$A:$AS,MATCH($C$1,Database!$A$1:$AS$1,0),FALSE)</f>
        <v/>
      </c>
      <c r="D356" s="86">
        <f>VLOOKUP(A356,Database!$A:$AS,MATCH($D$1,Database!$A$1:$AS$1,0),FALSE)</f>
        <v/>
      </c>
      <c r="E356" s="86">
        <f>VLOOKUP(A356,Database!$A:$AS,MATCH($E$1,Database!$A$1:$AS$1,0),FALSE)</f>
        <v/>
      </c>
      <c r="F356" s="86">
        <f>VLOOKUP(A356,Database!$A:$AS,MATCH($F$1,Database!$A$1:$AS$1,0),FALSE)</f>
        <v/>
      </c>
      <c r="G356" s="86">
        <f>VLOOKUP(A356,Database!$A:$AS,MATCH($G$1,Database!$A$1:$AS$1,0),FALSE)</f>
        <v/>
      </c>
      <c r="H356" s="86">
        <f>(((Table134567891011121314151617343[[#This Row],[ITA]]-VLOOKUP($U$1,A:B,2,))/VLOOKUP($U$1,A:B,2,))*100)+100</f>
        <v/>
      </c>
      <c r="I356" s="86">
        <f>(((Table134567891011121314151617343[[#This Row],[FRA]]-VLOOKUP($U$1,A:C,3,))/VLOOKUP($U$1,A:C,3,))*100)+100</f>
        <v/>
      </c>
      <c r="J356" s="86">
        <f>(((Table134567891011121314151617343[[#This Row],[DEU]]-VLOOKUP($U$1,A:D,4,))/VLOOKUP($U$1,A:D,4,))*100)+100</f>
        <v/>
      </c>
      <c r="K356" s="86">
        <f>(((Table134567891011121314151617343[[#This Row],[ESP]]-VLOOKUP($U$1,A:E,5,))/VLOOKUP($U$1,A:E,5,))*100)+100</f>
        <v/>
      </c>
      <c r="L356" s="86">
        <f>(((Table134567891011121314151617343[[#This Row],[EA19]]-VLOOKUP($U$1,A:F,6,))/VLOOKUP($U$1,A:F,6,))*100)+100</f>
        <v/>
      </c>
      <c r="M356" s="86">
        <f>(((Table134567891011121314151617343[[#This Row],[GBR]]-VLOOKUP($U$1,A:G,7,))/VLOOKUP($U$1,A:G,7,))*100)+100</f>
        <v/>
      </c>
      <c r="N356" s="86">
        <f>VLOOKUP(A356,Database!$A:$AS,MATCH($N$1,Database!$A$1:$AS$1,0),FALSE)</f>
        <v/>
      </c>
      <c r="O356" s="86">
        <f>(((Table134567891011121314151617343[[#This Row],[USA]]-VLOOKUP($U$1,A:N,14,))/VLOOKUP($U$1,A:N,14,))*100)+100</f>
        <v/>
      </c>
      <c r="P356" s="86">
        <f>VLOOKUP(A356,Database!$A:$AS,MATCH($P$1,Database!$A$1:$AS$1,0),FALSE)</f>
        <v/>
      </c>
      <c r="Q356" s="86">
        <f>(((Table134567891011121314151617343[[#This Row],[JPN]]-VLOOKUP($U$1,A:Q,16,))/VLOOKUP($U$1,A:Q,16,))*100)+100</f>
        <v/>
      </c>
    </row>
    <row r="357" customFormat="1" s="94">
      <c r="A357" s="22" t="n">
        <v>43678</v>
      </c>
      <c r="B357" s="86">
        <f>VLOOKUP(A357,Database!$A:$AS,MATCH($B$1,Database!$A$1:$AS$1,0),FALSE)</f>
        <v/>
      </c>
      <c r="C357" s="86">
        <f>VLOOKUP(A357,Database!$A:$AS,MATCH($C$1,Database!$A$1:$AS$1,0),FALSE)</f>
        <v/>
      </c>
      <c r="D357" s="86">
        <f>VLOOKUP(A357,Database!$A:$AS,MATCH($D$1,Database!$A$1:$AS$1,0),FALSE)</f>
        <v/>
      </c>
      <c r="E357" s="86">
        <f>VLOOKUP(A357,Database!$A:$AS,MATCH($E$1,Database!$A$1:$AS$1,0),FALSE)</f>
        <v/>
      </c>
      <c r="F357" s="86">
        <f>VLOOKUP(A357,Database!$A:$AS,MATCH($F$1,Database!$A$1:$AS$1,0),FALSE)</f>
        <v/>
      </c>
      <c r="G357" s="86">
        <f>VLOOKUP(A357,Database!$A:$AS,MATCH($G$1,Database!$A$1:$AS$1,0),FALSE)</f>
        <v/>
      </c>
      <c r="H357" s="86">
        <f>(((Table134567891011121314151617343[[#This Row],[ITA]]-VLOOKUP($U$1,A:B,2,))/VLOOKUP($U$1,A:B,2,))*100)+100</f>
        <v/>
      </c>
      <c r="I357" s="86">
        <f>(((Table134567891011121314151617343[[#This Row],[FRA]]-VLOOKUP($U$1,A:C,3,))/VLOOKUP($U$1,A:C,3,))*100)+100</f>
        <v/>
      </c>
      <c r="J357" s="86">
        <f>(((Table134567891011121314151617343[[#This Row],[DEU]]-VLOOKUP($U$1,A:D,4,))/VLOOKUP($U$1,A:D,4,))*100)+100</f>
        <v/>
      </c>
      <c r="K357" s="86">
        <f>(((Table134567891011121314151617343[[#This Row],[ESP]]-VLOOKUP($U$1,A:E,5,))/VLOOKUP($U$1,A:E,5,))*100)+100</f>
        <v/>
      </c>
      <c r="L357" s="86">
        <f>(((Table134567891011121314151617343[[#This Row],[EA19]]-VLOOKUP($U$1,A:F,6,))/VLOOKUP($U$1,A:F,6,))*100)+100</f>
        <v/>
      </c>
      <c r="M357" s="86">
        <f>(((Table134567891011121314151617343[[#This Row],[GBR]]-VLOOKUP($U$1,A:G,7,))/VLOOKUP($U$1,A:G,7,))*100)+100</f>
        <v/>
      </c>
      <c r="N357" s="86">
        <f>VLOOKUP(A357,Database!$A:$AS,MATCH($N$1,Database!$A$1:$AS$1,0),FALSE)</f>
        <v/>
      </c>
      <c r="O357" s="86">
        <f>(((Table134567891011121314151617343[[#This Row],[USA]]-VLOOKUP($U$1,A:N,14,))/VLOOKUP($U$1,A:N,14,))*100)+100</f>
        <v/>
      </c>
      <c r="P357" s="86">
        <f>VLOOKUP(A357,Database!$A:$AS,MATCH($P$1,Database!$A$1:$AS$1,0),FALSE)</f>
        <v/>
      </c>
      <c r="Q357" s="86">
        <f>(((Table134567891011121314151617343[[#This Row],[JPN]]-VLOOKUP($U$1,A:Q,16,))/VLOOKUP($U$1,A:Q,16,))*100)+100</f>
        <v/>
      </c>
    </row>
    <row r="358" customFormat="1" s="94">
      <c r="A358" s="16" t="n"/>
      <c r="C358" s="36" t="n"/>
      <c r="D358" s="37" t="n"/>
    </row>
    <row r="359" customFormat="1" s="94">
      <c r="A359" s="16" t="n"/>
      <c r="C359" s="36" t="n"/>
      <c r="D359" s="37" t="n"/>
    </row>
    <row r="360" customFormat="1" s="94">
      <c r="A360" s="16" t="n"/>
      <c r="C360" s="36" t="n"/>
      <c r="D360" s="37" t="n"/>
    </row>
    <row r="361" customFormat="1" s="94">
      <c r="A361" s="16" t="n"/>
      <c r="C361" s="36" t="n"/>
      <c r="D361" s="37" t="n"/>
    </row>
    <row r="362" customFormat="1" s="94">
      <c r="A362" s="16" t="n"/>
      <c r="C362" s="36" t="n"/>
      <c r="D362" s="37" t="n"/>
    </row>
    <row r="363" customFormat="1" s="94">
      <c r="A363" s="16" t="n"/>
      <c r="C363" s="36" t="n"/>
      <c r="D363" s="37" t="n"/>
    </row>
    <row r="364" customFormat="1" s="94">
      <c r="A364" s="16" t="n"/>
      <c r="C364" s="36" t="n"/>
      <c r="D364" s="37" t="n"/>
    </row>
    <row r="365" customFormat="1" s="94">
      <c r="A365" s="16" t="n"/>
      <c r="C365" s="36" t="n"/>
      <c r="D365" s="37" t="n"/>
    </row>
    <row r="366" customFormat="1" s="94">
      <c r="A366" s="16" t="n"/>
      <c r="C366" s="36" t="n"/>
      <c r="D366" s="37" t="n"/>
    </row>
    <row r="367" customFormat="1" s="94">
      <c r="A367" s="16" t="n"/>
      <c r="C367" s="36" t="n"/>
      <c r="D367" s="37" t="n"/>
    </row>
    <row r="368" customFormat="1" s="94">
      <c r="A368" s="16" t="n"/>
      <c r="C368" s="36" t="n"/>
      <c r="D368" s="37" t="n"/>
    </row>
    <row r="369" customFormat="1" s="94">
      <c r="A369" s="16" t="n"/>
      <c r="C369" s="36" t="n"/>
      <c r="D369" s="37" t="n"/>
    </row>
    <row r="370" customFormat="1" s="94">
      <c r="A370" s="16" t="n"/>
      <c r="C370" s="36" t="n"/>
      <c r="D370" s="37" t="n"/>
    </row>
    <row r="371" customFormat="1" s="94">
      <c r="A371" s="16" t="n"/>
      <c r="C371" s="36" t="n"/>
      <c r="D371" s="37" t="n"/>
    </row>
    <row r="372" customFormat="1" s="94">
      <c r="A372" s="16" t="n"/>
      <c r="C372" s="36" t="n"/>
      <c r="D372" s="37" t="n"/>
    </row>
    <row r="373" customFormat="1" s="94">
      <c r="A373" s="16" t="n"/>
      <c r="C373" s="36" t="n"/>
      <c r="D373" s="37" t="n"/>
    </row>
    <row r="374" customFormat="1" s="94">
      <c r="A374" s="16" t="n"/>
      <c r="C374" s="36" t="n"/>
      <c r="D374" s="37" t="n"/>
    </row>
    <row r="375" customFormat="1" s="94">
      <c r="A375" s="16" t="n"/>
      <c r="C375" s="36" t="n"/>
      <c r="D375" s="37" t="n"/>
    </row>
    <row r="376" customFormat="1" s="94">
      <c r="A376" s="16" t="n"/>
      <c r="C376" s="36" t="n"/>
      <c r="D376" s="37" t="n"/>
    </row>
    <row r="377" customFormat="1" s="94">
      <c r="A377" s="16" t="n"/>
      <c r="C377" s="36" t="n"/>
      <c r="D377" s="37" t="n"/>
    </row>
    <row r="378" customFormat="1" s="94">
      <c r="A378" s="16" t="n"/>
      <c r="C378" s="36" t="n"/>
      <c r="D378" s="37" t="n"/>
    </row>
    <row r="379" customFormat="1" s="94">
      <c r="A379" s="16" t="n"/>
      <c r="C379" s="36" t="n"/>
      <c r="D379" s="37" t="n"/>
    </row>
    <row r="380" customFormat="1" s="94">
      <c r="A380" s="16" t="n"/>
      <c r="C380" s="36" t="n"/>
      <c r="D380" s="37" t="n"/>
    </row>
    <row r="381" customFormat="1" s="94">
      <c r="A381" s="16" t="n"/>
      <c r="C381" s="36" t="n"/>
      <c r="D381" s="37" t="n"/>
    </row>
    <row r="382" customFormat="1" s="94">
      <c r="A382" s="16" t="n"/>
      <c r="C382" s="36" t="n"/>
      <c r="D382" s="37" t="n"/>
    </row>
    <row r="383" customFormat="1" s="94">
      <c r="A383" s="16" t="n"/>
      <c r="C383" s="36" t="n"/>
      <c r="D383" s="37" t="n"/>
    </row>
    <row r="384" customFormat="1" s="94">
      <c r="A384" s="16" t="n"/>
      <c r="C384" s="36" t="n"/>
      <c r="D384" s="37" t="n"/>
    </row>
    <row r="385" customFormat="1" s="94">
      <c r="A385" s="16" t="n"/>
      <c r="C385" s="36" t="n"/>
      <c r="D385" s="37" t="n"/>
    </row>
    <row r="386" customFormat="1" s="94">
      <c r="A386" s="16" t="n"/>
      <c r="C386" s="36" t="n"/>
      <c r="D386" s="37" t="n"/>
    </row>
    <row r="387" customFormat="1" s="94">
      <c r="A387" s="16" t="n"/>
      <c r="C387" s="36" t="n"/>
      <c r="D387" s="37" t="n"/>
    </row>
    <row r="388" customFormat="1" s="94">
      <c r="A388" s="16" t="n"/>
      <c r="C388" s="36" t="n"/>
      <c r="D388" s="37" t="n"/>
    </row>
    <row r="389" customFormat="1" s="94">
      <c r="A389" s="16" t="n"/>
      <c r="C389" s="36" t="n"/>
      <c r="D389" s="37" t="n"/>
    </row>
    <row r="390" customFormat="1" s="94">
      <c r="A390" s="16" t="n"/>
      <c r="C390" s="36" t="n"/>
      <c r="D390" s="37" t="n"/>
    </row>
    <row r="391" customFormat="1" s="94">
      <c r="A391" s="16" t="n"/>
      <c r="C391" s="36" t="n"/>
      <c r="D391" s="37" t="n"/>
    </row>
    <row r="392" customFormat="1" s="94">
      <c r="A392" s="16" t="n"/>
      <c r="C392" s="36" t="n"/>
      <c r="D392" s="37" t="n"/>
    </row>
    <row r="393" customFormat="1" s="94">
      <c r="A393" s="16" t="n"/>
      <c r="C393" s="36" t="n"/>
      <c r="D393" s="37" t="n"/>
    </row>
    <row r="394" customFormat="1" s="94">
      <c r="A394" s="16" t="n"/>
      <c r="C394" s="36" t="n"/>
      <c r="D394" s="37" t="n"/>
    </row>
    <row r="395" customFormat="1" s="94">
      <c r="A395" s="16" t="n"/>
      <c r="C395" s="36" t="n"/>
      <c r="D395" s="37" t="n"/>
    </row>
    <row r="396" customFormat="1" s="94">
      <c r="A396" s="16" t="n"/>
      <c r="C396" s="36" t="n"/>
      <c r="D396" s="37" t="n"/>
    </row>
    <row r="397" customFormat="1" s="94">
      <c r="A397" s="16" t="n"/>
      <c r="C397" s="36" t="n"/>
      <c r="D397" s="37" t="n"/>
    </row>
    <row r="398" customFormat="1" s="94">
      <c r="A398" s="16" t="n"/>
      <c r="C398" s="36" t="n"/>
      <c r="D398" s="37" t="n"/>
    </row>
    <row r="399" customFormat="1" s="94">
      <c r="A399" s="16" t="n"/>
      <c r="C399" s="36" t="n"/>
      <c r="D399" s="37" t="n"/>
    </row>
    <row r="400" customFormat="1" s="94">
      <c r="A400" s="16" t="n"/>
      <c r="C400" s="36" t="n"/>
      <c r="D400" s="37" t="n"/>
    </row>
    <row r="401" customFormat="1" s="94">
      <c r="A401" s="16" t="n"/>
      <c r="C401" s="36" t="n"/>
      <c r="D401" s="37" t="n"/>
    </row>
    <row r="402" customFormat="1" s="94">
      <c r="A402" s="16" t="n"/>
      <c r="C402" s="36" t="n"/>
      <c r="D402" s="37" t="n"/>
    </row>
    <row r="403" customFormat="1" s="94">
      <c r="A403" s="16" t="n"/>
      <c r="C403" s="36" t="n"/>
      <c r="D403" s="37" t="n"/>
    </row>
    <row r="404" customFormat="1" s="94">
      <c r="A404" s="16" t="n"/>
      <c r="C404" s="36" t="n"/>
      <c r="D404" s="37" t="n"/>
    </row>
    <row r="405" customFormat="1" s="94">
      <c r="A405" s="16" t="n"/>
      <c r="C405" s="36" t="n"/>
      <c r="D405" s="37" t="n"/>
    </row>
    <row r="406" customFormat="1" s="94">
      <c r="A406" s="16" t="n"/>
      <c r="C406" s="36" t="n"/>
      <c r="D406" s="37" t="n"/>
    </row>
    <row r="407" customFormat="1" s="94">
      <c r="A407" s="16" t="n"/>
      <c r="C407" s="36" t="n"/>
      <c r="D407" s="37" t="n"/>
    </row>
    <row r="408" customFormat="1" s="94">
      <c r="A408" s="16" t="n"/>
      <c r="C408" s="36" t="n"/>
      <c r="D408" s="37" t="n"/>
    </row>
    <row r="409" customFormat="1" s="94">
      <c r="A409" s="16" t="n"/>
      <c r="C409" s="36" t="n"/>
      <c r="D409" s="37" t="n"/>
    </row>
    <row r="410" customFormat="1" s="94">
      <c r="A410" s="16" t="n"/>
      <c r="C410" s="36" t="n"/>
      <c r="D410" s="37" t="n"/>
    </row>
    <row r="411" customFormat="1" s="94">
      <c r="A411" s="16" t="n"/>
      <c r="C411" s="36" t="n"/>
      <c r="D411" s="37" t="n"/>
    </row>
    <row r="412" customFormat="1" s="94">
      <c r="A412" s="16" t="n"/>
      <c r="C412" s="36" t="n"/>
      <c r="D412" s="37" t="n"/>
    </row>
    <row r="413" customFormat="1" s="94">
      <c r="A413" s="16" t="n"/>
      <c r="C413" s="36" t="n"/>
      <c r="D413" s="37" t="n"/>
    </row>
    <row r="414" customFormat="1" s="94">
      <c r="A414" s="16" t="n"/>
      <c r="C414" s="36" t="n"/>
      <c r="D414" s="37" t="n"/>
    </row>
    <row r="415" customFormat="1" s="94">
      <c r="A415" s="16" t="n"/>
      <c r="C415" s="36" t="n"/>
      <c r="D415" s="37" t="n"/>
    </row>
    <row r="416" customFormat="1" s="94">
      <c r="A416" s="16" t="n"/>
      <c r="C416" s="36" t="n"/>
      <c r="D416" s="37" t="n"/>
    </row>
    <row r="417" customFormat="1" s="94">
      <c r="A417" s="16" t="n"/>
      <c r="C417" s="36" t="n"/>
      <c r="D417" s="37" t="n"/>
    </row>
    <row r="418" customFormat="1" s="94">
      <c r="A418" s="16" t="n"/>
      <c r="C418" s="36" t="n"/>
      <c r="D418" s="37" t="n"/>
    </row>
    <row r="419" customFormat="1" s="94">
      <c r="A419" s="16" t="n"/>
      <c r="C419" s="36" t="n"/>
      <c r="D419" s="37" t="n"/>
    </row>
    <row r="420" customFormat="1" s="94">
      <c r="A420" s="16" t="n"/>
      <c r="C420" s="36" t="n"/>
      <c r="D420" s="37" t="n"/>
    </row>
    <row r="421" customFormat="1" s="94">
      <c r="A421" s="16" t="n"/>
      <c r="C421" s="36" t="n"/>
      <c r="D421" s="37" t="n"/>
    </row>
    <row r="422" customFormat="1" s="94">
      <c r="A422" s="16" t="n"/>
      <c r="C422" s="36" t="n"/>
      <c r="D422" s="37" t="n"/>
    </row>
    <row r="423" customFormat="1" s="94">
      <c r="A423" s="16" t="n"/>
      <c r="C423" s="36" t="n"/>
      <c r="D423" s="37" t="n"/>
    </row>
    <row r="424" customFormat="1" s="94">
      <c r="A424" s="16" t="n"/>
      <c r="C424" s="36" t="n"/>
      <c r="D424" s="37" t="n"/>
    </row>
    <row r="425" customFormat="1" s="94">
      <c r="A425" s="16" t="n"/>
      <c r="C425" s="36" t="n"/>
      <c r="D425" s="37" t="n"/>
    </row>
    <row r="426" customFormat="1" s="94">
      <c r="A426" s="16" t="n"/>
      <c r="C426" s="36" t="n"/>
      <c r="D426" s="37" t="n"/>
    </row>
    <row r="427" customFormat="1" s="94">
      <c r="A427" s="16" t="n"/>
      <c r="C427" s="36" t="n"/>
      <c r="D427" s="37" t="n"/>
    </row>
    <row r="428" customFormat="1" s="94">
      <c r="A428" s="16" t="n"/>
      <c r="C428" s="36" t="n"/>
      <c r="D428" s="37" t="n"/>
    </row>
    <row r="429" customFormat="1" s="94">
      <c r="A429" s="16" t="n"/>
      <c r="C429" s="36" t="n"/>
      <c r="D429" s="37" t="n"/>
    </row>
    <row r="430" customFormat="1" s="94">
      <c r="A430" s="16" t="n"/>
      <c r="C430" s="36" t="n"/>
      <c r="D430" s="37" t="n"/>
    </row>
    <row r="431" customFormat="1" s="94">
      <c r="A431" s="16" t="n"/>
      <c r="C431" s="36" t="n"/>
      <c r="D431" s="37" t="n"/>
    </row>
    <row r="432" customFormat="1" s="94">
      <c r="A432" s="16" t="n"/>
      <c r="C432" s="36" t="n"/>
      <c r="D432" s="37" t="n"/>
    </row>
    <row r="433" customFormat="1" s="94">
      <c r="A433" s="16" t="n"/>
      <c r="C433" s="36" t="n"/>
      <c r="D433" s="37" t="n"/>
    </row>
    <row r="434" customFormat="1" s="94">
      <c r="A434" s="16" t="n"/>
      <c r="C434" s="36" t="n"/>
      <c r="D434" s="37" t="n"/>
    </row>
    <row r="435" customFormat="1" s="94">
      <c r="A435" s="16" t="n"/>
      <c r="C435" s="36" t="n"/>
      <c r="D435" s="37" t="n"/>
    </row>
    <row r="436" customFormat="1" s="94">
      <c r="A436" s="16" t="n"/>
      <c r="C436" s="36" t="n"/>
      <c r="D436" s="37" t="n"/>
    </row>
    <row r="437" customFormat="1" s="94">
      <c r="A437" s="16" t="n"/>
      <c r="C437" s="36" t="n"/>
      <c r="D437" s="37" t="n"/>
    </row>
    <row r="438" customFormat="1" s="94">
      <c r="A438" s="16" t="n"/>
      <c r="C438" s="36" t="n"/>
      <c r="D438" s="37" t="n"/>
    </row>
    <row r="439" customFormat="1" s="94">
      <c r="A439" s="16" t="n"/>
      <c r="C439" s="36" t="n"/>
      <c r="D439" s="37" t="n"/>
    </row>
    <row r="440" customFormat="1" s="94">
      <c r="A440" s="16" t="n"/>
      <c r="C440" s="36" t="n"/>
      <c r="D440" s="37" t="n"/>
    </row>
    <row r="441" customFormat="1" s="94">
      <c r="A441" s="16" t="n"/>
      <c r="C441" s="36" t="n"/>
      <c r="D441" s="37" t="n"/>
    </row>
    <row r="442" customFormat="1" s="94">
      <c r="A442" s="16" t="n"/>
      <c r="C442" s="36" t="n"/>
      <c r="D442" s="37" t="n"/>
    </row>
    <row r="443" customFormat="1" s="94">
      <c r="A443" s="16" t="n"/>
      <c r="C443" s="36" t="n"/>
      <c r="D443" s="37" t="n"/>
    </row>
    <row r="444" customFormat="1" s="94">
      <c r="A444" s="16" t="n"/>
      <c r="C444" s="36" t="n"/>
      <c r="D444" s="37" t="n"/>
    </row>
    <row r="445" customFormat="1" s="94">
      <c r="A445" s="16" t="n"/>
      <c r="C445" s="36" t="n"/>
      <c r="D445" s="37" t="n"/>
    </row>
    <row r="446" customFormat="1" s="94">
      <c r="A446" s="16" t="n"/>
      <c r="C446" s="36" t="n"/>
      <c r="D446" s="37" t="n"/>
    </row>
    <row r="447" customFormat="1" s="94">
      <c r="A447" s="16" t="n"/>
      <c r="C447" s="36" t="n"/>
      <c r="D447" s="37" t="n"/>
    </row>
    <row r="448" customFormat="1" s="94">
      <c r="A448" s="16" t="n"/>
      <c r="C448" s="36" t="n"/>
      <c r="D448" s="37" t="n"/>
    </row>
    <row r="449" customFormat="1" s="94">
      <c r="A449" s="16" t="n"/>
      <c r="C449" s="36" t="n"/>
      <c r="D449" s="37" t="n"/>
    </row>
    <row r="450" customFormat="1" s="94">
      <c r="A450" s="16" t="n"/>
      <c r="C450" s="36" t="n"/>
      <c r="D450" s="37" t="n"/>
    </row>
    <row r="451" customFormat="1" s="94">
      <c r="A451" s="16" t="n"/>
      <c r="C451" s="36" t="n"/>
      <c r="D451" s="37" t="n"/>
    </row>
    <row r="452" customFormat="1" s="94">
      <c r="A452" s="16" t="n"/>
      <c r="C452" s="36" t="n"/>
      <c r="D452" s="37" t="n"/>
    </row>
    <row r="453" customFormat="1" s="94">
      <c r="A453" s="16" t="n"/>
      <c r="C453" s="36" t="n"/>
      <c r="D453" s="37" t="n"/>
    </row>
    <row r="454" customFormat="1" s="94">
      <c r="A454" s="16" t="n"/>
      <c r="C454" s="36" t="n"/>
      <c r="D454" s="37" t="n"/>
    </row>
    <row r="455" customFormat="1" s="94">
      <c r="A455" s="16" t="n"/>
      <c r="C455" s="36" t="n"/>
      <c r="D455" s="37" t="n"/>
    </row>
    <row r="456" customFormat="1" s="94">
      <c r="A456" s="16" t="n"/>
      <c r="C456" s="36" t="n"/>
      <c r="D456" s="37" t="n"/>
    </row>
    <row r="457" customFormat="1" s="94">
      <c r="A457" s="16" t="n"/>
      <c r="C457" s="36" t="n"/>
      <c r="D457" s="37" t="n"/>
    </row>
    <row r="458" customFormat="1" s="94">
      <c r="A458" s="16" t="n"/>
      <c r="C458" s="36" t="n"/>
      <c r="D458" s="37" t="n"/>
    </row>
    <row r="459" customFormat="1" s="94">
      <c r="A459" s="16" t="n"/>
      <c r="C459" s="36" t="n"/>
      <c r="D459" s="37" t="n"/>
    </row>
    <row r="460" customFormat="1" s="94">
      <c r="A460" s="16" t="n"/>
      <c r="C460" s="36" t="n"/>
      <c r="D460" s="37" t="n"/>
    </row>
    <row r="461" customFormat="1" s="94">
      <c r="A461" s="16" t="n"/>
      <c r="C461" s="36" t="n"/>
      <c r="D461" s="37" t="n"/>
    </row>
    <row r="462" customFormat="1" s="94">
      <c r="A462" s="16" t="n"/>
      <c r="C462" s="36" t="n"/>
      <c r="D462" s="37" t="n"/>
    </row>
    <row r="463" customFormat="1" s="94">
      <c r="A463" s="16" t="n"/>
      <c r="C463" s="36" t="n"/>
      <c r="D463" s="37" t="n"/>
    </row>
    <row r="464" customFormat="1" s="94">
      <c r="A464" s="16" t="n"/>
      <c r="C464" s="36" t="n"/>
      <c r="D464" s="37" t="n"/>
    </row>
    <row r="465" customFormat="1" s="94">
      <c r="A465" s="16" t="n"/>
      <c r="C465" s="36" t="n"/>
      <c r="D465" s="37" t="n"/>
    </row>
    <row r="466" customFormat="1" s="94">
      <c r="A466" s="16" t="n"/>
      <c r="C466" s="36" t="n"/>
      <c r="D466" s="37" t="n"/>
    </row>
    <row r="467" customFormat="1" s="94">
      <c r="A467" s="16" t="n"/>
      <c r="C467" s="36" t="n"/>
      <c r="D467" s="37" t="n"/>
    </row>
    <row r="468" customFormat="1" s="94">
      <c r="A468" s="16" t="n"/>
      <c r="C468" s="36" t="n"/>
      <c r="D468" s="37" t="n"/>
    </row>
    <row r="469" customFormat="1" s="94">
      <c r="A469" s="16" t="n"/>
      <c r="C469" s="36" t="n"/>
      <c r="D469" s="37" t="n"/>
    </row>
    <row r="470" customFormat="1" s="94">
      <c r="A470" s="16" t="n"/>
      <c r="C470" s="36" t="n"/>
      <c r="D470" s="37" t="n"/>
    </row>
    <row r="471" customFormat="1" s="94">
      <c r="A471" s="16" t="n"/>
      <c r="C471" s="36" t="n"/>
      <c r="D471" s="37" t="n"/>
    </row>
    <row r="472" customFormat="1" s="94">
      <c r="A472" s="16" t="n"/>
      <c r="C472" s="36" t="n"/>
      <c r="D472" s="37" t="n"/>
    </row>
    <row r="473" customFormat="1" s="94">
      <c r="A473" s="16" t="n"/>
      <c r="C473" s="36" t="n"/>
      <c r="D473" s="37" t="n"/>
    </row>
    <row r="474" customFormat="1" s="94">
      <c r="A474" s="16" t="n"/>
      <c r="C474" s="36" t="n"/>
      <c r="D474" s="37" t="n"/>
    </row>
    <row r="475" customFormat="1" s="94">
      <c r="A475" s="16" t="n"/>
      <c r="C475" s="36" t="n"/>
      <c r="D475" s="37" t="n"/>
    </row>
    <row r="476" customFormat="1" s="94">
      <c r="A476" s="16" t="n"/>
      <c r="C476" s="36" t="n"/>
      <c r="D476" s="37" t="n"/>
    </row>
    <row r="477" customFormat="1" s="94">
      <c r="A477" s="16" t="n"/>
      <c r="C477" s="36" t="n"/>
      <c r="D477" s="37" t="n"/>
    </row>
    <row r="478" customFormat="1" s="94">
      <c r="A478" s="16" t="n"/>
      <c r="C478" s="36" t="n"/>
      <c r="D478" s="37" t="n"/>
    </row>
    <row r="479" customFormat="1" s="94">
      <c r="A479" s="16" t="n"/>
      <c r="C479" s="36" t="n"/>
      <c r="D479" s="37" t="n"/>
    </row>
    <row r="480" customFormat="1" s="94">
      <c r="A480" s="16" t="n"/>
      <c r="C480" s="36" t="n"/>
      <c r="D480" s="37" t="n"/>
    </row>
    <row r="481" customFormat="1" s="94">
      <c r="A481" s="16" t="n"/>
      <c r="C481" s="36" t="n"/>
      <c r="D481" s="37" t="n"/>
    </row>
    <row r="482" customFormat="1" s="94">
      <c r="A482" s="16" t="n"/>
      <c r="C482" s="36" t="n"/>
      <c r="D482" s="37" t="n"/>
    </row>
    <row r="483" customFormat="1" s="94">
      <c r="A483" s="16" t="n"/>
      <c r="C483" s="36" t="n"/>
      <c r="D483" s="37" t="n"/>
    </row>
    <row r="484" customFormat="1" s="94">
      <c r="A484" s="16" t="n"/>
      <c r="C484" s="36" t="n"/>
      <c r="D484" s="37" t="n"/>
    </row>
    <row r="485" customFormat="1" s="94">
      <c r="A485" s="16" t="n"/>
      <c r="C485" s="36" t="n"/>
      <c r="D485" s="37" t="n"/>
    </row>
    <row r="486" customFormat="1" s="94">
      <c r="A486" s="16" t="n"/>
      <c r="C486" s="36" t="n"/>
      <c r="D486" s="37" t="n"/>
    </row>
    <row r="487" customFormat="1" s="94">
      <c r="A487" s="16" t="n"/>
      <c r="C487" s="36" t="n"/>
      <c r="D487" s="37" t="n"/>
    </row>
    <row r="488" customFormat="1" s="94">
      <c r="A488" s="16" t="n"/>
      <c r="C488" s="36" t="n"/>
      <c r="D488" s="37" t="n"/>
    </row>
    <row r="489" customFormat="1" s="94">
      <c r="A489" s="16" t="n"/>
      <c r="C489" s="36" t="n"/>
      <c r="D489" s="37" t="n"/>
    </row>
    <row r="490" customFormat="1" s="94">
      <c r="A490" s="16" t="n"/>
      <c r="C490" s="36" t="n"/>
      <c r="D490" s="37" t="n"/>
    </row>
    <row r="491" customFormat="1" s="94">
      <c r="A491" s="16" t="n"/>
      <c r="C491" s="36" t="n"/>
      <c r="D491" s="37" t="n"/>
    </row>
    <row r="492" customFormat="1" s="94">
      <c r="A492" s="16" t="n"/>
      <c r="C492" s="36" t="n"/>
      <c r="D492" s="37" t="n"/>
    </row>
    <row r="493" customFormat="1" s="94">
      <c r="A493" s="16" t="n"/>
      <c r="C493" s="36" t="n"/>
      <c r="D493" s="37" t="n"/>
    </row>
    <row r="494" customFormat="1" s="94">
      <c r="A494" s="16" t="n"/>
      <c r="C494" s="36" t="n"/>
      <c r="D494" s="37" t="n"/>
    </row>
    <row r="495" customFormat="1" s="94">
      <c r="A495" s="16" t="n"/>
      <c r="C495" s="36" t="n"/>
      <c r="D495" s="37" t="n"/>
    </row>
    <row r="496" customFormat="1" s="94">
      <c r="A496" s="16" t="n"/>
      <c r="C496" s="36" t="n"/>
      <c r="D496" s="37" t="n"/>
    </row>
    <row r="497" customFormat="1" s="94">
      <c r="A497" s="16" t="n"/>
      <c r="C497" s="36" t="n"/>
      <c r="D497" s="37" t="n"/>
    </row>
    <row r="498" customFormat="1" s="94">
      <c r="A498" s="16" t="n"/>
      <c r="C498" s="36" t="n"/>
      <c r="D498" s="37" t="n"/>
    </row>
    <row r="499" customFormat="1" s="94">
      <c r="A499" s="16" t="n"/>
      <c r="C499" s="36" t="n"/>
      <c r="D499" s="37" t="n"/>
    </row>
    <row r="500" customFormat="1" s="94">
      <c r="A500" s="16" t="n"/>
      <c r="C500" s="36" t="n"/>
      <c r="D500" s="37" t="n"/>
    </row>
    <row r="501" customFormat="1" s="94">
      <c r="A501" s="16" t="n"/>
      <c r="C501" s="36" t="n"/>
      <c r="D501" s="37" t="n"/>
    </row>
    <row r="502" customFormat="1" s="94">
      <c r="A502" s="16" t="n"/>
      <c r="C502" s="36" t="n"/>
      <c r="D502" s="37" t="n"/>
    </row>
    <row r="503" customFormat="1" s="94">
      <c r="A503" s="16" t="n"/>
      <c r="C503" s="36" t="n"/>
      <c r="D503" s="37" t="n"/>
    </row>
    <row r="504" customFormat="1" s="94">
      <c r="A504" s="16" t="n"/>
      <c r="C504" s="36" t="n"/>
      <c r="D504" s="37" t="n"/>
    </row>
    <row r="505" customFormat="1" s="94">
      <c r="A505" s="16" t="n"/>
      <c r="C505" s="36" t="n"/>
      <c r="D505" s="37" t="n"/>
    </row>
    <row r="506" customFormat="1" s="94">
      <c r="A506" s="16" t="n"/>
      <c r="C506" s="36" t="n"/>
      <c r="D506" s="37" t="n"/>
    </row>
    <row r="507" customFormat="1" s="94">
      <c r="A507" s="16" t="n"/>
      <c r="C507" s="36" t="n"/>
      <c r="D507" s="37" t="n"/>
    </row>
    <row r="508" customFormat="1" s="94">
      <c r="A508" s="16" t="n"/>
      <c r="C508" s="36" t="n"/>
      <c r="D508" s="37" t="n"/>
    </row>
    <row r="509" customFormat="1" s="94">
      <c r="A509" s="16" t="n"/>
      <c r="C509" s="36" t="n"/>
      <c r="D509" s="37" t="n"/>
    </row>
    <row r="510" customFormat="1" s="94">
      <c r="A510" s="16" t="n"/>
      <c r="C510" s="36" t="n"/>
      <c r="D510" s="37" t="n"/>
    </row>
    <row r="511" customFormat="1" s="94">
      <c r="A511" s="16" t="n"/>
      <c r="C511" s="36" t="n"/>
      <c r="D511" s="37" t="n"/>
    </row>
    <row r="512" customFormat="1" s="94">
      <c r="A512" s="16" t="n"/>
      <c r="C512" s="36" t="n"/>
      <c r="D512" s="37" t="n"/>
    </row>
    <row r="513" customFormat="1" s="94">
      <c r="A513" s="16" t="n"/>
      <c r="C513" s="36" t="n"/>
      <c r="D513" s="37" t="n"/>
    </row>
    <row r="514" customFormat="1" s="94">
      <c r="A514" s="16" t="n"/>
      <c r="C514" s="36" t="n"/>
      <c r="D514" s="37" t="n"/>
    </row>
    <row r="515" customFormat="1" s="94">
      <c r="A515" s="16" t="n"/>
      <c r="C515" s="36" t="n"/>
      <c r="D515" s="37" t="n"/>
    </row>
    <row r="516" customFormat="1" s="94">
      <c r="A516" s="16" t="n"/>
      <c r="C516" s="36" t="n"/>
      <c r="D516" s="37" t="n"/>
    </row>
    <row r="517" customFormat="1" s="94">
      <c r="A517" s="16" t="n"/>
      <c r="C517" s="36" t="n"/>
      <c r="D517" s="37" t="n"/>
    </row>
    <row r="518" customFormat="1" s="94">
      <c r="A518" s="16" t="n"/>
      <c r="C518" s="36" t="n"/>
      <c r="D518" s="37" t="n"/>
    </row>
    <row r="519" customFormat="1" s="94">
      <c r="A519" s="16" t="n"/>
      <c r="C519" s="36" t="n"/>
      <c r="D519" s="37" t="n"/>
    </row>
    <row r="520" customFormat="1" s="94">
      <c r="A520" s="16" t="n"/>
      <c r="C520" s="36" t="n"/>
      <c r="D520" s="37" t="n"/>
    </row>
    <row r="521" customFormat="1" s="94">
      <c r="A521" s="16" t="n"/>
      <c r="C521" s="36" t="n"/>
      <c r="D521" s="37" t="n"/>
    </row>
    <row r="522" customFormat="1" s="94">
      <c r="A522" s="16" t="n"/>
      <c r="C522" s="36" t="n"/>
      <c r="D522" s="37" t="n"/>
    </row>
    <row r="523" customFormat="1" s="94">
      <c r="A523" s="16" t="n"/>
      <c r="C523" s="36" t="n"/>
      <c r="D523" s="37" t="n"/>
    </row>
    <row r="524" customFormat="1" s="94">
      <c r="A524" s="16" t="n"/>
      <c r="C524" s="36" t="n"/>
      <c r="D524" s="37" t="n"/>
    </row>
    <row r="525" customFormat="1" s="94">
      <c r="A525" s="16" t="n"/>
      <c r="C525" s="36" t="n"/>
      <c r="D525" s="37" t="n"/>
    </row>
    <row r="526" customFormat="1" s="94">
      <c r="A526" s="16" t="n"/>
      <c r="C526" s="36" t="n"/>
      <c r="D526" s="37" t="n"/>
    </row>
    <row r="527" customFormat="1" s="94">
      <c r="A527" s="16" t="n"/>
      <c r="C527" s="36" t="n"/>
      <c r="D527" s="37" t="n"/>
    </row>
    <row r="528" customFormat="1" s="94">
      <c r="A528" s="16" t="n"/>
      <c r="C528" s="36" t="n"/>
      <c r="D528" s="37" t="n"/>
    </row>
    <row r="529" customFormat="1" s="94">
      <c r="A529" s="16" t="n"/>
      <c r="C529" s="36" t="n"/>
      <c r="D529" s="37" t="n"/>
    </row>
    <row r="530" customFormat="1" s="94">
      <c r="A530" s="16" t="n"/>
      <c r="C530" s="36" t="n"/>
      <c r="D530" s="37" t="n"/>
    </row>
    <row r="531" customFormat="1" s="94">
      <c r="A531" s="16" t="n"/>
      <c r="C531" s="36" t="n"/>
      <c r="D531" s="37" t="n"/>
    </row>
    <row r="532" customFormat="1" s="94">
      <c r="A532" s="16" t="n"/>
      <c r="C532" s="36" t="n"/>
      <c r="D532" s="37" t="n"/>
    </row>
    <row r="533" customFormat="1" s="94">
      <c r="A533" s="16" t="n"/>
      <c r="C533" s="36" t="n"/>
      <c r="D533" s="37" t="n"/>
    </row>
    <row r="534" customFormat="1" s="94">
      <c r="A534" s="16" t="n"/>
      <c r="C534" s="36" t="n"/>
      <c r="D534" s="37" t="n"/>
    </row>
    <row r="535" customFormat="1" s="94">
      <c r="A535" s="16" t="n"/>
      <c r="C535" s="36" t="n"/>
      <c r="D535" s="37" t="n"/>
    </row>
    <row r="536" customFormat="1" s="94">
      <c r="A536" s="16" t="n"/>
      <c r="C536" s="36" t="n"/>
      <c r="D536" s="37" t="n"/>
    </row>
    <row r="537" customFormat="1" s="94">
      <c r="A537" s="16" t="n"/>
      <c r="C537" s="36" t="n"/>
      <c r="D537" s="37" t="n"/>
    </row>
    <row r="538" customFormat="1" s="94">
      <c r="A538" s="16" t="n"/>
      <c r="C538" s="36" t="n"/>
      <c r="D538" s="37" t="n"/>
    </row>
    <row r="539" customFormat="1" s="94">
      <c r="A539" s="16" t="n"/>
      <c r="C539" s="36" t="n"/>
      <c r="D539" s="37" t="n"/>
    </row>
    <row r="540" customFormat="1" s="94">
      <c r="A540" s="16" t="n"/>
      <c r="C540" s="36" t="n"/>
      <c r="D540" s="37" t="n"/>
    </row>
    <row r="541" customFormat="1" s="94">
      <c r="A541" s="16" t="n"/>
      <c r="C541" s="36" t="n"/>
      <c r="D541" s="37" t="n"/>
    </row>
    <row r="542" customFormat="1" s="94">
      <c r="A542" s="16" t="n"/>
      <c r="C542" s="36" t="n"/>
      <c r="D542" s="37" t="n"/>
    </row>
    <row r="543" customFormat="1" s="94">
      <c r="A543" s="16" t="n"/>
      <c r="C543" s="36" t="n"/>
      <c r="D543" s="37" t="n"/>
    </row>
    <row r="544" customFormat="1" s="94">
      <c r="A544" s="16" t="n"/>
      <c r="C544" s="36" t="n"/>
      <c r="D544" s="37" t="n"/>
    </row>
    <row r="545" customFormat="1" s="94">
      <c r="A545" s="16" t="n"/>
      <c r="C545" s="36" t="n"/>
      <c r="D545" s="37" t="n"/>
    </row>
    <row r="546" customFormat="1" s="94">
      <c r="A546" s="16" t="n"/>
      <c r="C546" s="36" t="n"/>
      <c r="D546" s="37" t="n"/>
    </row>
    <row r="547" customFormat="1" s="94">
      <c r="A547" s="16" t="n"/>
      <c r="C547" s="36" t="n"/>
      <c r="D547" s="37" t="n"/>
    </row>
    <row r="548" customFormat="1" s="94">
      <c r="A548" s="16" t="n"/>
      <c r="C548" s="36" t="n"/>
      <c r="D548" s="37" t="n"/>
    </row>
    <row r="549" customFormat="1" s="94">
      <c r="A549" s="16" t="n"/>
      <c r="C549" s="36" t="n"/>
      <c r="D549" s="37" t="n"/>
    </row>
    <row r="550" customFormat="1" s="94">
      <c r="A550" s="16" t="n"/>
      <c r="C550" s="36" t="n"/>
      <c r="D550" s="37" t="n"/>
    </row>
    <row r="551" customFormat="1" s="94">
      <c r="A551" s="16" t="n"/>
      <c r="C551" s="36" t="n"/>
      <c r="D551" s="37" t="n"/>
    </row>
    <row r="552" customFormat="1" s="94">
      <c r="A552" s="16" t="n"/>
      <c r="C552" s="36" t="n"/>
      <c r="D552" s="37" t="n"/>
    </row>
    <row r="553" customFormat="1" s="94">
      <c r="A553" s="16" t="n"/>
      <c r="C553" s="36" t="n"/>
      <c r="D553" s="37" t="n"/>
    </row>
    <row r="554" customFormat="1" s="94">
      <c r="A554" s="16" t="n"/>
      <c r="C554" s="36" t="n"/>
      <c r="D554" s="37" t="n"/>
    </row>
    <row r="555" customFormat="1" s="94">
      <c r="A555" s="16" t="n"/>
      <c r="C555" s="36" t="n"/>
      <c r="D555" s="37" t="n"/>
    </row>
    <row r="556" customFormat="1" s="94">
      <c r="A556" s="16" t="n"/>
      <c r="C556" s="36" t="n"/>
      <c r="D556" s="37" t="n"/>
    </row>
    <row r="557" customFormat="1" s="94">
      <c r="A557" s="16" t="n"/>
      <c r="C557" s="36" t="n"/>
      <c r="D557" s="37" t="n"/>
    </row>
    <row r="558" customFormat="1" s="94">
      <c r="A558" s="16" t="n"/>
      <c r="C558" s="36" t="n"/>
      <c r="D558" s="37" t="n"/>
    </row>
    <row r="559" customFormat="1" s="94">
      <c r="A559" s="16" t="n"/>
      <c r="C559" s="36" t="n"/>
      <c r="D559" s="37" t="n"/>
    </row>
    <row r="560" customFormat="1" s="94">
      <c r="A560" s="16" t="n"/>
      <c r="C560" s="36" t="n"/>
      <c r="D560" s="37" t="n"/>
    </row>
    <row r="561" customFormat="1" s="94">
      <c r="A561" s="16" t="n"/>
      <c r="C561" s="36" t="n"/>
      <c r="D561" s="37" t="n"/>
    </row>
    <row r="562" customFormat="1" s="94">
      <c r="A562" s="16" t="n"/>
      <c r="C562" s="36" t="n"/>
      <c r="D562" s="37" t="n"/>
    </row>
    <row r="563" customFormat="1" s="94">
      <c r="A563" s="16" t="n"/>
      <c r="C563" s="36" t="n"/>
      <c r="D563" s="37" t="n"/>
    </row>
    <row r="564" customFormat="1" s="94">
      <c r="A564" s="16" t="n"/>
      <c r="C564" s="36" t="n"/>
      <c r="D564" s="37" t="n"/>
    </row>
    <row r="565" customFormat="1" s="94">
      <c r="A565" s="16" t="n"/>
      <c r="C565" s="36" t="n"/>
      <c r="D565" s="37" t="n"/>
    </row>
    <row r="566" customFormat="1" s="94">
      <c r="A566" s="16" t="n"/>
      <c r="C566" s="36" t="n"/>
      <c r="D566" s="37" t="n"/>
    </row>
    <row r="567" customFormat="1" s="94">
      <c r="A567" s="16" t="n"/>
      <c r="C567" s="36" t="n"/>
      <c r="D567" s="37" t="n"/>
    </row>
    <row r="568" customFormat="1" s="94">
      <c r="A568" s="16" t="n"/>
      <c r="C568" s="36" t="n"/>
      <c r="D568" s="37" t="n"/>
    </row>
    <row r="569" customFormat="1" s="94">
      <c r="A569" s="16" t="n"/>
      <c r="C569" s="36" t="n"/>
      <c r="D569" s="37" t="n"/>
    </row>
    <row r="570" customFormat="1" s="94">
      <c r="A570" s="16" t="n"/>
      <c r="C570" s="36" t="n"/>
      <c r="D570" s="37" t="n"/>
    </row>
    <row r="571" customFormat="1" s="94">
      <c r="A571" s="16" t="n"/>
      <c r="C571" s="36" t="n"/>
      <c r="D571" s="37" t="n"/>
    </row>
    <row r="572" customFormat="1" s="94">
      <c r="A572" s="16" t="n"/>
      <c r="C572" s="36" t="n"/>
      <c r="D572" s="37" t="n"/>
    </row>
    <row r="573" customFormat="1" s="94">
      <c r="A573" s="16" t="n"/>
      <c r="C573" s="36" t="n"/>
      <c r="D573" s="37" t="n"/>
    </row>
    <row r="574" customFormat="1" s="94">
      <c r="A574" s="16" t="n"/>
      <c r="C574" s="36" t="n"/>
      <c r="D574" s="37" t="n"/>
    </row>
    <row r="575" customFormat="1" s="94">
      <c r="A575" s="16" t="n"/>
      <c r="C575" s="36" t="n"/>
      <c r="D575" s="37" t="n"/>
    </row>
    <row r="576" customFormat="1" s="94">
      <c r="A576" s="16" t="n"/>
      <c r="C576" s="36" t="n"/>
      <c r="D576" s="37" t="n"/>
    </row>
    <row r="577" customFormat="1" s="94">
      <c r="A577" s="16" t="n"/>
      <c r="C577" s="36" t="n"/>
      <c r="D577" s="37" t="n"/>
    </row>
    <row r="578" customFormat="1" s="94">
      <c r="A578" s="16" t="n"/>
      <c r="C578" s="36" t="n"/>
      <c r="D578" s="37" t="n"/>
    </row>
    <row r="579" customFormat="1" s="94">
      <c r="A579" s="16" t="n"/>
      <c r="C579" s="36" t="n"/>
      <c r="D579" s="37" t="n"/>
    </row>
    <row r="580" customFormat="1" s="94">
      <c r="A580" s="16" t="n"/>
      <c r="C580" s="36" t="n"/>
      <c r="D580" s="37" t="n"/>
    </row>
    <row r="581" customFormat="1" s="94">
      <c r="A581" s="16" t="n"/>
      <c r="C581" s="36" t="n"/>
      <c r="D581" s="37" t="n"/>
    </row>
    <row r="582" customFormat="1" s="94">
      <c r="A582" s="16" t="n"/>
      <c r="C582" s="36" t="n"/>
      <c r="D582" s="37" t="n"/>
    </row>
    <row r="583" customFormat="1" s="94">
      <c r="A583" s="16" t="n"/>
      <c r="C583" s="36" t="n"/>
      <c r="D583" s="37" t="n"/>
    </row>
    <row r="584" customFormat="1" s="94">
      <c r="A584" s="16" t="n"/>
      <c r="C584" s="36" t="n"/>
      <c r="D584" s="37" t="n"/>
    </row>
    <row r="585" customFormat="1" s="94">
      <c r="A585" s="16" t="n"/>
      <c r="C585" s="36" t="n"/>
      <c r="D585" s="37" t="n"/>
    </row>
    <row r="586" customFormat="1" s="94">
      <c r="A586" s="16" t="n"/>
      <c r="C586" s="36" t="n"/>
      <c r="D586" s="37" t="n"/>
    </row>
    <row r="587" customFormat="1" s="94">
      <c r="A587" s="16" t="n"/>
      <c r="C587" s="36" t="n"/>
      <c r="D587" s="37" t="n"/>
    </row>
    <row r="588" customFormat="1" s="94">
      <c r="A588" s="16" t="n"/>
      <c r="C588" s="36" t="n"/>
      <c r="D588" s="37" t="n"/>
    </row>
    <row r="589" customFormat="1" s="94">
      <c r="A589" s="16" t="n"/>
      <c r="C589" s="36" t="n"/>
      <c r="D589" s="37" t="n"/>
    </row>
    <row r="590" customFormat="1" s="94">
      <c r="A590" s="16" t="n"/>
      <c r="C590" s="36" t="n"/>
      <c r="D590" s="37" t="n"/>
    </row>
    <row r="591" customFormat="1" s="94">
      <c r="A591" s="16" t="n"/>
      <c r="C591" s="36" t="n"/>
      <c r="D591" s="37" t="n"/>
    </row>
    <row r="592" customFormat="1" s="94">
      <c r="A592" s="16" t="n"/>
      <c r="C592" s="36" t="n"/>
      <c r="D592" s="37" t="n"/>
    </row>
    <row r="593" customFormat="1" s="94">
      <c r="A593" s="16" t="n"/>
      <c r="C593" s="36" t="n"/>
      <c r="D593" s="37" t="n"/>
    </row>
    <row r="594" customFormat="1" s="94">
      <c r="A594" s="16" t="n"/>
      <c r="C594" s="36" t="n"/>
      <c r="D594" s="37" t="n"/>
    </row>
    <row r="595" customFormat="1" s="94">
      <c r="A595" s="16" t="n"/>
      <c r="C595" s="36" t="n"/>
      <c r="D595" s="37" t="n"/>
    </row>
    <row r="596" customFormat="1" s="94">
      <c r="A596" s="16" t="n"/>
      <c r="C596" s="36" t="n"/>
      <c r="D596" s="37" t="n"/>
    </row>
    <row r="597" customFormat="1" s="94">
      <c r="A597" s="16" t="n"/>
      <c r="C597" s="36" t="n"/>
      <c r="D597" s="37" t="n"/>
    </row>
    <row r="598" customFormat="1" s="94">
      <c r="A598" s="16" t="n"/>
      <c r="C598" s="36" t="n"/>
      <c r="D598" s="37" t="n"/>
    </row>
    <row r="599" customFormat="1" s="94">
      <c r="A599" s="16" t="n"/>
      <c r="C599" s="36" t="n"/>
      <c r="D599" s="37" t="n"/>
    </row>
    <row r="600" customFormat="1" s="94">
      <c r="A600" s="16" t="n"/>
      <c r="C600" s="36" t="n"/>
      <c r="D600" s="37" t="n"/>
    </row>
    <row r="601" customFormat="1" s="94">
      <c r="A601" s="16" t="n"/>
      <c r="C601" s="36" t="n"/>
      <c r="D601" s="37" t="n"/>
    </row>
    <row r="602" customFormat="1" s="94">
      <c r="A602" s="16" t="n"/>
      <c r="C602" s="36" t="n"/>
      <c r="D602" s="37" t="n"/>
    </row>
    <row r="603" customFormat="1" s="94">
      <c r="A603" s="16" t="n"/>
      <c r="C603" s="36" t="n"/>
      <c r="D603" s="37" t="n"/>
    </row>
    <row r="604" customFormat="1" s="94">
      <c r="A604" s="16" t="n"/>
      <c r="C604" s="36" t="n"/>
      <c r="D604" s="37" t="n"/>
    </row>
    <row r="605" customFormat="1" s="94">
      <c r="A605" s="16" t="n"/>
      <c r="C605" s="36" t="n"/>
      <c r="D605" s="37" t="n"/>
    </row>
    <row r="606" customFormat="1" s="94">
      <c r="A606" s="16" t="n"/>
      <c r="C606" s="36" t="n"/>
      <c r="D606" s="37" t="n"/>
    </row>
    <row r="607" customFormat="1" s="94">
      <c r="A607" s="16" t="n"/>
      <c r="C607" s="36" t="n"/>
      <c r="D607" s="37" t="n"/>
    </row>
    <row r="608" customFormat="1" s="94">
      <c r="A608" s="16" t="n"/>
      <c r="C608" s="36" t="n"/>
      <c r="D608" s="37" t="n"/>
    </row>
    <row r="609" customFormat="1" s="94">
      <c r="A609" s="16" t="n"/>
      <c r="C609" s="36" t="n"/>
      <c r="D609" s="37" t="n"/>
    </row>
    <row r="610" customFormat="1" s="94">
      <c r="A610" s="16" t="n"/>
      <c r="C610" s="36" t="n"/>
      <c r="D610" s="37" t="n"/>
    </row>
    <row r="611" customFormat="1" s="94">
      <c r="A611" s="16" t="n"/>
      <c r="C611" s="36" t="n"/>
      <c r="D611" s="37" t="n"/>
    </row>
    <row r="612" customFormat="1" s="94">
      <c r="A612" s="16" t="n"/>
      <c r="C612" s="36" t="n"/>
      <c r="D612" s="37" t="n"/>
    </row>
    <row r="613" customFormat="1" s="94">
      <c r="A613" s="16" t="n"/>
      <c r="C613" s="36" t="n"/>
      <c r="D613" s="37" t="n"/>
    </row>
    <row r="614" customFormat="1" s="94">
      <c r="A614" s="16" t="n"/>
      <c r="C614" s="36" t="n"/>
      <c r="D614" s="37" t="n"/>
    </row>
    <row r="615" customFormat="1" s="94">
      <c r="A615" s="16" t="n"/>
      <c r="C615" s="36" t="n"/>
      <c r="D615" s="37" t="n"/>
    </row>
    <row r="616" customFormat="1" s="94">
      <c r="A616" s="16" t="n"/>
      <c r="C616" s="36" t="n"/>
      <c r="D616" s="37" t="n"/>
    </row>
    <row r="617" customFormat="1" s="94">
      <c r="A617" s="16" t="n"/>
      <c r="C617" s="36" t="n"/>
      <c r="D617" s="37" t="n"/>
    </row>
    <row r="618" customFormat="1" s="94">
      <c r="A618" s="16" t="n"/>
      <c r="C618" s="36" t="n"/>
      <c r="D618" s="37" t="n"/>
    </row>
    <row r="619" customFormat="1" s="94">
      <c r="A619" s="16" t="n"/>
      <c r="C619" s="36" t="n"/>
      <c r="D619" s="37" t="n"/>
    </row>
    <row r="620" customFormat="1" s="94">
      <c r="A620" s="16" t="n"/>
      <c r="C620" s="36" t="n"/>
      <c r="D620" s="37" t="n"/>
    </row>
    <row r="621" customFormat="1" s="94">
      <c r="A621" s="16" t="n"/>
      <c r="C621" s="36" t="n"/>
      <c r="D621" s="37" t="n"/>
    </row>
    <row r="622" customFormat="1" s="94">
      <c r="A622" s="16" t="n"/>
      <c r="C622" s="36" t="n"/>
      <c r="D622" s="37" t="n"/>
    </row>
    <row r="623" customFormat="1" s="94">
      <c r="A623" s="16" t="n"/>
      <c r="C623" s="36" t="n"/>
      <c r="D623" s="37" t="n"/>
    </row>
    <row r="624" customFormat="1" s="94">
      <c r="A624" s="16" t="n"/>
      <c r="C624" s="36" t="n"/>
      <c r="D624" s="37" t="n"/>
    </row>
    <row r="625" customFormat="1" s="94">
      <c r="A625" s="16" t="n"/>
      <c r="C625" s="36" t="n"/>
      <c r="D625" s="37" t="n"/>
    </row>
    <row r="626" customFormat="1" s="94">
      <c r="A626" s="16" t="n"/>
      <c r="C626" s="36" t="n"/>
      <c r="D626" s="37" t="n"/>
    </row>
    <row r="627" customFormat="1" s="94">
      <c r="A627" s="16" t="n"/>
      <c r="C627" s="36" t="n"/>
      <c r="D627" s="37" t="n"/>
    </row>
    <row r="628" customFormat="1" s="94">
      <c r="A628" s="16" t="n"/>
      <c r="C628" s="36" t="n"/>
      <c r="D628" s="37" t="n"/>
    </row>
    <row r="629" customFormat="1" s="94">
      <c r="A629" s="16" t="n"/>
      <c r="C629" s="36" t="n"/>
      <c r="D629" s="37" t="n"/>
    </row>
    <row r="630" customFormat="1" s="94">
      <c r="A630" s="16" t="n"/>
      <c r="C630" s="36" t="n"/>
      <c r="D630" s="37" t="n"/>
    </row>
    <row r="631" customFormat="1" s="94">
      <c r="A631" s="16" t="n"/>
      <c r="C631" s="36" t="n"/>
      <c r="D631" s="37" t="n"/>
    </row>
    <row r="632" customFormat="1" s="94">
      <c r="A632" s="16" t="n"/>
      <c r="C632" s="36" t="n"/>
      <c r="D632" s="37" t="n"/>
    </row>
    <row r="633" customFormat="1" s="94">
      <c r="A633" s="16" t="n"/>
      <c r="C633" s="36" t="n"/>
      <c r="D633" s="37" t="n"/>
    </row>
    <row r="634" customFormat="1" s="94">
      <c r="A634" s="16" t="n"/>
      <c r="C634" s="36" t="n"/>
      <c r="D634" s="37" t="n"/>
    </row>
    <row r="635" customFormat="1" s="94">
      <c r="A635" s="16" t="n"/>
      <c r="C635" s="36" t="n"/>
      <c r="D635" s="37" t="n"/>
    </row>
    <row r="636" customFormat="1" s="94">
      <c r="A636" s="16" t="n"/>
      <c r="C636" s="36" t="n"/>
      <c r="D636" s="37" t="n"/>
    </row>
    <row r="637" customFormat="1" s="94">
      <c r="A637" s="16" t="n"/>
      <c r="C637" s="36" t="n"/>
      <c r="D637" s="37" t="n"/>
    </row>
    <row r="638" customFormat="1" s="94">
      <c r="A638" s="16" t="n"/>
      <c r="C638" s="36" t="n"/>
      <c r="D638" s="37" t="n"/>
    </row>
    <row r="639" customFormat="1" s="94">
      <c r="A639" s="16" t="n"/>
      <c r="C639" s="36" t="n"/>
      <c r="D639" s="37" t="n"/>
    </row>
    <row r="640" customFormat="1" s="94">
      <c r="A640" s="16" t="n"/>
      <c r="C640" s="36" t="n"/>
      <c r="D640" s="37" t="n"/>
    </row>
    <row r="641" customFormat="1" s="94">
      <c r="A641" s="16" t="n"/>
      <c r="C641" s="36" t="n"/>
      <c r="D641" s="37" t="n"/>
    </row>
    <row r="642" customFormat="1" s="94">
      <c r="A642" s="16" t="n"/>
      <c r="C642" s="36" t="n"/>
      <c r="D642" s="37" t="n"/>
    </row>
    <row r="643" customFormat="1" s="94">
      <c r="A643" s="16" t="n"/>
      <c r="C643" s="36" t="n"/>
      <c r="D643" s="37" t="n"/>
    </row>
    <row r="644" customFormat="1" s="94">
      <c r="A644" s="16" t="n"/>
      <c r="C644" s="36" t="n"/>
      <c r="D644" s="37" t="n"/>
    </row>
    <row r="645" customFormat="1" s="94">
      <c r="A645" s="16" t="n"/>
      <c r="C645" s="36" t="n"/>
      <c r="D645" s="37" t="n"/>
    </row>
    <row r="646" customFormat="1" s="94">
      <c r="A646" s="16" t="n"/>
      <c r="C646" s="36" t="n"/>
      <c r="D646" s="37" t="n"/>
    </row>
    <row r="647" customFormat="1" s="94">
      <c r="A647" s="16" t="n"/>
      <c r="C647" s="36" t="n"/>
      <c r="D647" s="37" t="n"/>
    </row>
    <row r="648" customFormat="1" s="94">
      <c r="A648" s="16" t="n"/>
      <c r="C648" s="36" t="n"/>
      <c r="D648" s="37" t="n"/>
    </row>
    <row r="649" customFormat="1" s="94">
      <c r="A649" s="16" t="n"/>
      <c r="C649" s="36" t="n"/>
      <c r="D649" s="37" t="n"/>
    </row>
    <row r="650" customFormat="1" s="94">
      <c r="A650" s="16" t="n"/>
      <c r="C650" s="36" t="n"/>
      <c r="D650" s="37" t="n"/>
    </row>
    <row r="651" customFormat="1" s="94">
      <c r="A651" s="16" t="n"/>
      <c r="C651" s="36" t="n"/>
      <c r="D651" s="37" t="n"/>
    </row>
    <row r="652" customFormat="1" s="94">
      <c r="A652" s="16" t="n"/>
      <c r="C652" s="36" t="n"/>
      <c r="D652" s="37" t="n"/>
    </row>
    <row r="653" customFormat="1" s="94">
      <c r="A653" s="16" t="n"/>
      <c r="C653" s="36" t="n"/>
      <c r="D653" s="37" t="n"/>
    </row>
    <row r="654" customFormat="1" s="94">
      <c r="A654" s="16" t="n"/>
      <c r="C654" s="36" t="n"/>
      <c r="D654" s="37" t="n"/>
    </row>
    <row r="655" customFormat="1" s="94">
      <c r="A655" s="16" t="n"/>
      <c r="C655" s="36" t="n"/>
      <c r="D655" s="37" t="n"/>
    </row>
    <row r="656" customFormat="1" s="94">
      <c r="A656" s="16" t="n"/>
      <c r="C656" s="36" t="n"/>
      <c r="D656" s="37" t="n"/>
    </row>
    <row r="657" customFormat="1" s="94">
      <c r="A657" s="16" t="n"/>
      <c r="C657" s="36" t="n"/>
      <c r="D657" s="37" t="n"/>
    </row>
    <row r="658" customFormat="1" s="94">
      <c r="A658" s="16" t="n"/>
      <c r="C658" s="36" t="n"/>
      <c r="D658" s="37" t="n"/>
    </row>
    <row r="659" customFormat="1" s="94">
      <c r="A659" s="16" t="n"/>
      <c r="C659" s="36" t="n"/>
      <c r="D659" s="37" t="n"/>
    </row>
    <row r="660" customFormat="1" s="94">
      <c r="A660" s="16" t="n"/>
      <c r="C660" s="36" t="n"/>
      <c r="D660" s="37" t="n"/>
    </row>
    <row r="661" customFormat="1" s="94">
      <c r="A661" s="16" t="n"/>
      <c r="C661" s="36" t="n"/>
      <c r="D661" s="37" t="n"/>
    </row>
    <row r="662" customFormat="1" s="94">
      <c r="A662" s="16" t="n"/>
      <c r="C662" s="36" t="n"/>
      <c r="D662" s="37" t="n"/>
    </row>
    <row r="663" customFormat="1" s="94">
      <c r="A663" s="16" t="n"/>
      <c r="C663" s="36" t="n"/>
      <c r="D663" s="37" t="n"/>
    </row>
    <row r="664" customFormat="1" s="94">
      <c r="A664" s="16" t="n"/>
      <c r="C664" s="36" t="n"/>
      <c r="D664" s="37" t="n"/>
    </row>
    <row r="665" customFormat="1" s="94">
      <c r="A665" s="16" t="n"/>
      <c r="C665" s="36" t="n"/>
      <c r="D665" s="37" t="n"/>
    </row>
    <row r="666" customFormat="1" s="94">
      <c r="A666" s="16" t="n"/>
      <c r="C666" s="36" t="n"/>
      <c r="D666" s="37" t="n"/>
    </row>
    <row r="667" customFormat="1" s="94">
      <c r="A667" s="16" t="n"/>
      <c r="C667" s="36" t="n"/>
      <c r="D667" s="37" t="n"/>
    </row>
    <row r="668" customFormat="1" s="94">
      <c r="A668" s="16" t="n"/>
      <c r="C668" s="36" t="n"/>
      <c r="D668" s="37" t="n"/>
    </row>
    <row r="669" customFormat="1" s="94">
      <c r="A669" s="16" t="n"/>
      <c r="C669" s="36" t="n"/>
      <c r="D669" s="37" t="n"/>
    </row>
    <row r="670" customFormat="1" s="94">
      <c r="A670" s="16" t="n"/>
      <c r="C670" s="36" t="n"/>
      <c r="D670" s="37" t="n"/>
    </row>
    <row r="671" customFormat="1" s="94">
      <c r="A671" s="16" t="n"/>
      <c r="C671" s="36" t="n"/>
      <c r="D671" s="37" t="n"/>
    </row>
    <row r="672" customFormat="1" s="94">
      <c r="A672" s="16" t="n"/>
      <c r="C672" s="36" t="n"/>
      <c r="D672" s="37" t="n"/>
    </row>
    <row r="673" customFormat="1" s="94">
      <c r="A673" s="16" t="n"/>
      <c r="C673" s="36" t="n"/>
      <c r="D673" s="37" t="n"/>
    </row>
    <row r="674" customFormat="1" s="94">
      <c r="A674" s="16" t="n"/>
      <c r="C674" s="36" t="n"/>
      <c r="D674" s="37" t="n"/>
    </row>
    <row r="675" customFormat="1" s="94">
      <c r="A675" s="16" t="n"/>
      <c r="C675" s="36" t="n"/>
      <c r="D675" s="37" t="n"/>
    </row>
    <row r="676" customFormat="1" s="94">
      <c r="A676" s="16" t="n"/>
      <c r="C676" s="36" t="n"/>
      <c r="D676" s="37" t="n"/>
    </row>
    <row r="677" customFormat="1" s="94">
      <c r="A677" s="16" t="n"/>
      <c r="C677" s="36" t="n"/>
      <c r="D677" s="37" t="n"/>
    </row>
    <row r="678" customFormat="1" s="94">
      <c r="A678" s="16" t="n"/>
      <c r="C678" s="36" t="n"/>
      <c r="D678" s="37" t="n"/>
    </row>
    <row r="679" customFormat="1" s="94">
      <c r="A679" s="16" t="n"/>
      <c r="C679" s="36" t="n"/>
      <c r="D679" s="37" t="n"/>
    </row>
    <row r="680" customFormat="1" s="94">
      <c r="A680" s="16" t="n"/>
      <c r="C680" s="36" t="n"/>
      <c r="D680" s="37" t="n"/>
    </row>
    <row r="681" customFormat="1" s="94">
      <c r="A681" s="16" t="n"/>
      <c r="C681" s="36" t="n"/>
      <c r="D681" s="37" t="n"/>
    </row>
    <row r="682" customFormat="1" s="94">
      <c r="A682" s="16" t="n"/>
      <c r="C682" s="36" t="n"/>
      <c r="D682" s="37" t="n"/>
    </row>
    <row r="683" customFormat="1" s="94">
      <c r="A683" s="16" t="n"/>
      <c r="C683" s="36" t="n"/>
      <c r="D683" s="37" t="n"/>
    </row>
    <row r="684" customFormat="1" s="94">
      <c r="A684" s="16" t="n"/>
      <c r="C684" s="36" t="n"/>
      <c r="D684" s="37" t="n"/>
    </row>
    <row r="685" customFormat="1" s="94">
      <c r="A685" s="16" t="n"/>
      <c r="C685" s="36" t="n"/>
      <c r="D685" s="37" t="n"/>
    </row>
    <row r="686" customFormat="1" s="94">
      <c r="A686" s="16" t="n"/>
      <c r="C686" s="36" t="n"/>
      <c r="D686" s="37" t="n"/>
    </row>
    <row r="687" customFormat="1" s="94">
      <c r="A687" s="16" t="n"/>
      <c r="C687" s="36" t="n"/>
      <c r="D687" s="37" t="n"/>
    </row>
    <row r="688" customFormat="1" s="94">
      <c r="A688" s="16" t="n"/>
      <c r="C688" s="36" t="n"/>
      <c r="D688" s="37" t="n"/>
    </row>
    <row r="689" customFormat="1" s="94">
      <c r="A689" s="16" t="n"/>
      <c r="C689" s="36" t="n"/>
      <c r="D689" s="37" t="n"/>
    </row>
    <row r="690" customFormat="1" s="94">
      <c r="A690" s="16" t="n"/>
      <c r="C690" s="36" t="n"/>
      <c r="D690" s="37" t="n"/>
    </row>
    <row r="691" customFormat="1" s="94">
      <c r="A691" s="16" t="n"/>
      <c r="C691" s="36" t="n"/>
      <c r="D691" s="37" t="n"/>
    </row>
    <row r="692" customFormat="1" s="94">
      <c r="A692" s="16" t="n"/>
      <c r="C692" s="36" t="n"/>
      <c r="D692" s="37" t="n"/>
    </row>
    <row r="693" customFormat="1" s="94">
      <c r="A693" s="16" t="n"/>
      <c r="C693" s="36" t="n"/>
      <c r="D693" s="37" t="n"/>
    </row>
    <row r="694" customFormat="1" s="94">
      <c r="A694" s="16" t="n"/>
      <c r="C694" s="36" t="n"/>
      <c r="D694" s="37" t="n"/>
    </row>
    <row r="695" customFormat="1" s="94">
      <c r="A695" s="16" t="n"/>
      <c r="C695" s="36" t="n"/>
      <c r="D695" s="37" t="n"/>
    </row>
    <row r="696" customFormat="1" s="94">
      <c r="A696" s="16" t="n"/>
      <c r="C696" s="36" t="n"/>
      <c r="D696" s="37" t="n"/>
    </row>
    <row r="697" customFormat="1" s="94">
      <c r="A697" s="16" t="n"/>
      <c r="C697" s="36" t="n"/>
      <c r="D697" s="37" t="n"/>
    </row>
    <row r="698" customFormat="1" s="94">
      <c r="A698" s="16" t="n"/>
      <c r="C698" s="36" t="n"/>
      <c r="D698" s="37" t="n"/>
    </row>
    <row r="699" customFormat="1" s="94">
      <c r="A699" s="16" t="n"/>
      <c r="C699" s="36" t="n"/>
      <c r="D699" s="37" t="n"/>
    </row>
    <row r="700" customFormat="1" s="94">
      <c r="A700" s="16" t="n"/>
      <c r="C700" s="36" t="n"/>
      <c r="D700" s="37" t="n"/>
    </row>
    <row r="701" customFormat="1" s="94">
      <c r="A701" s="16" t="n"/>
      <c r="C701" s="36" t="n"/>
      <c r="D701" s="37" t="n"/>
    </row>
    <row r="702" customFormat="1" s="94">
      <c r="A702" s="16" t="n"/>
      <c r="C702" s="36" t="n"/>
      <c r="D702" s="37" t="n"/>
    </row>
    <row r="703" customFormat="1" s="94">
      <c r="A703" s="16" t="n"/>
      <c r="C703" s="36" t="n"/>
      <c r="D703" s="37" t="n"/>
    </row>
    <row r="704" customFormat="1" s="94">
      <c r="A704" s="16" t="n"/>
      <c r="C704" s="36" t="n"/>
      <c r="D704" s="37" t="n"/>
    </row>
    <row r="705" customFormat="1" s="94">
      <c r="A705" s="16" t="n"/>
      <c r="C705" s="36" t="n"/>
      <c r="D705" s="37" t="n"/>
    </row>
    <row r="706" customFormat="1" s="94">
      <c r="A706" s="16" t="n"/>
      <c r="C706" s="36" t="n"/>
      <c r="D706" s="37" t="n"/>
    </row>
    <row r="707" customFormat="1" s="94">
      <c r="A707" s="16" t="n"/>
      <c r="C707" s="36" t="n"/>
      <c r="D707" s="37" t="n"/>
    </row>
    <row r="708" customFormat="1" s="94">
      <c r="A708" s="16" t="n"/>
      <c r="C708" s="36" t="n"/>
      <c r="D708" s="37" t="n"/>
    </row>
    <row r="709" customFormat="1" s="94">
      <c r="A709" s="16" t="n"/>
      <c r="C709" s="36" t="n"/>
      <c r="D709" s="37" t="n"/>
    </row>
    <row r="710" customFormat="1" s="94">
      <c r="A710" s="16" t="n"/>
      <c r="C710" s="36" t="n"/>
      <c r="D710" s="37" t="n"/>
    </row>
    <row r="711" customFormat="1" s="94">
      <c r="A711" s="16" t="n"/>
      <c r="C711" s="36" t="n"/>
      <c r="D711" s="37" t="n"/>
    </row>
    <row r="712" customFormat="1" s="94">
      <c r="A712" s="16" t="n"/>
      <c r="C712" s="36" t="n"/>
      <c r="D712" s="37" t="n"/>
    </row>
    <row r="713" customFormat="1" s="94">
      <c r="A713" s="16" t="n"/>
      <c r="C713" s="36" t="n"/>
      <c r="D713" s="37" t="n"/>
    </row>
    <row r="714" customFormat="1" s="94">
      <c r="A714" s="16" t="n"/>
      <c r="C714" s="36" t="n"/>
      <c r="D714" s="37" t="n"/>
    </row>
    <row r="715" customFormat="1" s="94">
      <c r="A715" s="16" t="n"/>
      <c r="C715" s="36" t="n"/>
      <c r="D715" s="37" t="n"/>
    </row>
    <row r="716" customFormat="1" s="94">
      <c r="A716" s="16" t="n"/>
      <c r="C716" s="36" t="n"/>
      <c r="D716" s="37" t="n"/>
    </row>
    <row r="717" customFormat="1" s="94">
      <c r="A717" s="16" t="n"/>
      <c r="C717" s="36" t="n"/>
      <c r="D717" s="37" t="n"/>
    </row>
    <row r="718" customFormat="1" s="94">
      <c r="A718" s="16" t="n"/>
      <c r="C718" s="36" t="n"/>
      <c r="D718" s="37" t="n"/>
    </row>
    <row r="719" customFormat="1" s="94">
      <c r="A719" s="16" t="n"/>
      <c r="C719" s="36" t="n"/>
      <c r="D719" s="37" t="n"/>
    </row>
    <row r="720" customFormat="1" s="94">
      <c r="A720" s="16" t="n"/>
      <c r="C720" s="36" t="n"/>
      <c r="D720" s="37" t="n"/>
    </row>
    <row r="721" customFormat="1" s="94">
      <c r="A721" s="16" t="n"/>
      <c r="C721" s="36" t="n"/>
      <c r="D721" s="37" t="n"/>
    </row>
    <row r="722" customFormat="1" s="94">
      <c r="A722" s="16" t="n"/>
      <c r="C722" s="36" t="n"/>
      <c r="D722" s="37" t="n"/>
    </row>
    <row r="723" customFormat="1" s="94">
      <c r="A723" s="16" t="n"/>
      <c r="C723" s="36" t="n"/>
      <c r="D723" s="37" t="n"/>
    </row>
    <row r="724" customFormat="1" s="94">
      <c r="A724" s="16" t="n"/>
      <c r="C724" s="36" t="n"/>
      <c r="D724" s="37" t="n"/>
    </row>
    <row r="725" customFormat="1" s="94">
      <c r="A725" s="16" t="n"/>
      <c r="C725" s="36" t="n"/>
      <c r="D725" s="37" t="n"/>
    </row>
    <row r="726" customFormat="1" s="94">
      <c r="A726" s="16" t="n"/>
      <c r="C726" s="36" t="n"/>
      <c r="D726" s="37" t="n"/>
    </row>
    <row r="727" customFormat="1" s="94">
      <c r="A727" s="16" t="n"/>
      <c r="C727" s="36" t="n"/>
      <c r="D727" s="37" t="n"/>
    </row>
    <row r="728" customFormat="1" s="94">
      <c r="A728" s="16" t="n"/>
      <c r="C728" s="36" t="n"/>
      <c r="D728" s="37" t="n"/>
    </row>
    <row r="729" customFormat="1" s="94">
      <c r="A729" s="16" t="n"/>
      <c r="C729" s="36" t="n"/>
      <c r="D729" s="37" t="n"/>
    </row>
    <row r="730" customFormat="1" s="94">
      <c r="A730" s="16" t="n"/>
      <c r="C730" s="36" t="n"/>
      <c r="D730" s="37" t="n"/>
    </row>
    <row r="731" customFormat="1" s="94">
      <c r="A731" s="16" t="n"/>
      <c r="C731" s="36" t="n"/>
      <c r="D731" s="37" t="n"/>
    </row>
    <row r="732" customFormat="1" s="94">
      <c r="A732" s="16" t="n"/>
      <c r="C732" s="36" t="n"/>
      <c r="D732" s="37" t="n"/>
    </row>
    <row r="733" customFormat="1" s="94">
      <c r="A733" s="16" t="n"/>
      <c r="C733" s="36" t="n"/>
      <c r="D733" s="37" t="n"/>
    </row>
    <row r="734" customFormat="1" s="94">
      <c r="A734" s="16" t="n"/>
      <c r="C734" s="36" t="n"/>
      <c r="D734" s="37" t="n"/>
    </row>
    <row r="735" customFormat="1" s="94">
      <c r="A735" s="16" t="n"/>
      <c r="C735" s="36" t="n"/>
      <c r="D735" s="37" t="n"/>
    </row>
    <row r="736" customFormat="1" s="94">
      <c r="A736" s="16" t="n"/>
      <c r="C736" s="36" t="n"/>
      <c r="D736" s="37" t="n"/>
    </row>
    <row r="737" customFormat="1" s="94">
      <c r="A737" s="16" t="n"/>
      <c r="C737" s="36" t="n"/>
      <c r="D737" s="37" t="n"/>
    </row>
    <row r="738" customFormat="1" s="94">
      <c r="A738" s="16" t="n"/>
      <c r="C738" s="36" t="n"/>
      <c r="D738" s="37" t="n"/>
    </row>
    <row r="739" customFormat="1" s="94">
      <c r="A739" s="16" t="n"/>
      <c r="C739" s="36" t="n"/>
      <c r="D739" s="37" t="n"/>
    </row>
    <row r="740" customFormat="1" s="94">
      <c r="A740" s="16" t="n"/>
      <c r="C740" s="36" t="n"/>
      <c r="D740" s="37" t="n"/>
    </row>
    <row r="741" customFormat="1" s="94">
      <c r="A741" s="16" t="n"/>
      <c r="C741" s="36" t="n"/>
      <c r="D741" s="37" t="n"/>
    </row>
    <row r="742" customFormat="1" s="94">
      <c r="A742" s="16" t="n"/>
      <c r="C742" s="36" t="n"/>
      <c r="D742" s="37" t="n"/>
    </row>
    <row r="743" customFormat="1" s="94">
      <c r="A743" s="16" t="n"/>
      <c r="C743" s="36" t="n"/>
      <c r="D743" s="37" t="n"/>
    </row>
    <row r="744" customFormat="1" s="94">
      <c r="A744" s="16" t="n"/>
      <c r="C744" s="36" t="n"/>
      <c r="D744" s="37" t="n"/>
    </row>
    <row r="745" customFormat="1" s="94">
      <c r="A745" s="16" t="n"/>
      <c r="C745" s="36" t="n"/>
      <c r="D745" s="37" t="n"/>
    </row>
    <row r="746" customFormat="1" s="94">
      <c r="A746" s="16" t="n"/>
      <c r="C746" s="36" t="n"/>
      <c r="D746" s="37" t="n"/>
    </row>
    <row r="747" customFormat="1" s="94">
      <c r="A747" s="16" t="n"/>
      <c r="C747" s="36" t="n"/>
      <c r="D747" s="37" t="n"/>
    </row>
    <row r="748" customFormat="1" s="94">
      <c r="A748" s="16" t="n"/>
      <c r="C748" s="36" t="n"/>
      <c r="D748" s="37" t="n"/>
    </row>
    <row r="749" customFormat="1" s="94">
      <c r="A749" s="16" t="n"/>
      <c r="C749" s="36" t="n"/>
      <c r="D749" s="37" t="n"/>
    </row>
    <row r="750" customFormat="1" s="94">
      <c r="A750" s="16" t="n"/>
      <c r="C750" s="36" t="n"/>
      <c r="D750" s="37" t="n"/>
    </row>
    <row r="751" customFormat="1" s="94">
      <c r="A751" s="16" t="n"/>
      <c r="C751" s="36" t="n"/>
      <c r="D751" s="37" t="n"/>
    </row>
    <row r="752" customFormat="1" s="94">
      <c r="A752" s="16" t="n"/>
      <c r="C752" s="36" t="n"/>
      <c r="D752" s="37" t="n"/>
    </row>
    <row r="753" customFormat="1" s="94">
      <c r="A753" s="16" t="n"/>
      <c r="C753" s="36" t="n"/>
      <c r="D753" s="37" t="n"/>
    </row>
    <row r="754" customFormat="1" s="94">
      <c r="A754" s="16" t="n"/>
      <c r="C754" s="36" t="n"/>
      <c r="D754" s="37" t="n"/>
    </row>
    <row r="755" customFormat="1" s="94">
      <c r="A755" s="16" t="n"/>
      <c r="C755" s="36" t="n"/>
      <c r="D755" s="37" t="n"/>
    </row>
    <row r="756" customFormat="1" s="94">
      <c r="A756" s="16" t="n"/>
      <c r="C756" s="36" t="n"/>
      <c r="D756" s="37" t="n"/>
    </row>
    <row r="757" customFormat="1" s="94">
      <c r="A757" s="16" t="n"/>
      <c r="C757" s="36" t="n"/>
      <c r="D757" s="37" t="n"/>
    </row>
    <row r="758" customFormat="1" s="94">
      <c r="A758" s="16" t="n"/>
      <c r="C758" s="36" t="n"/>
      <c r="D758" s="37" t="n"/>
    </row>
    <row r="759" customFormat="1" s="94">
      <c r="A759" s="16" t="n"/>
      <c r="C759" s="36" t="n"/>
      <c r="D759" s="37" t="n"/>
    </row>
    <row r="760" customFormat="1" s="94">
      <c r="A760" s="16" t="n"/>
      <c r="C760" s="36" t="n"/>
      <c r="D760" s="37" t="n"/>
    </row>
    <row r="761" customFormat="1" s="94">
      <c r="A761" s="16" t="n"/>
      <c r="C761" s="36" t="n"/>
      <c r="D761" s="37" t="n"/>
    </row>
    <row r="762" customFormat="1" s="94">
      <c r="A762" s="16" t="n"/>
      <c r="C762" s="36" t="n"/>
      <c r="D762" s="37" t="n"/>
    </row>
    <row r="763" customFormat="1" s="94">
      <c r="A763" s="16" t="n"/>
      <c r="C763" s="36" t="n"/>
      <c r="D763" s="37" t="n"/>
    </row>
    <row r="764" customFormat="1" s="94">
      <c r="A764" s="16" t="n"/>
      <c r="C764" s="36" t="n"/>
      <c r="D764" s="37" t="n"/>
    </row>
    <row r="765" customFormat="1" s="94">
      <c r="A765" s="16" t="n"/>
      <c r="C765" s="36" t="n"/>
      <c r="D765" s="37" t="n"/>
    </row>
    <row r="766" customFormat="1" s="94">
      <c r="A766" s="16" t="n"/>
      <c r="C766" s="36" t="n"/>
      <c r="D766" s="37" t="n"/>
    </row>
    <row r="767" customFormat="1" s="94">
      <c r="A767" s="16" t="n"/>
      <c r="C767" s="36" t="n"/>
      <c r="D767" s="37" t="n"/>
    </row>
    <row r="768" customFormat="1" s="94">
      <c r="A768" s="16" t="n"/>
      <c r="C768" s="36" t="n"/>
      <c r="D768" s="37" t="n"/>
    </row>
    <row r="769" customFormat="1" s="94">
      <c r="A769" s="16" t="n"/>
      <c r="C769" s="36" t="n"/>
      <c r="D769" s="37" t="n"/>
    </row>
    <row r="770" customFormat="1" s="94">
      <c r="A770" s="16" t="n"/>
      <c r="C770" s="36" t="n"/>
      <c r="D770" s="37" t="n"/>
    </row>
    <row r="771" customFormat="1" s="94">
      <c r="A771" s="16" t="n"/>
      <c r="C771" s="36" t="n"/>
      <c r="D771" s="37" t="n"/>
    </row>
    <row r="772" customFormat="1" s="94">
      <c r="A772" s="16" t="n"/>
      <c r="C772" s="36" t="n"/>
      <c r="D772" s="37" t="n"/>
    </row>
    <row r="773" customFormat="1" s="94">
      <c r="A773" s="16" t="n"/>
      <c r="C773" s="36" t="n"/>
      <c r="D773" s="37" t="n"/>
    </row>
    <row r="774" customFormat="1" s="94">
      <c r="A774" s="16" t="n"/>
      <c r="C774" s="36" t="n"/>
      <c r="D774" s="37" t="n"/>
    </row>
    <row r="775" customFormat="1" s="94">
      <c r="A775" s="16" t="n"/>
      <c r="C775" s="36" t="n"/>
      <c r="D775" s="37" t="n"/>
    </row>
    <row r="776" customFormat="1" s="94">
      <c r="A776" s="16" t="n"/>
      <c r="C776" s="36" t="n"/>
      <c r="D776" s="37" t="n"/>
    </row>
    <row r="777" customFormat="1" s="94">
      <c r="A777" s="16" t="n"/>
      <c r="C777" s="36" t="n"/>
      <c r="D777" s="37" t="n"/>
    </row>
    <row r="778" customFormat="1" s="94">
      <c r="A778" s="16" t="n"/>
      <c r="C778" s="36" t="n"/>
      <c r="D778" s="37" t="n"/>
    </row>
    <row r="779" customFormat="1" s="94">
      <c r="A779" s="16" t="n"/>
      <c r="C779" s="36" t="n"/>
      <c r="D779" s="37" t="n"/>
    </row>
    <row r="780" customFormat="1" s="94">
      <c r="A780" s="16" t="n"/>
      <c r="C780" s="36" t="n"/>
      <c r="D780" s="37" t="n"/>
    </row>
    <row r="781" customFormat="1" s="94">
      <c r="A781" s="16" t="n"/>
      <c r="C781" s="36" t="n"/>
      <c r="D781" s="37" t="n"/>
    </row>
    <row r="782" customFormat="1" s="94">
      <c r="A782" s="16" t="n"/>
      <c r="C782" s="36" t="n"/>
      <c r="D782" s="37" t="n"/>
    </row>
    <row r="783" customFormat="1" s="94">
      <c r="A783" s="16" t="n"/>
      <c r="C783" s="36" t="n"/>
      <c r="D783" s="37" t="n"/>
    </row>
    <row r="784" customFormat="1" s="94">
      <c r="A784" s="16" t="n"/>
      <c r="C784" s="36" t="n"/>
      <c r="D784" s="37" t="n"/>
    </row>
    <row r="785" customFormat="1" s="94">
      <c r="A785" s="16" t="n"/>
      <c r="C785" s="36" t="n"/>
      <c r="D785" s="37" t="n"/>
    </row>
    <row r="786" customFormat="1" s="94">
      <c r="A786" s="16" t="n"/>
      <c r="C786" s="36" t="n"/>
      <c r="D786" s="37" t="n"/>
    </row>
    <row r="787" customFormat="1" s="94">
      <c r="A787" s="16" t="n"/>
      <c r="C787" s="36" t="n"/>
      <c r="D787" s="37" t="n"/>
    </row>
    <row r="788" customFormat="1" s="94">
      <c r="A788" s="16" t="n"/>
      <c r="C788" s="36" t="n"/>
      <c r="D788" s="37" t="n"/>
    </row>
    <row r="789" customFormat="1" s="94">
      <c r="A789" s="16" t="n"/>
      <c r="C789" s="36" t="n"/>
      <c r="D789" s="37" t="n"/>
    </row>
    <row r="790" customFormat="1" s="94">
      <c r="A790" s="16" t="n"/>
      <c r="C790" s="36" t="n"/>
      <c r="D790" s="37" t="n"/>
    </row>
    <row r="791" customFormat="1" s="94">
      <c r="A791" s="16" t="n"/>
      <c r="C791" s="36" t="n"/>
      <c r="D791" s="37" t="n"/>
    </row>
    <row r="792" customFormat="1" s="94">
      <c r="A792" s="16" t="n"/>
      <c r="C792" s="36" t="n"/>
      <c r="D792" s="37" t="n"/>
    </row>
    <row r="793" customFormat="1" s="94">
      <c r="A793" s="16" t="n"/>
      <c r="C793" s="36" t="n"/>
      <c r="D793" s="37" t="n"/>
    </row>
    <row r="794" customFormat="1" s="94">
      <c r="A794" s="16" t="n"/>
      <c r="C794" s="36" t="n"/>
      <c r="D794" s="37" t="n"/>
    </row>
    <row r="795" customFormat="1" s="94">
      <c r="A795" s="16" t="n"/>
      <c r="C795" s="36" t="n"/>
      <c r="D795" s="37" t="n"/>
    </row>
    <row r="796" customFormat="1" s="94">
      <c r="A796" s="16" t="n"/>
      <c r="C796" s="36" t="n"/>
      <c r="D796" s="37" t="n"/>
    </row>
    <row r="797" customFormat="1" s="94">
      <c r="A797" s="16" t="n"/>
      <c r="C797" s="36" t="n"/>
      <c r="D797" s="37" t="n"/>
    </row>
    <row r="798" customFormat="1" s="94">
      <c r="A798" s="16" t="n"/>
      <c r="C798" s="36" t="n"/>
      <c r="D798" s="37" t="n"/>
    </row>
    <row r="799" customFormat="1" s="94">
      <c r="A799" s="16" t="n"/>
      <c r="C799" s="36" t="n"/>
      <c r="D799" s="37" t="n"/>
    </row>
    <row r="800" customFormat="1" s="94">
      <c r="A800" s="16" t="n"/>
      <c r="C800" s="36" t="n"/>
      <c r="D800" s="37" t="n"/>
    </row>
    <row r="801" customFormat="1" s="94">
      <c r="A801" s="16" t="n"/>
      <c r="C801" s="36" t="n"/>
      <c r="D801" s="37" t="n"/>
    </row>
    <row r="802" customFormat="1" s="94">
      <c r="A802" s="16" t="n"/>
      <c r="C802" s="36" t="n"/>
      <c r="D802" s="37" t="n"/>
    </row>
    <row r="803" customFormat="1" s="94">
      <c r="A803" s="16" t="n"/>
      <c r="C803" s="36" t="n"/>
      <c r="D803" s="37" t="n"/>
    </row>
    <row r="804" customFormat="1" s="94">
      <c r="A804" s="16" t="n"/>
      <c r="C804" s="36" t="n"/>
      <c r="D804" s="37" t="n"/>
    </row>
    <row r="805" customFormat="1" s="94">
      <c r="A805" s="16" t="n"/>
      <c r="C805" s="36" t="n"/>
      <c r="D805" s="37" t="n"/>
    </row>
    <row r="806" customFormat="1" s="94">
      <c r="A806" s="16" t="n"/>
      <c r="C806" s="36" t="n"/>
      <c r="D806" s="37" t="n"/>
    </row>
    <row r="807" customFormat="1" s="94">
      <c r="A807" s="16" t="n"/>
      <c r="C807" s="36" t="n"/>
      <c r="D807" s="37" t="n"/>
    </row>
    <row r="808" customFormat="1" s="94">
      <c r="A808" s="16" t="n"/>
      <c r="C808" s="36" t="n"/>
      <c r="D808" s="37" t="n"/>
    </row>
    <row r="809" customFormat="1" s="94">
      <c r="A809" s="16" t="n"/>
      <c r="C809" s="36" t="n"/>
      <c r="D809" s="37" t="n"/>
    </row>
    <row r="810" customFormat="1" s="94">
      <c r="A810" s="16" t="n"/>
      <c r="C810" s="36" t="n"/>
      <c r="D810" s="37" t="n"/>
    </row>
    <row r="811" customFormat="1" s="94">
      <c r="A811" s="16" t="n"/>
      <c r="C811" s="36" t="n"/>
      <c r="D811" s="37" t="n"/>
    </row>
    <row r="812" customFormat="1" s="94">
      <c r="A812" s="16" t="n"/>
      <c r="C812" s="36" t="n"/>
      <c r="D812" s="37" t="n"/>
    </row>
    <row r="813" customFormat="1" s="94">
      <c r="A813" s="16" t="n"/>
      <c r="C813" s="36" t="n"/>
      <c r="D813" s="37" t="n"/>
    </row>
    <row r="814" customFormat="1" s="94">
      <c r="A814" s="16" t="n"/>
      <c r="C814" s="36" t="n"/>
      <c r="D814" s="37" t="n"/>
    </row>
    <row r="815" customFormat="1" s="94">
      <c r="A815" s="16" t="n"/>
      <c r="C815" s="36" t="n"/>
      <c r="D815" s="37" t="n"/>
    </row>
    <row r="816">
      <c r="A816" s="16" t="n"/>
      <c r="B816" s="94" t="n"/>
      <c r="C816" s="36" t="n"/>
      <c r="D816" s="37" t="n"/>
      <c r="E816" s="94" t="n"/>
      <c r="F816" s="94" t="n"/>
      <c r="G816" s="94" t="n"/>
      <c r="H816" s="94" t="n"/>
      <c r="I816" s="94" t="n"/>
      <c r="J816" s="94" t="n"/>
      <c r="K816" s="94" t="n"/>
      <c r="L816" s="94" t="n"/>
      <c r="M816" s="94" t="n"/>
      <c r="N816" s="94" t="n"/>
      <c r="O816" s="94" t="n"/>
      <c r="P816" s="94" t="n"/>
      <c r="Q816" s="94" t="n"/>
    </row>
    <row r="817">
      <c r="A817" s="16" t="n"/>
      <c r="B817" s="94" t="n"/>
      <c r="C817" s="36" t="n"/>
      <c r="D817" s="37" t="n"/>
      <c r="E817" s="94" t="n"/>
      <c r="F817" s="94" t="n"/>
      <c r="G817" s="94" t="n"/>
      <c r="H817" s="94" t="n"/>
      <c r="I817" s="94" t="n"/>
      <c r="J817" s="94" t="n"/>
      <c r="K817" s="94" t="n"/>
      <c r="L817" s="94" t="n"/>
      <c r="M817" s="94" t="n"/>
      <c r="N817" s="94" t="n"/>
      <c r="O817" s="94" t="n"/>
      <c r="P817" s="94" t="n"/>
      <c r="Q817" s="94" t="n"/>
    </row>
    <row r="818">
      <c r="A818" s="16" t="n"/>
      <c r="B818" s="94" t="n"/>
      <c r="C818" s="36" t="n"/>
      <c r="D818" s="37" t="n"/>
      <c r="E818" s="94" t="n"/>
      <c r="F818" s="94" t="n"/>
      <c r="G818" s="94" t="n"/>
      <c r="H818" s="94" t="n"/>
      <c r="I818" s="94" t="n"/>
      <c r="J818" s="94" t="n"/>
      <c r="K818" s="94" t="n"/>
      <c r="L818" s="94" t="n"/>
      <c r="M818" s="94" t="n"/>
      <c r="N818" s="94" t="n"/>
      <c r="O818" s="94" t="n"/>
      <c r="P818" s="94" t="n"/>
      <c r="Q818" s="94" t="n"/>
    </row>
    <row r="819">
      <c r="A819" s="16" t="n"/>
      <c r="B819" s="94" t="n"/>
      <c r="C819" s="36" t="n"/>
      <c r="D819" s="37" t="n"/>
      <c r="E819" s="94" t="n"/>
      <c r="F819" s="94" t="n"/>
      <c r="G819" s="94" t="n"/>
      <c r="H819" s="94" t="n"/>
      <c r="I819" s="94" t="n"/>
      <c r="J819" s="94" t="n"/>
      <c r="K819" s="94" t="n"/>
      <c r="L819" s="94" t="n"/>
      <c r="M819" s="94" t="n"/>
      <c r="N819" s="94" t="n"/>
      <c r="O819" s="94" t="n"/>
      <c r="P819" s="94" t="n"/>
      <c r="Q819" s="94" t="n"/>
    </row>
    <row r="820">
      <c r="A820" s="16" t="n"/>
      <c r="B820" s="94" t="n"/>
      <c r="C820" s="36" t="n"/>
      <c r="D820" s="37" t="n"/>
      <c r="E820" s="94" t="n"/>
      <c r="F820" s="94" t="n"/>
      <c r="G820" s="94" t="n"/>
      <c r="H820" s="94" t="n"/>
      <c r="I820" s="94" t="n"/>
      <c r="J820" s="94" t="n"/>
      <c r="K820" s="94" t="n"/>
      <c r="L820" s="94" t="n"/>
      <c r="M820" s="94" t="n"/>
      <c r="N820" s="94" t="n"/>
      <c r="O820" s="94" t="n"/>
      <c r="P820" s="94" t="n"/>
      <c r="Q820" s="94" t="n"/>
    </row>
    <row r="821">
      <c r="A821" s="16" t="n"/>
      <c r="B821" s="94" t="n"/>
      <c r="C821" s="36" t="n"/>
      <c r="D821" s="37" t="n"/>
      <c r="E821" s="94" t="n"/>
      <c r="F821" s="94" t="n"/>
      <c r="G821" s="94" t="n"/>
      <c r="H821" s="94" t="n"/>
      <c r="I821" s="94" t="n"/>
      <c r="J821" s="94" t="n"/>
      <c r="K821" s="94" t="n"/>
      <c r="L821" s="94" t="n"/>
      <c r="M821" s="94" t="n"/>
      <c r="N821" s="94" t="n"/>
      <c r="O821" s="94" t="n"/>
      <c r="P821" s="94" t="n"/>
      <c r="Q821" s="94" t="n"/>
    </row>
    <row r="822">
      <c r="A822" s="16" t="n"/>
      <c r="B822" s="94" t="n"/>
      <c r="C822" s="36" t="n"/>
      <c r="D822" s="37" t="n"/>
      <c r="E822" s="94" t="n"/>
      <c r="F822" s="94" t="n"/>
      <c r="G822" s="94" t="n"/>
      <c r="H822" s="94" t="n"/>
      <c r="I822" s="94" t="n"/>
      <c r="J822" s="94" t="n"/>
      <c r="K822" s="94" t="n"/>
      <c r="L822" s="94" t="n"/>
      <c r="M822" s="94" t="n"/>
      <c r="N822" s="94" t="n"/>
      <c r="O822" s="94" t="n"/>
      <c r="P822" s="94" t="n"/>
      <c r="Q822" s="94" t="n"/>
    </row>
    <row r="823">
      <c r="A823" s="16" t="n"/>
      <c r="B823" s="94" t="n"/>
      <c r="C823" s="36" t="n"/>
      <c r="D823" s="37" t="n"/>
      <c r="E823" s="94" t="n"/>
      <c r="F823" s="94" t="n"/>
      <c r="G823" s="94" t="n"/>
      <c r="H823" s="94" t="n"/>
      <c r="I823" s="94" t="n"/>
      <c r="J823" s="94" t="n"/>
      <c r="K823" s="94" t="n"/>
      <c r="L823" s="94" t="n"/>
      <c r="M823" s="94" t="n"/>
      <c r="N823" s="94" t="n"/>
      <c r="O823" s="94" t="n"/>
      <c r="P823" s="94" t="n"/>
      <c r="Q823" s="94" t="n"/>
    </row>
    <row r="824">
      <c r="A824" s="16" t="n"/>
      <c r="B824" s="94" t="n"/>
      <c r="C824" s="36" t="n"/>
      <c r="D824" s="37" t="n"/>
      <c r="E824" s="94" t="n"/>
      <c r="F824" s="94" t="n"/>
      <c r="G824" s="94" t="n"/>
      <c r="H824" s="94" t="n"/>
      <c r="I824" s="94" t="n"/>
      <c r="J824" s="94" t="n"/>
      <c r="K824" s="94" t="n"/>
      <c r="L824" s="94" t="n"/>
      <c r="M824" s="94" t="n"/>
      <c r="N824" s="94" t="n"/>
      <c r="O824" s="94" t="n"/>
      <c r="P824" s="94" t="n"/>
      <c r="Q824" s="94" t="n"/>
    </row>
    <row r="825">
      <c r="A825" s="16" t="n"/>
      <c r="B825" s="94" t="n"/>
      <c r="C825" s="36" t="n"/>
      <c r="D825" s="37" t="n"/>
      <c r="E825" s="94" t="n"/>
      <c r="F825" s="94" t="n"/>
      <c r="G825" s="94" t="n"/>
      <c r="H825" s="94" t="n"/>
      <c r="I825" s="94" t="n"/>
      <c r="J825" s="94" t="n"/>
      <c r="K825" s="94" t="n"/>
      <c r="L825" s="94" t="n"/>
      <c r="M825" s="94" t="n"/>
      <c r="N825" s="94" t="n"/>
      <c r="O825" s="94" t="n"/>
      <c r="P825" s="94" t="n"/>
      <c r="Q825" s="94" t="n"/>
    </row>
    <row r="826">
      <c r="A826" s="16" t="n"/>
      <c r="B826" s="94" t="n"/>
      <c r="C826" s="36" t="n"/>
      <c r="D826" s="37" t="n"/>
      <c r="E826" s="94" t="n"/>
      <c r="F826" s="94" t="n"/>
      <c r="G826" s="94" t="n"/>
      <c r="H826" s="94" t="n"/>
      <c r="I826" s="94" t="n"/>
      <c r="J826" s="94" t="n"/>
      <c r="K826" s="94" t="n"/>
      <c r="L826" s="94" t="n"/>
      <c r="M826" s="94" t="n"/>
      <c r="N826" s="94" t="n"/>
      <c r="O826" s="94" t="n"/>
      <c r="P826" s="94" t="n"/>
      <c r="Q826" s="94" t="n"/>
    </row>
    <row r="827">
      <c r="A827" s="16" t="n"/>
      <c r="B827" s="94" t="n"/>
      <c r="C827" s="36" t="n"/>
      <c r="D827" s="37" t="n"/>
      <c r="E827" s="94" t="n"/>
      <c r="F827" s="94" t="n"/>
      <c r="G827" s="94" t="n"/>
      <c r="H827" s="94" t="n"/>
      <c r="I827" s="94" t="n"/>
      <c r="J827" s="94" t="n"/>
      <c r="K827" s="94" t="n"/>
      <c r="L827" s="94" t="n"/>
      <c r="M827" s="94" t="n"/>
      <c r="N827" s="94" t="n"/>
      <c r="O827" s="94" t="n"/>
      <c r="P827" s="94" t="n"/>
      <c r="Q827" s="94" t="n"/>
    </row>
    <row r="828">
      <c r="A828" s="16" t="n"/>
      <c r="B828" s="94" t="n"/>
      <c r="C828" s="36" t="n"/>
      <c r="D828" s="37" t="n"/>
      <c r="E828" s="94" t="n"/>
      <c r="F828" s="94" t="n"/>
      <c r="G828" s="94" t="n"/>
      <c r="H828" s="94" t="n"/>
      <c r="I828" s="94" t="n"/>
      <c r="J828" s="94" t="n"/>
      <c r="K828" s="94" t="n"/>
      <c r="L828" s="94" t="n"/>
      <c r="M828" s="94" t="n"/>
      <c r="N828" s="94" t="n"/>
      <c r="O828" s="94" t="n"/>
      <c r="P828" s="94" t="n"/>
      <c r="Q828" s="94" t="n"/>
    </row>
    <row r="829">
      <c r="A829" s="16" t="n"/>
      <c r="B829" s="94" t="n"/>
      <c r="C829" s="36" t="n"/>
      <c r="D829" s="37" t="n"/>
      <c r="E829" s="94" t="n"/>
      <c r="F829" s="94" t="n"/>
      <c r="G829" s="94" t="n"/>
      <c r="H829" s="94" t="n"/>
      <c r="I829" s="94" t="n"/>
      <c r="J829" s="94" t="n"/>
      <c r="K829" s="94" t="n"/>
      <c r="L829" s="94" t="n"/>
      <c r="M829" s="94" t="n"/>
      <c r="N829" s="94" t="n"/>
      <c r="O829" s="94" t="n"/>
      <c r="P829" s="94" t="n"/>
      <c r="Q829" s="94" t="n"/>
    </row>
    <row r="830">
      <c r="A830" s="16" t="n"/>
      <c r="B830" s="94" t="n"/>
      <c r="C830" s="36" t="n"/>
      <c r="D830" s="37" t="n"/>
      <c r="E830" s="94" t="n"/>
      <c r="F830" s="94" t="n"/>
      <c r="G830" s="94" t="n"/>
      <c r="H830" s="94" t="n"/>
      <c r="I830" s="94" t="n"/>
      <c r="J830" s="94" t="n"/>
      <c r="K830" s="94" t="n"/>
      <c r="L830" s="94" t="n"/>
      <c r="M830" s="94" t="n"/>
      <c r="N830" s="94" t="n"/>
      <c r="O830" s="94" t="n"/>
      <c r="P830" s="94" t="n"/>
      <c r="Q830" s="94" t="n"/>
    </row>
    <row r="831">
      <c r="A831" s="16" t="n"/>
      <c r="B831" s="94" t="n"/>
      <c r="C831" s="36" t="n"/>
      <c r="D831" s="37" t="n"/>
      <c r="E831" s="94" t="n"/>
      <c r="F831" s="94" t="n"/>
      <c r="G831" s="94" t="n"/>
      <c r="H831" s="94" t="n"/>
      <c r="I831" s="94" t="n"/>
      <c r="J831" s="94" t="n"/>
      <c r="K831" s="94" t="n"/>
      <c r="L831" s="94" t="n"/>
      <c r="M831" s="94" t="n"/>
      <c r="N831" s="94" t="n"/>
      <c r="O831" s="94" t="n"/>
      <c r="P831" s="94" t="n"/>
      <c r="Q831" s="94" t="n"/>
    </row>
    <row r="832">
      <c r="A832" s="16" t="n"/>
      <c r="B832" s="94" t="n"/>
      <c r="C832" s="36" t="n"/>
      <c r="D832" s="37" t="n"/>
      <c r="E832" s="94" t="n"/>
      <c r="F832" s="94" t="n"/>
      <c r="G832" s="94" t="n"/>
      <c r="H832" s="94" t="n"/>
      <c r="I832" s="94" t="n"/>
      <c r="J832" s="94" t="n"/>
      <c r="K832" s="94" t="n"/>
      <c r="L832" s="94" t="n"/>
      <c r="M832" s="94" t="n"/>
      <c r="N832" s="94" t="n"/>
      <c r="O832" s="94" t="n"/>
      <c r="P832" s="94" t="n"/>
      <c r="Q832" s="94" t="n"/>
    </row>
    <row r="833">
      <c r="A833" s="16" t="n"/>
      <c r="B833" s="94" t="n"/>
      <c r="C833" s="36" t="n"/>
      <c r="D833" s="37" t="n"/>
      <c r="E833" s="94" t="n"/>
      <c r="F833" s="94" t="n"/>
      <c r="G833" s="94" t="n"/>
      <c r="H833" s="94" t="n"/>
      <c r="I833" s="94" t="n"/>
      <c r="J833" s="94" t="n"/>
      <c r="K833" s="94" t="n"/>
      <c r="L833" s="94" t="n"/>
      <c r="M833" s="94" t="n"/>
      <c r="N833" s="94" t="n"/>
      <c r="O833" s="94" t="n"/>
      <c r="P833" s="94" t="n"/>
      <c r="Q833" s="94" t="n"/>
    </row>
    <row r="834">
      <c r="A834" s="16" t="n"/>
      <c r="B834" s="94" t="n"/>
      <c r="C834" s="36" t="n"/>
      <c r="D834" s="37" t="n"/>
      <c r="E834" s="94" t="n"/>
      <c r="F834" s="94" t="n"/>
      <c r="G834" s="94" t="n"/>
      <c r="H834" s="94" t="n"/>
      <c r="I834" s="94" t="n"/>
      <c r="J834" s="94" t="n"/>
      <c r="K834" s="94" t="n"/>
      <c r="L834" s="94" t="n"/>
      <c r="M834" s="94" t="n"/>
      <c r="N834" s="94" t="n"/>
      <c r="O834" s="94" t="n"/>
      <c r="P834" s="94" t="n"/>
      <c r="Q834" s="94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A1:DY1001"/>
  <sheetViews>
    <sheetView zoomScale="130" zoomScaleNormal="130" workbookViewId="0">
      <pane ySplit="4" topLeftCell="A305" activePane="bottomLeft" state="frozen"/>
      <selection pane="bottomLeft" activeCell="B351" sqref="B351"/>
    </sheetView>
  </sheetViews>
  <sheetFormatPr baseColWidth="10" defaultColWidth="8.83203125" defaultRowHeight="15"/>
  <cols>
    <col width="14.1640625" customWidth="1" style="1" min="1" max="1"/>
    <col width="12.6640625" bestFit="1" customWidth="1" style="82" min="2" max="2"/>
    <col width="11.6640625" customWidth="1" style="9" min="3" max="4"/>
    <col width="9.1640625" customWidth="1" style="94" min="5" max="129"/>
  </cols>
  <sheetData>
    <row r="1" customFormat="1" s="27">
      <c r="A1" s="35" t="inlineStr">
        <is>
          <t>*Country Code in B4</t>
        </is>
      </c>
      <c r="C1" s="31" t="n"/>
      <c r="D1" s="31" t="n"/>
      <c r="E1" s="28" t="n"/>
      <c r="F1" s="28" t="n"/>
      <c r="G1" s="30">
        <f>VLOOKUP(O1,Note!O:P,2,)</f>
        <v/>
      </c>
      <c r="H1" s="28" t="n"/>
      <c r="I1" s="28" t="n"/>
      <c r="J1" s="28" t="n"/>
      <c r="K1" s="28" t="n"/>
      <c r="L1" s="28" t="n"/>
      <c r="M1" s="28" t="n"/>
      <c r="N1" s="28" t="n"/>
      <c r="O1" s="32">
        <f>Table13456789101112131415161734[[#Headers],[FRA]]</f>
        <v/>
      </c>
      <c r="P1" s="28" t="n"/>
      <c r="Q1" s="28" t="n"/>
      <c r="R1" s="28" t="n"/>
      <c r="S1" s="28" t="n"/>
      <c r="T1" s="28" t="n"/>
      <c r="U1" s="28" t="n"/>
      <c r="V1" s="28" t="n"/>
      <c r="W1" s="28" t="n"/>
      <c r="X1" s="28" t="n"/>
      <c r="Y1" s="28" t="n"/>
      <c r="Z1" s="28" t="n"/>
      <c r="AA1" s="28" t="n"/>
      <c r="AB1" s="28" t="n"/>
      <c r="AC1" s="28" t="n"/>
      <c r="AD1" s="28" t="n"/>
      <c r="AE1" s="28" t="n"/>
      <c r="AF1" s="28" t="n"/>
      <c r="AG1" s="28" t="n"/>
      <c r="AH1" s="28" t="n"/>
      <c r="AI1" s="28" t="n"/>
      <c r="AJ1" s="28" t="n"/>
      <c r="AK1" s="28" t="n"/>
      <c r="AL1" s="28" t="n"/>
      <c r="AM1" s="28" t="n"/>
      <c r="AN1" s="28" t="n"/>
      <c r="AO1" s="28" t="n"/>
      <c r="AP1" s="28" t="n"/>
      <c r="AQ1" s="28" t="n"/>
      <c r="AR1" s="28" t="n"/>
      <c r="AS1" s="28" t="n"/>
      <c r="AT1" s="28" t="n"/>
      <c r="AU1" s="28" t="n"/>
      <c r="AV1" s="28" t="n"/>
      <c r="AW1" s="28" t="n"/>
      <c r="AX1" s="28" t="n"/>
      <c r="AY1" s="28" t="n"/>
      <c r="AZ1" s="28" t="n"/>
      <c r="BA1" s="28" t="n"/>
      <c r="BB1" s="28" t="n"/>
      <c r="BC1" s="28" t="n"/>
      <c r="BD1" s="28" t="n"/>
      <c r="BE1" s="28" t="n"/>
      <c r="BF1" s="28" t="n"/>
      <c r="BG1" s="28" t="n"/>
      <c r="BH1" s="28" t="n"/>
      <c r="BI1" s="28" t="n"/>
      <c r="BJ1" s="28" t="n"/>
      <c r="BK1" s="28" t="n"/>
      <c r="BL1" s="28" t="n"/>
      <c r="BM1" s="28" t="n"/>
      <c r="BN1" s="28" t="n"/>
      <c r="BO1" s="28" t="n"/>
      <c r="BP1" s="28" t="n"/>
      <c r="BQ1" s="28" t="n"/>
      <c r="BR1" s="28" t="n"/>
      <c r="BS1" s="28" t="n"/>
      <c r="BT1" s="28" t="n"/>
      <c r="BU1" s="28" t="n"/>
      <c r="BV1" s="28" t="n"/>
      <c r="BW1" s="28" t="n"/>
      <c r="BX1" s="28" t="n"/>
      <c r="BY1" s="28" t="n"/>
      <c r="BZ1" s="28" t="n"/>
      <c r="CA1" s="28" t="n"/>
      <c r="CB1" s="28" t="n"/>
      <c r="CC1" s="28" t="n"/>
      <c r="CD1" s="28" t="n"/>
      <c r="CE1" s="28" t="n"/>
      <c r="CF1" s="28" t="n"/>
      <c r="CG1" s="28" t="n"/>
      <c r="CH1" s="28" t="n"/>
      <c r="CI1" s="28" t="n"/>
      <c r="CJ1" s="28" t="n"/>
      <c r="CK1" s="28" t="n"/>
      <c r="CL1" s="28" t="n"/>
      <c r="CM1" s="28" t="n"/>
      <c r="CN1" s="28" t="n"/>
      <c r="CO1" s="28" t="n"/>
      <c r="CP1" s="28" t="n"/>
      <c r="CQ1" s="28" t="n"/>
      <c r="CR1" s="28" t="n"/>
      <c r="CS1" s="28" t="n"/>
      <c r="CT1" s="28" t="n"/>
      <c r="CU1" s="28" t="n"/>
      <c r="CV1" s="28" t="n"/>
      <c r="CW1" s="28" t="n"/>
      <c r="CX1" s="28" t="n"/>
      <c r="CY1" s="28" t="n"/>
      <c r="CZ1" s="28" t="n"/>
      <c r="DA1" s="28" t="n"/>
      <c r="DB1" s="28" t="n"/>
      <c r="DC1" s="28" t="n"/>
      <c r="DD1" s="28" t="n"/>
      <c r="DE1" s="28" t="n"/>
      <c r="DF1" s="28" t="n"/>
      <c r="DG1" s="28" t="n"/>
      <c r="DH1" s="28" t="n"/>
      <c r="DI1" s="28" t="n"/>
      <c r="DJ1" s="28" t="n"/>
      <c r="DK1" s="28" t="n"/>
      <c r="DL1" s="28" t="n"/>
      <c r="DM1" s="28" t="n"/>
      <c r="DN1" s="28" t="n"/>
      <c r="DO1" s="28" t="n"/>
      <c r="DP1" s="28" t="n"/>
      <c r="DQ1" s="28" t="n"/>
      <c r="DR1" s="28" t="n"/>
      <c r="DS1" s="28" t="n"/>
      <c r="DT1" s="28" t="n"/>
      <c r="DU1" s="28" t="n"/>
      <c r="DV1" s="28" t="n"/>
      <c r="DW1" s="28" t="n"/>
      <c r="DX1" s="28" t="n"/>
      <c r="DY1" s="28" t="n"/>
    </row>
    <row r="2" customFormat="1" s="27">
      <c r="A2" s="34" t="inlineStr">
        <is>
          <t>Example FRA for France USA for the U.S.</t>
        </is>
      </c>
      <c r="B2" s="30" t="n"/>
      <c r="C2" s="31" t="n"/>
      <c r="D2" s="31" t="n"/>
      <c r="E2" s="28" t="n"/>
      <c r="F2" s="28" t="n"/>
      <c r="G2" s="30">
        <f>G1&amp;" Industrial Production mom"</f>
        <v/>
      </c>
      <c r="H2" s="28" t="n"/>
      <c r="I2" s="28" t="n"/>
      <c r="J2" s="28" t="n"/>
      <c r="K2" s="28" t="n"/>
      <c r="L2" s="28" t="n"/>
      <c r="M2" s="28" t="n"/>
      <c r="N2" s="28" t="n"/>
      <c r="O2" s="28" t="n"/>
      <c r="P2" s="28" t="n"/>
      <c r="Q2" s="28" t="n"/>
      <c r="R2" s="28" t="n"/>
      <c r="S2" s="28" t="n"/>
      <c r="T2" s="28" t="n"/>
      <c r="U2" s="28" t="n"/>
      <c r="V2" s="28" t="n"/>
      <c r="W2" s="28" t="n"/>
      <c r="X2" s="28" t="n"/>
      <c r="Y2" s="28" t="n"/>
      <c r="Z2" s="28" t="n"/>
      <c r="AA2" s="28" t="n"/>
      <c r="AB2" s="28" t="n"/>
      <c r="AC2" s="28" t="n"/>
      <c r="AD2" s="28" t="n"/>
      <c r="AE2" s="28" t="n"/>
      <c r="AF2" s="28" t="n"/>
      <c r="AG2" s="28" t="n"/>
      <c r="AH2" s="28" t="n"/>
      <c r="AI2" s="28" t="n"/>
      <c r="AJ2" s="28" t="n"/>
      <c r="AK2" s="28" t="n"/>
      <c r="AL2" s="28" t="n"/>
      <c r="AM2" s="28" t="n"/>
      <c r="AN2" s="28" t="n"/>
      <c r="AO2" s="28" t="n"/>
      <c r="AP2" s="28" t="n"/>
      <c r="AQ2" s="28" t="n"/>
      <c r="AR2" s="28" t="n"/>
      <c r="AS2" s="28" t="n"/>
      <c r="AT2" s="28" t="n"/>
      <c r="AU2" s="28" t="n"/>
      <c r="AV2" s="28" t="n"/>
      <c r="AW2" s="28" t="n"/>
      <c r="AX2" s="28" t="n"/>
      <c r="AY2" s="28" t="n"/>
      <c r="AZ2" s="28" t="n"/>
      <c r="BA2" s="28" t="n"/>
      <c r="BB2" s="28" t="n"/>
      <c r="BC2" s="28" t="n"/>
      <c r="BD2" s="28" t="n"/>
      <c r="BE2" s="28" t="n"/>
      <c r="BF2" s="28" t="n"/>
      <c r="BG2" s="28" t="n"/>
      <c r="BH2" s="28" t="n"/>
      <c r="BI2" s="28" t="n"/>
      <c r="BJ2" s="28" t="n"/>
      <c r="BK2" s="28" t="n"/>
      <c r="BL2" s="28" t="n"/>
      <c r="BM2" s="28" t="n"/>
      <c r="BN2" s="28" t="n"/>
      <c r="BO2" s="28" t="n"/>
      <c r="BP2" s="28" t="n"/>
      <c r="BQ2" s="28" t="n"/>
      <c r="BR2" s="28" t="n"/>
      <c r="BS2" s="28" t="n"/>
      <c r="BT2" s="28" t="n"/>
      <c r="BU2" s="28" t="n"/>
      <c r="BV2" s="28" t="n"/>
      <c r="BW2" s="28" t="n"/>
      <c r="BX2" s="28" t="n"/>
      <c r="BY2" s="28" t="n"/>
      <c r="BZ2" s="28" t="n"/>
      <c r="CA2" s="28" t="n"/>
      <c r="CB2" s="28" t="n"/>
      <c r="CC2" s="28" t="n"/>
      <c r="CD2" s="28" t="n"/>
      <c r="CE2" s="28" t="n"/>
      <c r="CF2" s="28" t="n"/>
      <c r="CG2" s="28" t="n"/>
      <c r="CH2" s="28" t="n"/>
      <c r="CI2" s="28" t="n"/>
      <c r="CJ2" s="28" t="n"/>
      <c r="CK2" s="28" t="n"/>
      <c r="CL2" s="28" t="n"/>
      <c r="CM2" s="28" t="n"/>
      <c r="CN2" s="28" t="n"/>
      <c r="CO2" s="28" t="n"/>
      <c r="CP2" s="28" t="n"/>
      <c r="CQ2" s="28" t="n"/>
      <c r="CR2" s="28" t="n"/>
      <c r="CS2" s="28" t="n"/>
      <c r="CT2" s="28" t="n"/>
      <c r="CU2" s="28" t="n"/>
      <c r="CV2" s="28" t="n"/>
      <c r="CW2" s="28" t="n"/>
      <c r="CX2" s="28" t="n"/>
      <c r="CY2" s="28" t="n"/>
      <c r="CZ2" s="28" t="n"/>
      <c r="DA2" s="28" t="n"/>
      <c r="DB2" s="28" t="n"/>
      <c r="DC2" s="28" t="n"/>
      <c r="DD2" s="28" t="n"/>
      <c r="DE2" s="28" t="n"/>
      <c r="DF2" s="28" t="n"/>
      <c r="DG2" s="28" t="n"/>
      <c r="DH2" s="28" t="n"/>
      <c r="DI2" s="28" t="n"/>
      <c r="DJ2" s="28" t="n"/>
      <c r="DK2" s="28" t="n"/>
      <c r="DL2" s="28" t="n"/>
      <c r="DM2" s="28" t="n"/>
      <c r="DN2" s="28" t="n"/>
      <c r="DO2" s="28" t="n"/>
      <c r="DP2" s="28" t="n"/>
      <c r="DQ2" s="28" t="n"/>
      <c r="DR2" s="28" t="n"/>
      <c r="DS2" s="28" t="n"/>
      <c r="DT2" s="28" t="n"/>
      <c r="DU2" s="28" t="n"/>
      <c r="DV2" s="28" t="n"/>
      <c r="DW2" s="28" t="n"/>
      <c r="DX2" s="28" t="n"/>
      <c r="DY2" s="28" t="n"/>
    </row>
    <row r="3" customFormat="1" s="27">
      <c r="A3" s="29" t="n"/>
      <c r="B3" s="30" t="n"/>
      <c r="C3" s="31" t="n"/>
      <c r="D3" s="31" t="n"/>
      <c r="E3" s="28" t="n"/>
      <c r="F3" s="28" t="n"/>
      <c r="G3" s="30">
        <f>G1&amp;" Industrial Production yoy"</f>
        <v/>
      </c>
      <c r="H3" s="28" t="n"/>
      <c r="I3" s="28" t="n"/>
      <c r="J3" s="28" t="n"/>
      <c r="K3" s="28" t="n"/>
      <c r="L3" s="28" t="n"/>
      <c r="M3" s="28" t="n"/>
      <c r="N3" s="28" t="n"/>
      <c r="O3" s="28" t="n"/>
      <c r="P3" s="28" t="n"/>
      <c r="Q3" s="28" t="n"/>
      <c r="R3" s="28" t="n"/>
      <c r="S3" s="28" t="n"/>
      <c r="T3" s="28" t="n"/>
      <c r="U3" s="28" t="n"/>
      <c r="V3" s="28" t="n"/>
      <c r="W3" s="28" t="n"/>
      <c r="X3" s="28" t="n"/>
      <c r="Y3" s="28" t="n"/>
      <c r="Z3" s="28" t="n"/>
      <c r="AA3" s="28" t="n"/>
      <c r="AB3" s="28" t="n"/>
      <c r="AC3" s="28" t="n"/>
      <c r="AD3" s="28" t="n"/>
      <c r="AE3" s="28" t="n"/>
      <c r="AF3" s="28" t="n"/>
      <c r="AG3" s="28" t="n"/>
      <c r="AH3" s="28" t="n"/>
      <c r="AI3" s="28" t="n"/>
      <c r="AJ3" s="28" t="n"/>
      <c r="AK3" s="28" t="n"/>
      <c r="AL3" s="28" t="n"/>
      <c r="AM3" s="28" t="n"/>
      <c r="AN3" s="28" t="n"/>
      <c r="AO3" s="28" t="n"/>
      <c r="AP3" s="28" t="n"/>
      <c r="AQ3" s="28" t="n"/>
      <c r="AR3" s="28" t="n"/>
      <c r="AS3" s="28" t="n"/>
      <c r="AT3" s="28" t="n"/>
      <c r="AU3" s="28" t="n"/>
      <c r="AV3" s="28" t="n"/>
      <c r="AW3" s="28" t="n"/>
      <c r="AX3" s="28" t="n"/>
      <c r="AY3" s="28" t="n"/>
      <c r="AZ3" s="28" t="n"/>
      <c r="BA3" s="28" t="n"/>
      <c r="BB3" s="28" t="n"/>
      <c r="BC3" s="28" t="n"/>
      <c r="BD3" s="28" t="n"/>
      <c r="BE3" s="28" t="n"/>
      <c r="BF3" s="28" t="n"/>
      <c r="BG3" s="28" t="n"/>
      <c r="BH3" s="28" t="n"/>
      <c r="BI3" s="28" t="n"/>
      <c r="BJ3" s="28" t="n"/>
      <c r="BK3" s="28" t="n"/>
      <c r="BL3" s="28" t="n"/>
      <c r="BM3" s="28" t="n"/>
      <c r="BN3" s="28" t="n"/>
      <c r="BO3" s="28" t="n"/>
      <c r="BP3" s="28" t="n"/>
      <c r="BQ3" s="28" t="n"/>
      <c r="BR3" s="28" t="n"/>
      <c r="BS3" s="28" t="n"/>
      <c r="BT3" s="28" t="n"/>
      <c r="BU3" s="28" t="n"/>
      <c r="BV3" s="28" t="n"/>
      <c r="BW3" s="28" t="n"/>
      <c r="BX3" s="28" t="n"/>
      <c r="BY3" s="28" t="n"/>
      <c r="BZ3" s="28" t="n"/>
      <c r="CA3" s="28" t="n"/>
      <c r="CB3" s="28" t="n"/>
      <c r="CC3" s="28" t="n"/>
      <c r="CD3" s="28" t="n"/>
      <c r="CE3" s="28" t="n"/>
      <c r="CF3" s="28" t="n"/>
      <c r="CG3" s="28" t="n"/>
      <c r="CH3" s="28" t="n"/>
      <c r="CI3" s="28" t="n"/>
      <c r="CJ3" s="28" t="n"/>
      <c r="CK3" s="28" t="n"/>
      <c r="CL3" s="28" t="n"/>
      <c r="CM3" s="28" t="n"/>
      <c r="CN3" s="28" t="n"/>
      <c r="CO3" s="28" t="n"/>
      <c r="CP3" s="28" t="n"/>
      <c r="CQ3" s="28" t="n"/>
      <c r="CR3" s="28" t="n"/>
      <c r="CS3" s="28" t="n"/>
      <c r="CT3" s="28" t="n"/>
      <c r="CU3" s="28" t="n"/>
      <c r="CV3" s="28" t="n"/>
      <c r="CW3" s="28" t="n"/>
      <c r="CX3" s="28" t="n"/>
      <c r="CY3" s="28" t="n"/>
      <c r="CZ3" s="28" t="n"/>
      <c r="DA3" s="28" t="n"/>
      <c r="DB3" s="28" t="n"/>
      <c r="DC3" s="28" t="n"/>
      <c r="DD3" s="28" t="n"/>
      <c r="DE3" s="28" t="n"/>
      <c r="DF3" s="28" t="n"/>
      <c r="DG3" s="28" t="n"/>
      <c r="DH3" s="28" t="n"/>
      <c r="DI3" s="28" t="n"/>
      <c r="DJ3" s="28" t="n"/>
      <c r="DK3" s="28" t="n"/>
      <c r="DL3" s="28" t="n"/>
      <c r="DM3" s="28" t="n"/>
      <c r="DN3" s="28" t="n"/>
      <c r="DO3" s="28" t="n"/>
      <c r="DP3" s="28" t="n"/>
      <c r="DQ3" s="28" t="n"/>
      <c r="DR3" s="28" t="n"/>
      <c r="DS3" s="28" t="n"/>
      <c r="DT3" s="28" t="n"/>
      <c r="DU3" s="28" t="n"/>
      <c r="DV3" s="28" t="n"/>
      <c r="DW3" s="28" t="n"/>
      <c r="DX3" s="28" t="n"/>
      <c r="DY3" s="28" t="n"/>
    </row>
    <row r="4">
      <c r="A4" s="25" t="inlineStr">
        <is>
          <t>Month</t>
        </is>
      </c>
      <c r="B4" s="33" t="inlineStr">
        <is>
          <t>FRA</t>
        </is>
      </c>
      <c r="C4" s="26" t="inlineStr">
        <is>
          <t>mom</t>
        </is>
      </c>
      <c r="D4" s="26" t="inlineStr">
        <is>
          <t>yoy</t>
        </is>
      </c>
      <c r="G4" s="30">
        <f>G1&amp;" Industrial Production"</f>
        <v/>
      </c>
    </row>
    <row r="5">
      <c r="A5" s="22" t="n">
        <v>33208</v>
      </c>
      <c r="B5" s="86">
        <f>VLOOKUP(A5,Database!$A:$AS,MATCH($B$4,Database!$A$1:$AS$1,0),FALSE)</f>
        <v/>
      </c>
      <c r="C5" s="23" t="n"/>
      <c r="D5" s="24" t="n"/>
    </row>
    <row r="6">
      <c r="A6" s="22" t="n">
        <v>33239</v>
      </c>
      <c r="B6" s="86">
        <f>VLOOKUP(A6,Database!$A:$AS,MATCH($B$4,Database!$A$1:$AS$1,0),FALSE)</f>
        <v/>
      </c>
      <c r="C6" s="23">
        <f>(Table13456789101112131415161734[[#This Row],[FRA]]-B5)/B5</f>
        <v/>
      </c>
      <c r="D6" s="24" t="n"/>
    </row>
    <row r="7">
      <c r="A7" s="22" t="n">
        <v>33270</v>
      </c>
      <c r="B7" s="86">
        <f>VLOOKUP(A7,Database!$A:$AS,MATCH($B$4,Database!$A$1:$AS$1,0),FALSE)</f>
        <v/>
      </c>
      <c r="C7" s="23">
        <f>(Table13456789101112131415161734[[#This Row],[FRA]]-B6)/B6</f>
        <v/>
      </c>
      <c r="D7" s="24" t="n"/>
    </row>
    <row r="8">
      <c r="A8" s="22" t="n">
        <v>33298</v>
      </c>
      <c r="B8" s="86">
        <f>VLOOKUP(A8,Database!$A:$AS,MATCH($B$4,Database!$A$1:$AS$1,0),FALSE)</f>
        <v/>
      </c>
      <c r="C8" s="23">
        <f>(Table13456789101112131415161734[[#This Row],[FRA]]-B7)/B7</f>
        <v/>
      </c>
      <c r="D8" s="24" t="n"/>
    </row>
    <row r="9">
      <c r="A9" s="22" t="n">
        <v>33329</v>
      </c>
      <c r="B9" s="86">
        <f>VLOOKUP(A9,Database!$A:$AS,MATCH($B$4,Database!$A$1:$AS$1,0),FALSE)</f>
        <v/>
      </c>
      <c r="C9" s="23">
        <f>(Table13456789101112131415161734[[#This Row],[FRA]]-B8)/B8</f>
        <v/>
      </c>
      <c r="D9" s="24" t="n"/>
    </row>
    <row r="10">
      <c r="A10" s="22" t="n">
        <v>33359</v>
      </c>
      <c r="B10" s="86">
        <f>VLOOKUP(A10,Database!$A:$AS,MATCH($B$4,Database!$A$1:$AS$1,0),FALSE)</f>
        <v/>
      </c>
      <c r="C10" s="23">
        <f>(Table13456789101112131415161734[[#This Row],[FRA]]-B9)/B9</f>
        <v/>
      </c>
      <c r="D10" s="24" t="n"/>
    </row>
    <row r="11">
      <c r="A11" s="22" t="n">
        <v>33390</v>
      </c>
      <c r="B11" s="86">
        <f>VLOOKUP(A11,Database!$A:$AS,MATCH($B$4,Database!$A$1:$AS$1,0),FALSE)</f>
        <v/>
      </c>
      <c r="C11" s="23">
        <f>(Table13456789101112131415161734[[#This Row],[FRA]]-B10)/B10</f>
        <v/>
      </c>
      <c r="D11" s="24" t="n"/>
    </row>
    <row r="12">
      <c r="A12" s="22" t="n">
        <v>33420</v>
      </c>
      <c r="B12" s="86">
        <f>VLOOKUP(A12,Database!$A:$AS,MATCH($B$4,Database!$A$1:$AS$1,0),FALSE)</f>
        <v/>
      </c>
      <c r="C12" s="23">
        <f>(Table13456789101112131415161734[[#This Row],[FRA]]-B11)/B11</f>
        <v/>
      </c>
      <c r="D12" s="24" t="n"/>
    </row>
    <row r="13">
      <c r="A13" s="22" t="n">
        <v>33451</v>
      </c>
      <c r="B13" s="86">
        <f>VLOOKUP(A13,Database!$A:$AS,MATCH($B$4,Database!$A$1:$AS$1,0),FALSE)</f>
        <v/>
      </c>
      <c r="C13" s="23">
        <f>(Table13456789101112131415161734[[#This Row],[FRA]]-B12)/B12</f>
        <v/>
      </c>
      <c r="D13" s="24" t="n"/>
    </row>
    <row r="14">
      <c r="A14" s="22" t="n">
        <v>33482</v>
      </c>
      <c r="B14" s="86">
        <f>VLOOKUP(A14,Database!$A:$AS,MATCH($B$4,Database!$A$1:$AS$1,0),FALSE)</f>
        <v/>
      </c>
      <c r="C14" s="23">
        <f>(Table13456789101112131415161734[[#This Row],[FRA]]-B13)/B13</f>
        <v/>
      </c>
      <c r="D14" s="24" t="n"/>
    </row>
    <row r="15">
      <c r="A15" s="22" t="n">
        <v>33512</v>
      </c>
      <c r="B15" s="86">
        <f>VLOOKUP(A15,Database!$A:$AS,MATCH($B$4,Database!$A$1:$AS$1,0),FALSE)</f>
        <v/>
      </c>
      <c r="C15" s="23">
        <f>(Table13456789101112131415161734[[#This Row],[FRA]]-B14)/B14</f>
        <v/>
      </c>
      <c r="D15" s="24" t="n"/>
    </row>
    <row r="16">
      <c r="A16" s="22" t="n">
        <v>33543</v>
      </c>
      <c r="B16" s="86">
        <f>VLOOKUP(A16,Database!$A:$AS,MATCH($B$4,Database!$A$1:$AS$1,0),FALSE)</f>
        <v/>
      </c>
      <c r="C16" s="23">
        <f>(Table13456789101112131415161734[[#This Row],[FRA]]-B15)/B15</f>
        <v/>
      </c>
      <c r="D16" s="24" t="n"/>
    </row>
    <row r="17">
      <c r="A17" s="22" t="n">
        <v>33573</v>
      </c>
      <c r="B17" s="86">
        <f>VLOOKUP(A17,Database!$A:$AS,MATCH($B$4,Database!$A$1:$AS$1,0),FALSE)</f>
        <v/>
      </c>
      <c r="C17" s="23">
        <f>(Table13456789101112131415161734[[#This Row],[FRA]]-B16)/B16</f>
        <v/>
      </c>
      <c r="D17" s="24">
        <f>(Table13456789101112131415161734[[#This Row],[FRA]]-B5)/B5</f>
        <v/>
      </c>
    </row>
    <row r="18">
      <c r="A18" s="22" t="n">
        <v>33604</v>
      </c>
      <c r="B18" s="86">
        <f>VLOOKUP(A18,Database!$A:$AS,MATCH($B$4,Database!$A$1:$AS$1,0),FALSE)</f>
        <v/>
      </c>
      <c r="C18" s="23">
        <f>(Table13456789101112131415161734[[#This Row],[FRA]]-B17)/B17</f>
        <v/>
      </c>
      <c r="D18" s="24">
        <f>(Table13456789101112131415161734[[#This Row],[FRA]]-B6)/B6</f>
        <v/>
      </c>
    </row>
    <row r="19">
      <c r="A19" s="22" t="n">
        <v>33635</v>
      </c>
      <c r="B19" s="86">
        <f>VLOOKUP(A19,Database!$A:$AS,MATCH($B$4,Database!$A$1:$AS$1,0),FALSE)</f>
        <v/>
      </c>
      <c r="C19" s="23">
        <f>(Table13456789101112131415161734[[#This Row],[FRA]]-B18)/B18</f>
        <v/>
      </c>
      <c r="D19" s="24">
        <f>(Table13456789101112131415161734[[#This Row],[FRA]]-B7)/B7</f>
        <v/>
      </c>
    </row>
    <row r="20">
      <c r="A20" s="22" t="n">
        <v>33664</v>
      </c>
      <c r="B20" s="86">
        <f>VLOOKUP(A20,Database!$A:$AS,MATCH($B$4,Database!$A$1:$AS$1,0),FALSE)</f>
        <v/>
      </c>
      <c r="C20" s="23">
        <f>(Table13456789101112131415161734[[#This Row],[FRA]]-B19)/B19</f>
        <v/>
      </c>
      <c r="D20" s="24">
        <f>(Table13456789101112131415161734[[#This Row],[FRA]]-B8)/B8</f>
        <v/>
      </c>
    </row>
    <row r="21">
      <c r="A21" s="22" t="n">
        <v>33695</v>
      </c>
      <c r="B21" s="86">
        <f>VLOOKUP(A21,Database!$A:$AS,MATCH($B$4,Database!$A$1:$AS$1,0),FALSE)</f>
        <v/>
      </c>
      <c r="C21" s="23">
        <f>(Table13456789101112131415161734[[#This Row],[FRA]]-B20)/B20</f>
        <v/>
      </c>
      <c r="D21" s="24">
        <f>(Table13456789101112131415161734[[#This Row],[FRA]]-B9)/B9</f>
        <v/>
      </c>
    </row>
    <row r="22">
      <c r="A22" s="22" t="n">
        <v>33725</v>
      </c>
      <c r="B22" s="86">
        <f>VLOOKUP(A22,Database!$A:$AS,MATCH($B$4,Database!$A$1:$AS$1,0),FALSE)</f>
        <v/>
      </c>
      <c r="C22" s="23">
        <f>(Table13456789101112131415161734[[#This Row],[FRA]]-B21)/B21</f>
        <v/>
      </c>
      <c r="D22" s="24">
        <f>(Table13456789101112131415161734[[#This Row],[FRA]]-B10)/B10</f>
        <v/>
      </c>
    </row>
    <row r="23">
      <c r="A23" s="22" t="n">
        <v>33756</v>
      </c>
      <c r="B23" s="86">
        <f>VLOOKUP(A23,Database!$A:$AS,MATCH($B$4,Database!$A$1:$AS$1,0),FALSE)</f>
        <v/>
      </c>
      <c r="C23" s="23">
        <f>(Table13456789101112131415161734[[#This Row],[FRA]]-B22)/B22</f>
        <v/>
      </c>
      <c r="D23" s="24">
        <f>(Table13456789101112131415161734[[#This Row],[FRA]]-B11)/B11</f>
        <v/>
      </c>
    </row>
    <row r="24">
      <c r="A24" s="22" t="n">
        <v>33786</v>
      </c>
      <c r="B24" s="86">
        <f>VLOOKUP(A24,Database!$A:$AS,MATCH($B$4,Database!$A$1:$AS$1,0),FALSE)</f>
        <v/>
      </c>
      <c r="C24" s="23">
        <f>(Table13456789101112131415161734[[#This Row],[FRA]]-B23)/B23</f>
        <v/>
      </c>
      <c r="D24" s="24">
        <f>(Table13456789101112131415161734[[#This Row],[FRA]]-B12)/B12</f>
        <v/>
      </c>
    </row>
    <row r="25">
      <c r="A25" s="22" t="n">
        <v>33817</v>
      </c>
      <c r="B25" s="86">
        <f>VLOOKUP(A25,Database!$A:$AS,MATCH($B$4,Database!$A$1:$AS$1,0),FALSE)</f>
        <v/>
      </c>
      <c r="C25" s="23">
        <f>(Table13456789101112131415161734[[#This Row],[FRA]]-B24)/B24</f>
        <v/>
      </c>
      <c r="D25" s="24">
        <f>(Table13456789101112131415161734[[#This Row],[FRA]]-B13)/B13</f>
        <v/>
      </c>
    </row>
    <row r="26">
      <c r="A26" s="22" t="n">
        <v>33848</v>
      </c>
      <c r="B26" s="86">
        <f>VLOOKUP(A26,Database!$A:$AS,MATCH($B$4,Database!$A$1:$AS$1,0),FALSE)</f>
        <v/>
      </c>
      <c r="C26" s="23">
        <f>(Table13456789101112131415161734[[#This Row],[FRA]]-B25)/B25</f>
        <v/>
      </c>
      <c r="D26" s="24">
        <f>(Table13456789101112131415161734[[#This Row],[FRA]]-B14)/B14</f>
        <v/>
      </c>
    </row>
    <row r="27">
      <c r="A27" s="22" t="n">
        <v>33878</v>
      </c>
      <c r="B27" s="86">
        <f>VLOOKUP(A27,Database!$A:$AS,MATCH($B$4,Database!$A$1:$AS$1,0),FALSE)</f>
        <v/>
      </c>
      <c r="C27" s="23">
        <f>(Table13456789101112131415161734[[#This Row],[FRA]]-B26)/B26</f>
        <v/>
      </c>
      <c r="D27" s="24">
        <f>(Table13456789101112131415161734[[#This Row],[FRA]]-B15)/B15</f>
        <v/>
      </c>
    </row>
    <row r="28">
      <c r="A28" s="22" t="n">
        <v>33909</v>
      </c>
      <c r="B28" s="86">
        <f>VLOOKUP(A28,Database!$A:$AS,MATCH($B$4,Database!$A$1:$AS$1,0),FALSE)</f>
        <v/>
      </c>
      <c r="C28" s="23">
        <f>(Table13456789101112131415161734[[#This Row],[FRA]]-B27)/B27</f>
        <v/>
      </c>
      <c r="D28" s="24">
        <f>(Table13456789101112131415161734[[#This Row],[FRA]]-B16)/B16</f>
        <v/>
      </c>
    </row>
    <row r="29">
      <c r="A29" s="22" t="n">
        <v>33939</v>
      </c>
      <c r="B29" s="86">
        <f>VLOOKUP(A29,Database!$A:$AS,MATCH($B$4,Database!$A$1:$AS$1,0),FALSE)</f>
        <v/>
      </c>
      <c r="C29" s="23">
        <f>(Table13456789101112131415161734[[#This Row],[FRA]]-B28)/B28</f>
        <v/>
      </c>
      <c r="D29" s="24">
        <f>(Table13456789101112131415161734[[#This Row],[FRA]]-B17)/B17</f>
        <v/>
      </c>
    </row>
    <row r="30">
      <c r="A30" s="22" t="n">
        <v>33970</v>
      </c>
      <c r="B30" s="86">
        <f>VLOOKUP(A30,Database!$A:$AS,MATCH($B$4,Database!$A$1:$AS$1,0),FALSE)</f>
        <v/>
      </c>
      <c r="C30" s="23">
        <f>(Table13456789101112131415161734[[#This Row],[FRA]]-B29)/B29</f>
        <v/>
      </c>
      <c r="D30" s="24">
        <f>(Table13456789101112131415161734[[#This Row],[FRA]]-B18)/B18</f>
        <v/>
      </c>
    </row>
    <row r="31">
      <c r="A31" s="22" t="n">
        <v>34001</v>
      </c>
      <c r="B31" s="86">
        <f>VLOOKUP(A31,Database!$A:$AS,MATCH($B$4,Database!$A$1:$AS$1,0),FALSE)</f>
        <v/>
      </c>
      <c r="C31" s="23">
        <f>(Table13456789101112131415161734[[#This Row],[FRA]]-B30)/B30</f>
        <v/>
      </c>
      <c r="D31" s="24">
        <f>(Table13456789101112131415161734[[#This Row],[FRA]]-B19)/B19</f>
        <v/>
      </c>
    </row>
    <row r="32">
      <c r="A32" s="22" t="n">
        <v>34029</v>
      </c>
      <c r="B32" s="86">
        <f>VLOOKUP(A32,Database!$A:$AS,MATCH($B$4,Database!$A$1:$AS$1,0),FALSE)</f>
        <v/>
      </c>
      <c r="C32" s="23">
        <f>(Table13456789101112131415161734[[#This Row],[FRA]]-B31)/B31</f>
        <v/>
      </c>
      <c r="D32" s="24">
        <f>(Table13456789101112131415161734[[#This Row],[FRA]]-B20)/B20</f>
        <v/>
      </c>
    </row>
    <row r="33">
      <c r="A33" s="22" t="n">
        <v>34060</v>
      </c>
      <c r="B33" s="86">
        <f>VLOOKUP(A33,Database!$A:$AS,MATCH($B$4,Database!$A$1:$AS$1,0),FALSE)</f>
        <v/>
      </c>
      <c r="C33" s="23">
        <f>(Table13456789101112131415161734[[#This Row],[FRA]]-B32)/B32</f>
        <v/>
      </c>
      <c r="D33" s="24">
        <f>(Table13456789101112131415161734[[#This Row],[FRA]]-B21)/B21</f>
        <v/>
      </c>
    </row>
    <row r="34">
      <c r="A34" s="22" t="n">
        <v>34090</v>
      </c>
      <c r="B34" s="86">
        <f>VLOOKUP(A34,Database!$A:$AS,MATCH($B$4,Database!$A$1:$AS$1,0),FALSE)</f>
        <v/>
      </c>
      <c r="C34" s="23">
        <f>(Table13456789101112131415161734[[#This Row],[FRA]]-B33)/B33</f>
        <v/>
      </c>
      <c r="D34" s="24">
        <f>(Table13456789101112131415161734[[#This Row],[FRA]]-B22)/B22</f>
        <v/>
      </c>
    </row>
    <row r="35">
      <c r="A35" s="22" t="n">
        <v>34121</v>
      </c>
      <c r="B35" s="86">
        <f>VLOOKUP(A35,Database!$A:$AS,MATCH($B$4,Database!$A$1:$AS$1,0),FALSE)</f>
        <v/>
      </c>
      <c r="C35" s="23">
        <f>(Table13456789101112131415161734[[#This Row],[FRA]]-B34)/B34</f>
        <v/>
      </c>
      <c r="D35" s="24">
        <f>(Table13456789101112131415161734[[#This Row],[FRA]]-B23)/B23</f>
        <v/>
      </c>
    </row>
    <row r="36">
      <c r="A36" s="22" t="n">
        <v>34151</v>
      </c>
      <c r="B36" s="86">
        <f>VLOOKUP(A36,Database!$A:$AS,MATCH($B$4,Database!$A$1:$AS$1,0),FALSE)</f>
        <v/>
      </c>
      <c r="C36" s="23">
        <f>(Table13456789101112131415161734[[#This Row],[FRA]]-B35)/B35</f>
        <v/>
      </c>
      <c r="D36" s="24">
        <f>(Table13456789101112131415161734[[#This Row],[FRA]]-B24)/B24</f>
        <v/>
      </c>
    </row>
    <row r="37">
      <c r="A37" s="22" t="n">
        <v>34182</v>
      </c>
      <c r="B37" s="86">
        <f>VLOOKUP(A37,Database!$A:$AS,MATCH($B$4,Database!$A$1:$AS$1,0),FALSE)</f>
        <v/>
      </c>
      <c r="C37" s="23">
        <f>(Table13456789101112131415161734[[#This Row],[FRA]]-B36)/B36</f>
        <v/>
      </c>
      <c r="D37" s="24">
        <f>(Table13456789101112131415161734[[#This Row],[FRA]]-B25)/B25</f>
        <v/>
      </c>
    </row>
    <row r="38">
      <c r="A38" s="22" t="n">
        <v>34213</v>
      </c>
      <c r="B38" s="86">
        <f>VLOOKUP(A38,Database!$A:$AS,MATCH($B$4,Database!$A$1:$AS$1,0),FALSE)</f>
        <v/>
      </c>
      <c r="C38" s="23">
        <f>(Table13456789101112131415161734[[#This Row],[FRA]]-B37)/B37</f>
        <v/>
      </c>
      <c r="D38" s="24">
        <f>(Table13456789101112131415161734[[#This Row],[FRA]]-B26)/B26</f>
        <v/>
      </c>
    </row>
    <row r="39">
      <c r="A39" s="22" t="n">
        <v>34243</v>
      </c>
      <c r="B39" s="86">
        <f>VLOOKUP(A39,Database!$A:$AS,MATCH($B$4,Database!$A$1:$AS$1,0),FALSE)</f>
        <v/>
      </c>
      <c r="C39" s="23">
        <f>(Table13456789101112131415161734[[#This Row],[FRA]]-B38)/B38</f>
        <v/>
      </c>
      <c r="D39" s="24">
        <f>(Table13456789101112131415161734[[#This Row],[FRA]]-B27)/B27</f>
        <v/>
      </c>
    </row>
    <row r="40">
      <c r="A40" s="22" t="n">
        <v>34274</v>
      </c>
      <c r="B40" s="86">
        <f>VLOOKUP(A40,Database!$A:$AS,MATCH($B$4,Database!$A$1:$AS$1,0),FALSE)</f>
        <v/>
      </c>
      <c r="C40" s="23">
        <f>(Table13456789101112131415161734[[#This Row],[FRA]]-B39)/B39</f>
        <v/>
      </c>
      <c r="D40" s="24">
        <f>(Table13456789101112131415161734[[#This Row],[FRA]]-B28)/B28</f>
        <v/>
      </c>
    </row>
    <row r="41">
      <c r="A41" s="22" t="n">
        <v>34304</v>
      </c>
      <c r="B41" s="86">
        <f>VLOOKUP(A41,Database!$A:$AS,MATCH($B$4,Database!$A$1:$AS$1,0),FALSE)</f>
        <v/>
      </c>
      <c r="C41" s="23">
        <f>(Table13456789101112131415161734[[#This Row],[FRA]]-B40)/B40</f>
        <v/>
      </c>
      <c r="D41" s="24">
        <f>(Table13456789101112131415161734[[#This Row],[FRA]]-B29)/B29</f>
        <v/>
      </c>
    </row>
    <row r="42">
      <c r="A42" s="22" t="n">
        <v>34335</v>
      </c>
      <c r="B42" s="86">
        <f>VLOOKUP(A42,Database!$A:$AS,MATCH($B$4,Database!$A$1:$AS$1,0),FALSE)</f>
        <v/>
      </c>
      <c r="C42" s="23">
        <f>(Table13456789101112131415161734[[#This Row],[FRA]]-B41)/B41</f>
        <v/>
      </c>
      <c r="D42" s="24">
        <f>(Table13456789101112131415161734[[#This Row],[FRA]]-B30)/B30</f>
        <v/>
      </c>
    </row>
    <row r="43">
      <c r="A43" s="22" t="n">
        <v>34366</v>
      </c>
      <c r="B43" s="86">
        <f>VLOOKUP(A43,Database!$A:$AS,MATCH($B$4,Database!$A$1:$AS$1,0),FALSE)</f>
        <v/>
      </c>
      <c r="C43" s="23">
        <f>(Table13456789101112131415161734[[#This Row],[FRA]]-B42)/B42</f>
        <v/>
      </c>
      <c r="D43" s="24">
        <f>(Table13456789101112131415161734[[#This Row],[FRA]]-B31)/B31</f>
        <v/>
      </c>
    </row>
    <row r="44">
      <c r="A44" s="22" t="n">
        <v>34394</v>
      </c>
      <c r="B44" s="86">
        <f>VLOOKUP(A44,Database!$A:$AS,MATCH($B$4,Database!$A$1:$AS$1,0),FALSE)</f>
        <v/>
      </c>
      <c r="C44" s="23">
        <f>(Table13456789101112131415161734[[#This Row],[FRA]]-B43)/B43</f>
        <v/>
      </c>
      <c r="D44" s="24">
        <f>(Table13456789101112131415161734[[#This Row],[FRA]]-B32)/B32</f>
        <v/>
      </c>
    </row>
    <row r="45">
      <c r="A45" s="22" t="n">
        <v>34425</v>
      </c>
      <c r="B45" s="86">
        <f>VLOOKUP(A45,Database!$A:$AS,MATCH($B$4,Database!$A$1:$AS$1,0),FALSE)</f>
        <v/>
      </c>
      <c r="C45" s="23">
        <f>(Table13456789101112131415161734[[#This Row],[FRA]]-B44)/B44</f>
        <v/>
      </c>
      <c r="D45" s="24">
        <f>(Table13456789101112131415161734[[#This Row],[FRA]]-B33)/B33</f>
        <v/>
      </c>
    </row>
    <row r="46">
      <c r="A46" s="22" t="n">
        <v>34455</v>
      </c>
      <c r="B46" s="86">
        <f>VLOOKUP(A46,Database!$A:$AS,MATCH($B$4,Database!$A$1:$AS$1,0),FALSE)</f>
        <v/>
      </c>
      <c r="C46" s="23">
        <f>(Table13456789101112131415161734[[#This Row],[FRA]]-B45)/B45</f>
        <v/>
      </c>
      <c r="D46" s="24">
        <f>(Table13456789101112131415161734[[#This Row],[FRA]]-B34)/B34</f>
        <v/>
      </c>
    </row>
    <row r="47">
      <c r="A47" s="22" t="n">
        <v>34486</v>
      </c>
      <c r="B47" s="86">
        <f>VLOOKUP(A47,Database!$A:$AS,MATCH($B$4,Database!$A$1:$AS$1,0),FALSE)</f>
        <v/>
      </c>
      <c r="C47" s="23">
        <f>(Table13456789101112131415161734[[#This Row],[FRA]]-B46)/B46</f>
        <v/>
      </c>
      <c r="D47" s="24">
        <f>(Table13456789101112131415161734[[#This Row],[FRA]]-B35)/B35</f>
        <v/>
      </c>
    </row>
    <row r="48">
      <c r="A48" s="22" t="n">
        <v>34516</v>
      </c>
      <c r="B48" s="86">
        <f>VLOOKUP(A48,Database!$A:$AS,MATCH($B$4,Database!$A$1:$AS$1,0),FALSE)</f>
        <v/>
      </c>
      <c r="C48" s="23">
        <f>(Table13456789101112131415161734[[#This Row],[FRA]]-B47)/B47</f>
        <v/>
      </c>
      <c r="D48" s="24">
        <f>(Table13456789101112131415161734[[#This Row],[FRA]]-B36)/B36</f>
        <v/>
      </c>
    </row>
    <row r="49">
      <c r="A49" s="22" t="n">
        <v>34547</v>
      </c>
      <c r="B49" s="86">
        <f>VLOOKUP(A49,Database!$A:$AS,MATCH($B$4,Database!$A$1:$AS$1,0),FALSE)</f>
        <v/>
      </c>
      <c r="C49" s="23">
        <f>(Table13456789101112131415161734[[#This Row],[FRA]]-B48)/B48</f>
        <v/>
      </c>
      <c r="D49" s="24">
        <f>(Table13456789101112131415161734[[#This Row],[FRA]]-B37)/B37</f>
        <v/>
      </c>
    </row>
    <row r="50">
      <c r="A50" s="22" t="n">
        <v>34578</v>
      </c>
      <c r="B50" s="86">
        <f>VLOOKUP(A50,Database!$A:$AS,MATCH($B$4,Database!$A$1:$AS$1,0),FALSE)</f>
        <v/>
      </c>
      <c r="C50" s="23">
        <f>(Table13456789101112131415161734[[#This Row],[FRA]]-B49)/B49</f>
        <v/>
      </c>
      <c r="D50" s="24">
        <f>(Table13456789101112131415161734[[#This Row],[FRA]]-B38)/B38</f>
        <v/>
      </c>
    </row>
    <row r="51">
      <c r="A51" s="22" t="n">
        <v>34608</v>
      </c>
      <c r="B51" s="86">
        <f>VLOOKUP(A51,Database!$A:$AS,MATCH($B$4,Database!$A$1:$AS$1,0),FALSE)</f>
        <v/>
      </c>
      <c r="C51" s="23">
        <f>(Table13456789101112131415161734[[#This Row],[FRA]]-B50)/B50</f>
        <v/>
      </c>
      <c r="D51" s="24">
        <f>(Table13456789101112131415161734[[#This Row],[FRA]]-B39)/B39</f>
        <v/>
      </c>
    </row>
    <row r="52">
      <c r="A52" s="22" t="n">
        <v>34639</v>
      </c>
      <c r="B52" s="86">
        <f>VLOOKUP(A52,Database!$A:$AS,MATCH($B$4,Database!$A$1:$AS$1,0),FALSE)</f>
        <v/>
      </c>
      <c r="C52" s="23">
        <f>(Table13456789101112131415161734[[#This Row],[FRA]]-B51)/B51</f>
        <v/>
      </c>
      <c r="D52" s="24">
        <f>(Table13456789101112131415161734[[#This Row],[FRA]]-B40)/B40</f>
        <v/>
      </c>
    </row>
    <row r="53">
      <c r="A53" s="22" t="n">
        <v>34669</v>
      </c>
      <c r="B53" s="86">
        <f>VLOOKUP(A53,Database!$A:$AS,MATCH($B$4,Database!$A$1:$AS$1,0),FALSE)</f>
        <v/>
      </c>
      <c r="C53" s="23">
        <f>(Table13456789101112131415161734[[#This Row],[FRA]]-B52)/B52</f>
        <v/>
      </c>
      <c r="D53" s="24">
        <f>(Table13456789101112131415161734[[#This Row],[FRA]]-B41)/B41</f>
        <v/>
      </c>
    </row>
    <row r="54">
      <c r="A54" s="22" t="n">
        <v>34700</v>
      </c>
      <c r="B54" s="86">
        <f>VLOOKUP(A54,Database!$A:$AS,MATCH($B$4,Database!$A$1:$AS$1,0),FALSE)</f>
        <v/>
      </c>
      <c r="C54" s="23">
        <f>(Table13456789101112131415161734[[#This Row],[FRA]]-B53)/B53</f>
        <v/>
      </c>
      <c r="D54" s="24">
        <f>(Table13456789101112131415161734[[#This Row],[FRA]]-B42)/B42</f>
        <v/>
      </c>
    </row>
    <row r="55">
      <c r="A55" s="22" t="n">
        <v>34731</v>
      </c>
      <c r="B55" s="86">
        <f>VLOOKUP(A55,Database!$A:$AS,MATCH($B$4,Database!$A$1:$AS$1,0),FALSE)</f>
        <v/>
      </c>
      <c r="C55" s="23">
        <f>(Table13456789101112131415161734[[#This Row],[FRA]]-B54)/B54</f>
        <v/>
      </c>
      <c r="D55" s="24">
        <f>(Table13456789101112131415161734[[#This Row],[FRA]]-B43)/B43</f>
        <v/>
      </c>
    </row>
    <row r="56">
      <c r="A56" s="22" t="n">
        <v>34759</v>
      </c>
      <c r="B56" s="86">
        <f>VLOOKUP(A56,Database!$A:$AS,MATCH($B$4,Database!$A$1:$AS$1,0),FALSE)</f>
        <v/>
      </c>
      <c r="C56" s="23">
        <f>(Table13456789101112131415161734[[#This Row],[FRA]]-B55)/B55</f>
        <v/>
      </c>
      <c r="D56" s="24">
        <f>(Table13456789101112131415161734[[#This Row],[FRA]]-B44)/B44</f>
        <v/>
      </c>
    </row>
    <row r="57">
      <c r="A57" s="22" t="n">
        <v>34790</v>
      </c>
      <c r="B57" s="86">
        <f>VLOOKUP(A57,Database!$A:$AS,MATCH($B$4,Database!$A$1:$AS$1,0),FALSE)</f>
        <v/>
      </c>
      <c r="C57" s="23">
        <f>(Table13456789101112131415161734[[#This Row],[FRA]]-B56)/B56</f>
        <v/>
      </c>
      <c r="D57" s="24">
        <f>(Table13456789101112131415161734[[#This Row],[FRA]]-B45)/B45</f>
        <v/>
      </c>
    </row>
    <row r="58">
      <c r="A58" s="22" t="n">
        <v>34820</v>
      </c>
      <c r="B58" s="86">
        <f>VLOOKUP(A58,Database!$A:$AS,MATCH($B$4,Database!$A$1:$AS$1,0),FALSE)</f>
        <v/>
      </c>
      <c r="C58" s="23">
        <f>(Table13456789101112131415161734[[#This Row],[FRA]]-B57)/B57</f>
        <v/>
      </c>
      <c r="D58" s="24">
        <f>(Table13456789101112131415161734[[#This Row],[FRA]]-B46)/B46</f>
        <v/>
      </c>
    </row>
    <row r="59">
      <c r="A59" s="22" t="n">
        <v>34851</v>
      </c>
      <c r="B59" s="86">
        <f>VLOOKUP(A59,Database!$A:$AS,MATCH($B$4,Database!$A$1:$AS$1,0),FALSE)</f>
        <v/>
      </c>
      <c r="C59" s="23">
        <f>(Table13456789101112131415161734[[#This Row],[FRA]]-B58)/B58</f>
        <v/>
      </c>
      <c r="D59" s="24">
        <f>(Table13456789101112131415161734[[#This Row],[FRA]]-B47)/B47</f>
        <v/>
      </c>
    </row>
    <row r="60">
      <c r="A60" s="22" t="n">
        <v>34881</v>
      </c>
      <c r="B60" s="86">
        <f>VLOOKUP(A60,Database!$A:$AS,MATCH($B$4,Database!$A$1:$AS$1,0),FALSE)</f>
        <v/>
      </c>
      <c r="C60" s="23">
        <f>(Table13456789101112131415161734[[#This Row],[FRA]]-B59)/B59</f>
        <v/>
      </c>
      <c r="D60" s="24">
        <f>(Table13456789101112131415161734[[#This Row],[FRA]]-B48)/B48</f>
        <v/>
      </c>
    </row>
    <row r="61">
      <c r="A61" s="22" t="n">
        <v>34912</v>
      </c>
      <c r="B61" s="86">
        <f>VLOOKUP(A61,Database!$A:$AS,MATCH($B$4,Database!$A$1:$AS$1,0),FALSE)</f>
        <v/>
      </c>
      <c r="C61" s="23">
        <f>(Table13456789101112131415161734[[#This Row],[FRA]]-B60)/B60</f>
        <v/>
      </c>
      <c r="D61" s="24">
        <f>(Table13456789101112131415161734[[#This Row],[FRA]]-B49)/B49</f>
        <v/>
      </c>
    </row>
    <row r="62">
      <c r="A62" s="22" t="n">
        <v>34943</v>
      </c>
      <c r="B62" s="86">
        <f>VLOOKUP(A62,Database!$A:$AS,MATCH($B$4,Database!$A$1:$AS$1,0),FALSE)</f>
        <v/>
      </c>
      <c r="C62" s="23">
        <f>(Table13456789101112131415161734[[#This Row],[FRA]]-B61)/B61</f>
        <v/>
      </c>
      <c r="D62" s="24">
        <f>(Table13456789101112131415161734[[#This Row],[FRA]]-B50)/B50</f>
        <v/>
      </c>
    </row>
    <row r="63">
      <c r="A63" s="22" t="n">
        <v>34973</v>
      </c>
      <c r="B63" s="86">
        <f>VLOOKUP(A63,Database!$A:$AS,MATCH($B$4,Database!$A$1:$AS$1,0),FALSE)</f>
        <v/>
      </c>
      <c r="C63" s="23">
        <f>(Table13456789101112131415161734[[#This Row],[FRA]]-B62)/B62</f>
        <v/>
      </c>
      <c r="D63" s="24">
        <f>(Table13456789101112131415161734[[#This Row],[FRA]]-B51)/B51</f>
        <v/>
      </c>
    </row>
    <row r="64">
      <c r="A64" s="22" t="n">
        <v>35004</v>
      </c>
      <c r="B64" s="86">
        <f>VLOOKUP(A64,Database!$A:$AS,MATCH($B$4,Database!$A$1:$AS$1,0),FALSE)</f>
        <v/>
      </c>
      <c r="C64" s="23">
        <f>(Table13456789101112131415161734[[#This Row],[FRA]]-B63)/B63</f>
        <v/>
      </c>
      <c r="D64" s="24">
        <f>(Table13456789101112131415161734[[#This Row],[FRA]]-B52)/B52</f>
        <v/>
      </c>
    </row>
    <row r="65">
      <c r="A65" s="22" t="n">
        <v>35034</v>
      </c>
      <c r="B65" s="86">
        <f>VLOOKUP(A65,Database!$A:$AS,MATCH($B$4,Database!$A$1:$AS$1,0),FALSE)</f>
        <v/>
      </c>
      <c r="C65" s="23">
        <f>(Table13456789101112131415161734[[#This Row],[FRA]]-B64)/B64</f>
        <v/>
      </c>
      <c r="D65" s="24">
        <f>(Table13456789101112131415161734[[#This Row],[FRA]]-B53)/B53</f>
        <v/>
      </c>
    </row>
    <row r="66">
      <c r="A66" s="22" t="n">
        <v>35065</v>
      </c>
      <c r="B66" s="86">
        <f>VLOOKUP(A66,Database!$A:$AS,MATCH($B$4,Database!$A$1:$AS$1,0),FALSE)</f>
        <v/>
      </c>
      <c r="C66" s="23">
        <f>(Table13456789101112131415161734[[#This Row],[FRA]]-B65)/B65</f>
        <v/>
      </c>
      <c r="D66" s="24">
        <f>(Table13456789101112131415161734[[#This Row],[FRA]]-B54)/B54</f>
        <v/>
      </c>
    </row>
    <row r="67">
      <c r="A67" s="22" t="n">
        <v>35096</v>
      </c>
      <c r="B67" s="86">
        <f>VLOOKUP(A67,Database!$A:$AS,MATCH($B$4,Database!$A$1:$AS$1,0),FALSE)</f>
        <v/>
      </c>
      <c r="C67" s="23">
        <f>(Table13456789101112131415161734[[#This Row],[FRA]]-B66)/B66</f>
        <v/>
      </c>
      <c r="D67" s="24">
        <f>(Table13456789101112131415161734[[#This Row],[FRA]]-B55)/B55</f>
        <v/>
      </c>
    </row>
    <row r="68">
      <c r="A68" s="22" t="n">
        <v>35125</v>
      </c>
      <c r="B68" s="86">
        <f>VLOOKUP(A68,Database!$A:$AS,MATCH($B$4,Database!$A$1:$AS$1,0),FALSE)</f>
        <v/>
      </c>
      <c r="C68" s="23">
        <f>(Table13456789101112131415161734[[#This Row],[FRA]]-B67)/B67</f>
        <v/>
      </c>
      <c r="D68" s="24">
        <f>(Table13456789101112131415161734[[#This Row],[FRA]]-B56)/B56</f>
        <v/>
      </c>
    </row>
    <row r="69">
      <c r="A69" s="22" t="n">
        <v>35156</v>
      </c>
      <c r="B69" s="86">
        <f>VLOOKUP(A69,Database!$A:$AS,MATCH($B$4,Database!$A$1:$AS$1,0),FALSE)</f>
        <v/>
      </c>
      <c r="C69" s="23">
        <f>(Table13456789101112131415161734[[#This Row],[FRA]]-B68)/B68</f>
        <v/>
      </c>
      <c r="D69" s="24">
        <f>(Table13456789101112131415161734[[#This Row],[FRA]]-B57)/B57</f>
        <v/>
      </c>
    </row>
    <row r="70">
      <c r="A70" s="22" t="n">
        <v>35186</v>
      </c>
      <c r="B70" s="86">
        <f>VLOOKUP(A70,Database!$A:$AS,MATCH($B$4,Database!$A$1:$AS$1,0),FALSE)</f>
        <v/>
      </c>
      <c r="C70" s="23">
        <f>(Table13456789101112131415161734[[#This Row],[FRA]]-B69)/B69</f>
        <v/>
      </c>
      <c r="D70" s="24">
        <f>(Table13456789101112131415161734[[#This Row],[FRA]]-B58)/B58</f>
        <v/>
      </c>
    </row>
    <row r="71">
      <c r="A71" s="22" t="n">
        <v>35217</v>
      </c>
      <c r="B71" s="86">
        <f>VLOOKUP(A71,Database!$A:$AS,MATCH($B$4,Database!$A$1:$AS$1,0),FALSE)</f>
        <v/>
      </c>
      <c r="C71" s="23">
        <f>(Table13456789101112131415161734[[#This Row],[FRA]]-B70)/B70</f>
        <v/>
      </c>
      <c r="D71" s="24">
        <f>(Table13456789101112131415161734[[#This Row],[FRA]]-B59)/B59</f>
        <v/>
      </c>
    </row>
    <row r="72">
      <c r="A72" s="22" t="n">
        <v>35247</v>
      </c>
      <c r="B72" s="86">
        <f>VLOOKUP(A72,Database!$A:$AS,MATCH($B$4,Database!$A$1:$AS$1,0),FALSE)</f>
        <v/>
      </c>
      <c r="C72" s="23">
        <f>(Table13456789101112131415161734[[#This Row],[FRA]]-B71)/B71</f>
        <v/>
      </c>
      <c r="D72" s="24">
        <f>(Table13456789101112131415161734[[#This Row],[FRA]]-B60)/B60</f>
        <v/>
      </c>
    </row>
    <row r="73">
      <c r="A73" s="22" t="n">
        <v>35278</v>
      </c>
      <c r="B73" s="86">
        <f>VLOOKUP(A73,Database!$A:$AS,MATCH($B$4,Database!$A$1:$AS$1,0),FALSE)</f>
        <v/>
      </c>
      <c r="C73" s="23">
        <f>(Table13456789101112131415161734[[#This Row],[FRA]]-B72)/B72</f>
        <v/>
      </c>
      <c r="D73" s="24">
        <f>(Table13456789101112131415161734[[#This Row],[FRA]]-B61)/B61</f>
        <v/>
      </c>
    </row>
    <row r="74">
      <c r="A74" s="22" t="n">
        <v>35309</v>
      </c>
      <c r="B74" s="86">
        <f>VLOOKUP(A74,Database!$A:$AS,MATCH($B$4,Database!$A$1:$AS$1,0),FALSE)</f>
        <v/>
      </c>
      <c r="C74" s="23">
        <f>(Table13456789101112131415161734[[#This Row],[FRA]]-B73)/B73</f>
        <v/>
      </c>
      <c r="D74" s="24">
        <f>(Table13456789101112131415161734[[#This Row],[FRA]]-B62)/B62</f>
        <v/>
      </c>
    </row>
    <row r="75">
      <c r="A75" s="22" t="n">
        <v>35339</v>
      </c>
      <c r="B75" s="86">
        <f>VLOOKUP(A75,Database!$A:$AS,MATCH($B$4,Database!$A$1:$AS$1,0),FALSE)</f>
        <v/>
      </c>
      <c r="C75" s="23">
        <f>(Table13456789101112131415161734[[#This Row],[FRA]]-B74)/B74</f>
        <v/>
      </c>
      <c r="D75" s="24">
        <f>(Table13456789101112131415161734[[#This Row],[FRA]]-B63)/B63</f>
        <v/>
      </c>
    </row>
    <row r="76">
      <c r="A76" s="22" t="n">
        <v>35370</v>
      </c>
      <c r="B76" s="86">
        <f>VLOOKUP(A76,Database!$A:$AS,MATCH($B$4,Database!$A$1:$AS$1,0),FALSE)</f>
        <v/>
      </c>
      <c r="C76" s="23">
        <f>(Table13456789101112131415161734[[#This Row],[FRA]]-B75)/B75</f>
        <v/>
      </c>
      <c r="D76" s="24">
        <f>(Table13456789101112131415161734[[#This Row],[FRA]]-B64)/B64</f>
        <v/>
      </c>
    </row>
    <row r="77">
      <c r="A77" s="22" t="n">
        <v>35400</v>
      </c>
      <c r="B77" s="86">
        <f>VLOOKUP(A77,Database!$A:$AS,MATCH($B$4,Database!$A$1:$AS$1,0),FALSE)</f>
        <v/>
      </c>
      <c r="C77" s="23">
        <f>(Table13456789101112131415161734[[#This Row],[FRA]]-B76)/B76</f>
        <v/>
      </c>
      <c r="D77" s="24">
        <f>(Table13456789101112131415161734[[#This Row],[FRA]]-B65)/B65</f>
        <v/>
      </c>
    </row>
    <row r="78">
      <c r="A78" s="22" t="n">
        <v>35431</v>
      </c>
      <c r="B78" s="86">
        <f>VLOOKUP(A78,Database!$A:$AS,MATCH($B$4,Database!$A$1:$AS$1,0),FALSE)</f>
        <v/>
      </c>
      <c r="C78" s="23">
        <f>(Table13456789101112131415161734[[#This Row],[FRA]]-B77)/B77</f>
        <v/>
      </c>
      <c r="D78" s="24">
        <f>(Table13456789101112131415161734[[#This Row],[FRA]]-B66)/B66</f>
        <v/>
      </c>
    </row>
    <row r="79">
      <c r="A79" s="22" t="n">
        <v>35462</v>
      </c>
      <c r="B79" s="86">
        <f>VLOOKUP(A79,Database!$A:$AS,MATCH($B$4,Database!$A$1:$AS$1,0),FALSE)</f>
        <v/>
      </c>
      <c r="C79" s="23">
        <f>(Table13456789101112131415161734[[#This Row],[FRA]]-B78)/B78</f>
        <v/>
      </c>
      <c r="D79" s="24">
        <f>(Table13456789101112131415161734[[#This Row],[FRA]]-B67)/B67</f>
        <v/>
      </c>
    </row>
    <row r="80">
      <c r="A80" s="22" t="n">
        <v>35490</v>
      </c>
      <c r="B80" s="86">
        <f>VLOOKUP(A80,Database!$A:$AS,MATCH($B$4,Database!$A$1:$AS$1,0),FALSE)</f>
        <v/>
      </c>
      <c r="C80" s="23">
        <f>(Table13456789101112131415161734[[#This Row],[FRA]]-B79)/B79</f>
        <v/>
      </c>
      <c r="D80" s="24">
        <f>(Table13456789101112131415161734[[#This Row],[FRA]]-B68)/B68</f>
        <v/>
      </c>
    </row>
    <row r="81">
      <c r="A81" s="22" t="n">
        <v>35521</v>
      </c>
      <c r="B81" s="86">
        <f>VLOOKUP(A81,Database!$A:$AS,MATCH($B$4,Database!$A$1:$AS$1,0),FALSE)</f>
        <v/>
      </c>
      <c r="C81" s="23">
        <f>(Table13456789101112131415161734[[#This Row],[FRA]]-B80)/B80</f>
        <v/>
      </c>
      <c r="D81" s="24">
        <f>(Table13456789101112131415161734[[#This Row],[FRA]]-B69)/B69</f>
        <v/>
      </c>
    </row>
    <row r="82">
      <c r="A82" s="22" t="n">
        <v>35551</v>
      </c>
      <c r="B82" s="86">
        <f>VLOOKUP(A82,Database!$A:$AS,MATCH($B$4,Database!$A$1:$AS$1,0),FALSE)</f>
        <v/>
      </c>
      <c r="C82" s="23">
        <f>(Table13456789101112131415161734[[#This Row],[FRA]]-B81)/B81</f>
        <v/>
      </c>
      <c r="D82" s="24">
        <f>(Table13456789101112131415161734[[#This Row],[FRA]]-B70)/B70</f>
        <v/>
      </c>
    </row>
    <row r="83">
      <c r="A83" s="22" t="n">
        <v>35582</v>
      </c>
      <c r="B83" s="86">
        <f>VLOOKUP(A83,Database!$A:$AS,MATCH($B$4,Database!$A$1:$AS$1,0),FALSE)</f>
        <v/>
      </c>
      <c r="C83" s="23">
        <f>(Table13456789101112131415161734[[#This Row],[FRA]]-B82)/B82</f>
        <v/>
      </c>
      <c r="D83" s="24">
        <f>(Table13456789101112131415161734[[#This Row],[FRA]]-B71)/B71</f>
        <v/>
      </c>
    </row>
    <row r="84">
      <c r="A84" s="22" t="n">
        <v>35612</v>
      </c>
      <c r="B84" s="86">
        <f>VLOOKUP(A84,Database!$A:$AS,MATCH($B$4,Database!$A$1:$AS$1,0),FALSE)</f>
        <v/>
      </c>
      <c r="C84" s="23">
        <f>(Table13456789101112131415161734[[#This Row],[FRA]]-B83)/B83</f>
        <v/>
      </c>
      <c r="D84" s="24">
        <f>(Table13456789101112131415161734[[#This Row],[FRA]]-B72)/B72</f>
        <v/>
      </c>
    </row>
    <row r="85">
      <c r="A85" s="22" t="n">
        <v>35643</v>
      </c>
      <c r="B85" s="86">
        <f>VLOOKUP(A85,Database!$A:$AS,MATCH($B$4,Database!$A$1:$AS$1,0),FALSE)</f>
        <v/>
      </c>
      <c r="C85" s="23">
        <f>(Table13456789101112131415161734[[#This Row],[FRA]]-B84)/B84</f>
        <v/>
      </c>
      <c r="D85" s="24">
        <f>(Table13456789101112131415161734[[#This Row],[FRA]]-B73)/B73</f>
        <v/>
      </c>
    </row>
    <row r="86">
      <c r="A86" s="22" t="n">
        <v>35674</v>
      </c>
      <c r="B86" s="86">
        <f>VLOOKUP(A86,Database!$A:$AS,MATCH($B$4,Database!$A$1:$AS$1,0),FALSE)</f>
        <v/>
      </c>
      <c r="C86" s="23">
        <f>(Table13456789101112131415161734[[#This Row],[FRA]]-B85)/B85</f>
        <v/>
      </c>
      <c r="D86" s="24">
        <f>(Table13456789101112131415161734[[#This Row],[FRA]]-B74)/B74</f>
        <v/>
      </c>
    </row>
    <row r="87">
      <c r="A87" s="22" t="n">
        <v>35704</v>
      </c>
      <c r="B87" s="86">
        <f>VLOOKUP(A87,Database!$A:$AS,MATCH($B$4,Database!$A$1:$AS$1,0),FALSE)</f>
        <v/>
      </c>
      <c r="C87" s="23">
        <f>(Table13456789101112131415161734[[#This Row],[FRA]]-B86)/B86</f>
        <v/>
      </c>
      <c r="D87" s="24">
        <f>(Table13456789101112131415161734[[#This Row],[FRA]]-B75)/B75</f>
        <v/>
      </c>
    </row>
    <row r="88">
      <c r="A88" s="22" t="n">
        <v>35735</v>
      </c>
      <c r="B88" s="86">
        <f>VLOOKUP(A88,Database!$A:$AS,MATCH($B$4,Database!$A$1:$AS$1,0),FALSE)</f>
        <v/>
      </c>
      <c r="C88" s="23">
        <f>(Table13456789101112131415161734[[#This Row],[FRA]]-B87)/B87</f>
        <v/>
      </c>
      <c r="D88" s="24">
        <f>(Table13456789101112131415161734[[#This Row],[FRA]]-B76)/B76</f>
        <v/>
      </c>
    </row>
    <row r="89">
      <c r="A89" s="22" t="n">
        <v>35765</v>
      </c>
      <c r="B89" s="86">
        <f>VLOOKUP(A89,Database!$A:$AS,MATCH($B$4,Database!$A$1:$AS$1,0),FALSE)</f>
        <v/>
      </c>
      <c r="C89" s="23">
        <f>(Table13456789101112131415161734[[#This Row],[FRA]]-B88)/B88</f>
        <v/>
      </c>
      <c r="D89" s="24">
        <f>(Table13456789101112131415161734[[#This Row],[FRA]]-B77)/B77</f>
        <v/>
      </c>
    </row>
    <row r="90">
      <c r="A90" s="22" t="n">
        <v>35796</v>
      </c>
      <c r="B90" s="86">
        <f>VLOOKUP(A90,Database!$A:$AS,MATCH($B$4,Database!$A$1:$AS$1,0),FALSE)</f>
        <v/>
      </c>
      <c r="C90" s="23">
        <f>(Table13456789101112131415161734[[#This Row],[FRA]]-B89)/B89</f>
        <v/>
      </c>
      <c r="D90" s="24">
        <f>(Table13456789101112131415161734[[#This Row],[FRA]]-B78)/B78</f>
        <v/>
      </c>
    </row>
    <row r="91">
      <c r="A91" s="22" t="n">
        <v>35827</v>
      </c>
      <c r="B91" s="86">
        <f>VLOOKUP(A91,Database!$A:$AS,MATCH($B$4,Database!$A$1:$AS$1,0),FALSE)</f>
        <v/>
      </c>
      <c r="C91" s="23">
        <f>(Table13456789101112131415161734[[#This Row],[FRA]]-B90)/B90</f>
        <v/>
      </c>
      <c r="D91" s="24">
        <f>(Table13456789101112131415161734[[#This Row],[FRA]]-B79)/B79</f>
        <v/>
      </c>
    </row>
    <row r="92">
      <c r="A92" s="22" t="n">
        <v>35855</v>
      </c>
      <c r="B92" s="86">
        <f>VLOOKUP(A92,Database!$A:$AS,MATCH($B$4,Database!$A$1:$AS$1,0),FALSE)</f>
        <v/>
      </c>
      <c r="C92" s="23">
        <f>(Table13456789101112131415161734[[#This Row],[FRA]]-B91)/B91</f>
        <v/>
      </c>
      <c r="D92" s="24">
        <f>(Table13456789101112131415161734[[#This Row],[FRA]]-B80)/B80</f>
        <v/>
      </c>
    </row>
    <row r="93">
      <c r="A93" s="22" t="n">
        <v>35886</v>
      </c>
      <c r="B93" s="86">
        <f>VLOOKUP(A93,Database!$A:$AS,MATCH($B$4,Database!$A$1:$AS$1,0),FALSE)</f>
        <v/>
      </c>
      <c r="C93" s="23">
        <f>(Table13456789101112131415161734[[#This Row],[FRA]]-B92)/B92</f>
        <v/>
      </c>
      <c r="D93" s="24">
        <f>(Table13456789101112131415161734[[#This Row],[FRA]]-B81)/B81</f>
        <v/>
      </c>
    </row>
    <row r="94">
      <c r="A94" s="22" t="n">
        <v>35916</v>
      </c>
      <c r="B94" s="86">
        <f>VLOOKUP(A94,Database!$A:$AS,MATCH($B$4,Database!$A$1:$AS$1,0),FALSE)</f>
        <v/>
      </c>
      <c r="C94" s="23">
        <f>(Table13456789101112131415161734[[#This Row],[FRA]]-B93)/B93</f>
        <v/>
      </c>
      <c r="D94" s="24">
        <f>(Table13456789101112131415161734[[#This Row],[FRA]]-B82)/B82</f>
        <v/>
      </c>
    </row>
    <row r="95">
      <c r="A95" s="22" t="n">
        <v>35947</v>
      </c>
      <c r="B95" s="86">
        <f>VLOOKUP(A95,Database!$A:$AS,MATCH($B$4,Database!$A$1:$AS$1,0),FALSE)</f>
        <v/>
      </c>
      <c r="C95" s="23">
        <f>(Table13456789101112131415161734[[#This Row],[FRA]]-B94)/B94</f>
        <v/>
      </c>
      <c r="D95" s="24">
        <f>(Table13456789101112131415161734[[#This Row],[FRA]]-B83)/B83</f>
        <v/>
      </c>
    </row>
    <row r="96">
      <c r="A96" s="22" t="n">
        <v>35977</v>
      </c>
      <c r="B96" s="86">
        <f>VLOOKUP(A96,Database!$A:$AS,MATCH($B$4,Database!$A$1:$AS$1,0),FALSE)</f>
        <v/>
      </c>
      <c r="C96" s="23">
        <f>(Table13456789101112131415161734[[#This Row],[FRA]]-B95)/B95</f>
        <v/>
      </c>
      <c r="D96" s="24">
        <f>(Table13456789101112131415161734[[#This Row],[FRA]]-B84)/B84</f>
        <v/>
      </c>
    </row>
    <row r="97">
      <c r="A97" s="22" t="n">
        <v>36008</v>
      </c>
      <c r="B97" s="86">
        <f>VLOOKUP(A97,Database!$A:$AS,MATCH($B$4,Database!$A$1:$AS$1,0),FALSE)</f>
        <v/>
      </c>
      <c r="C97" s="23">
        <f>(Table13456789101112131415161734[[#This Row],[FRA]]-B96)/B96</f>
        <v/>
      </c>
      <c r="D97" s="24">
        <f>(Table13456789101112131415161734[[#This Row],[FRA]]-B85)/B85</f>
        <v/>
      </c>
    </row>
    <row r="98">
      <c r="A98" s="22" t="n">
        <v>36039</v>
      </c>
      <c r="B98" s="86">
        <f>VLOOKUP(A98,Database!$A:$AS,MATCH($B$4,Database!$A$1:$AS$1,0),FALSE)</f>
        <v/>
      </c>
      <c r="C98" s="23">
        <f>(Table13456789101112131415161734[[#This Row],[FRA]]-B97)/B97</f>
        <v/>
      </c>
      <c r="D98" s="24">
        <f>(Table13456789101112131415161734[[#This Row],[FRA]]-B86)/B86</f>
        <v/>
      </c>
    </row>
    <row r="99">
      <c r="A99" s="22" t="n">
        <v>36069</v>
      </c>
      <c r="B99" s="86">
        <f>VLOOKUP(A99,Database!$A:$AS,MATCH($B$4,Database!$A$1:$AS$1,0),FALSE)</f>
        <v/>
      </c>
      <c r="C99" s="23">
        <f>(Table13456789101112131415161734[[#This Row],[FRA]]-B98)/B98</f>
        <v/>
      </c>
      <c r="D99" s="24">
        <f>(Table13456789101112131415161734[[#This Row],[FRA]]-B87)/B87</f>
        <v/>
      </c>
    </row>
    <row r="100">
      <c r="A100" s="22" t="n">
        <v>36100</v>
      </c>
      <c r="B100" s="86">
        <f>VLOOKUP(A100,Database!$A:$AS,MATCH($B$4,Database!$A$1:$AS$1,0),FALSE)</f>
        <v/>
      </c>
      <c r="C100" s="23">
        <f>(Table13456789101112131415161734[[#This Row],[FRA]]-B99)/B99</f>
        <v/>
      </c>
      <c r="D100" s="24">
        <f>(Table13456789101112131415161734[[#This Row],[FRA]]-B88)/B88</f>
        <v/>
      </c>
    </row>
    <row r="101">
      <c r="A101" s="22" t="n">
        <v>36130</v>
      </c>
      <c r="B101" s="86">
        <f>VLOOKUP(A101,Database!$A:$AS,MATCH($B$4,Database!$A$1:$AS$1,0),FALSE)</f>
        <v/>
      </c>
      <c r="C101" s="23">
        <f>(Table13456789101112131415161734[[#This Row],[FRA]]-B100)/B100</f>
        <v/>
      </c>
      <c r="D101" s="24">
        <f>(Table13456789101112131415161734[[#This Row],[FRA]]-B89)/B89</f>
        <v/>
      </c>
    </row>
    <row r="102">
      <c r="A102" s="22" t="n">
        <v>36161</v>
      </c>
      <c r="B102" s="86">
        <f>VLOOKUP(A102,Database!$A:$AS,MATCH($B$4,Database!$A$1:$AS$1,0),FALSE)</f>
        <v/>
      </c>
      <c r="C102" s="23">
        <f>(Table13456789101112131415161734[[#This Row],[FRA]]-B101)/B101</f>
        <v/>
      </c>
      <c r="D102" s="24">
        <f>(Table13456789101112131415161734[[#This Row],[FRA]]-B90)/B90</f>
        <v/>
      </c>
    </row>
    <row r="103">
      <c r="A103" s="22" t="n">
        <v>36192</v>
      </c>
      <c r="B103" s="86">
        <f>VLOOKUP(A103,Database!$A:$AS,MATCH($B$4,Database!$A$1:$AS$1,0),FALSE)</f>
        <v/>
      </c>
      <c r="C103" s="23">
        <f>(Table13456789101112131415161734[[#This Row],[FRA]]-B102)/B102</f>
        <v/>
      </c>
      <c r="D103" s="24">
        <f>(Table13456789101112131415161734[[#This Row],[FRA]]-B91)/B91</f>
        <v/>
      </c>
    </row>
    <row r="104">
      <c r="A104" s="22" t="n">
        <v>36220</v>
      </c>
      <c r="B104" s="86">
        <f>VLOOKUP(A104,Database!$A:$AS,MATCH($B$4,Database!$A$1:$AS$1,0),FALSE)</f>
        <v/>
      </c>
      <c r="C104" s="23">
        <f>(Table13456789101112131415161734[[#This Row],[FRA]]-B103)/B103</f>
        <v/>
      </c>
      <c r="D104" s="24">
        <f>(Table13456789101112131415161734[[#This Row],[FRA]]-B92)/B92</f>
        <v/>
      </c>
    </row>
    <row r="105">
      <c r="A105" s="22" t="n">
        <v>36251</v>
      </c>
      <c r="B105" s="86">
        <f>VLOOKUP(A105,Database!$A:$AS,MATCH($B$4,Database!$A$1:$AS$1,0),FALSE)</f>
        <v/>
      </c>
      <c r="C105" s="23">
        <f>(Table13456789101112131415161734[[#This Row],[FRA]]-B104)/B104</f>
        <v/>
      </c>
      <c r="D105" s="24">
        <f>(Table13456789101112131415161734[[#This Row],[FRA]]-B93)/B93</f>
        <v/>
      </c>
    </row>
    <row r="106">
      <c r="A106" s="22" t="n">
        <v>36281</v>
      </c>
      <c r="B106" s="86">
        <f>VLOOKUP(A106,Database!$A:$AS,MATCH($B$4,Database!$A$1:$AS$1,0),FALSE)</f>
        <v/>
      </c>
      <c r="C106" s="23">
        <f>(Table13456789101112131415161734[[#This Row],[FRA]]-B105)/B105</f>
        <v/>
      </c>
      <c r="D106" s="24">
        <f>(Table13456789101112131415161734[[#This Row],[FRA]]-B94)/B94</f>
        <v/>
      </c>
    </row>
    <row r="107">
      <c r="A107" s="22" t="n">
        <v>36312</v>
      </c>
      <c r="B107" s="86">
        <f>VLOOKUP(A107,Database!$A:$AS,MATCH($B$4,Database!$A$1:$AS$1,0),FALSE)</f>
        <v/>
      </c>
      <c r="C107" s="23">
        <f>(Table13456789101112131415161734[[#This Row],[FRA]]-B106)/B106</f>
        <v/>
      </c>
      <c r="D107" s="24">
        <f>(Table13456789101112131415161734[[#This Row],[FRA]]-B95)/B95</f>
        <v/>
      </c>
    </row>
    <row r="108">
      <c r="A108" s="22" t="n">
        <v>36342</v>
      </c>
      <c r="B108" s="86">
        <f>VLOOKUP(A108,Database!$A:$AS,MATCH($B$4,Database!$A$1:$AS$1,0),FALSE)</f>
        <v/>
      </c>
      <c r="C108" s="23">
        <f>(Table13456789101112131415161734[[#This Row],[FRA]]-B107)/B107</f>
        <v/>
      </c>
      <c r="D108" s="24">
        <f>(Table13456789101112131415161734[[#This Row],[FRA]]-B96)/B96</f>
        <v/>
      </c>
    </row>
    <row r="109">
      <c r="A109" s="22" t="n">
        <v>36373</v>
      </c>
      <c r="B109" s="86">
        <f>VLOOKUP(A109,Database!$A:$AS,MATCH($B$4,Database!$A$1:$AS$1,0),FALSE)</f>
        <v/>
      </c>
      <c r="C109" s="23">
        <f>(Table13456789101112131415161734[[#This Row],[FRA]]-B108)/B108</f>
        <v/>
      </c>
      <c r="D109" s="24">
        <f>(Table13456789101112131415161734[[#This Row],[FRA]]-B97)/B97</f>
        <v/>
      </c>
    </row>
    <row r="110">
      <c r="A110" s="22" t="n">
        <v>36404</v>
      </c>
      <c r="B110" s="86">
        <f>VLOOKUP(A110,Database!$A:$AS,MATCH($B$4,Database!$A$1:$AS$1,0),FALSE)</f>
        <v/>
      </c>
      <c r="C110" s="23">
        <f>(Table13456789101112131415161734[[#This Row],[FRA]]-B109)/B109</f>
        <v/>
      </c>
      <c r="D110" s="24">
        <f>(Table13456789101112131415161734[[#This Row],[FRA]]-B98)/B98</f>
        <v/>
      </c>
    </row>
    <row r="111">
      <c r="A111" s="22" t="n">
        <v>36434</v>
      </c>
      <c r="B111" s="86">
        <f>VLOOKUP(A111,Database!$A:$AS,MATCH($B$4,Database!$A$1:$AS$1,0),FALSE)</f>
        <v/>
      </c>
      <c r="C111" s="23">
        <f>(Table13456789101112131415161734[[#This Row],[FRA]]-B110)/B110</f>
        <v/>
      </c>
      <c r="D111" s="24">
        <f>(Table13456789101112131415161734[[#This Row],[FRA]]-B99)/B99</f>
        <v/>
      </c>
    </row>
    <row r="112">
      <c r="A112" s="22" t="n">
        <v>36465</v>
      </c>
      <c r="B112" s="86">
        <f>VLOOKUP(A112,Database!$A:$AS,MATCH($B$4,Database!$A$1:$AS$1,0),FALSE)</f>
        <v/>
      </c>
      <c r="C112" s="23">
        <f>(Table13456789101112131415161734[[#This Row],[FRA]]-B111)/B111</f>
        <v/>
      </c>
      <c r="D112" s="24">
        <f>(Table13456789101112131415161734[[#This Row],[FRA]]-B100)/B100</f>
        <v/>
      </c>
    </row>
    <row r="113">
      <c r="A113" s="22" t="n">
        <v>36495</v>
      </c>
      <c r="B113" s="86">
        <f>VLOOKUP(A113,Database!$A:$AS,MATCH($B$4,Database!$A$1:$AS$1,0),FALSE)</f>
        <v/>
      </c>
      <c r="C113" s="23">
        <f>(Table13456789101112131415161734[[#This Row],[FRA]]-B112)/B112</f>
        <v/>
      </c>
      <c r="D113" s="24">
        <f>(Table13456789101112131415161734[[#This Row],[FRA]]-B101)/B101</f>
        <v/>
      </c>
    </row>
    <row r="114">
      <c r="A114" s="22" t="n">
        <v>36526</v>
      </c>
      <c r="B114" s="86">
        <f>VLOOKUP(A114,Database!$A:$AS,MATCH($B$4,Database!$A$1:$AS$1,0),FALSE)</f>
        <v/>
      </c>
      <c r="C114" s="23">
        <f>(Table13456789101112131415161734[[#This Row],[FRA]]-B113)/B113</f>
        <v/>
      </c>
      <c r="D114" s="24">
        <f>(Table13456789101112131415161734[[#This Row],[FRA]]-B102)/B102</f>
        <v/>
      </c>
    </row>
    <row r="115">
      <c r="A115" s="22" t="n">
        <v>36557</v>
      </c>
      <c r="B115" s="86">
        <f>VLOOKUP(A115,Database!$A:$AS,MATCH($B$4,Database!$A$1:$AS$1,0),FALSE)</f>
        <v/>
      </c>
      <c r="C115" s="23">
        <f>(Table13456789101112131415161734[[#This Row],[FRA]]-B114)/B114</f>
        <v/>
      </c>
      <c r="D115" s="24">
        <f>(Table13456789101112131415161734[[#This Row],[FRA]]-B103)/B103</f>
        <v/>
      </c>
    </row>
    <row r="116">
      <c r="A116" s="22" t="n">
        <v>36586</v>
      </c>
      <c r="B116" s="86">
        <f>VLOOKUP(A116,Database!$A:$AS,MATCH($B$4,Database!$A$1:$AS$1,0),FALSE)</f>
        <v/>
      </c>
      <c r="C116" s="23">
        <f>(Table13456789101112131415161734[[#This Row],[FRA]]-B115)/B115</f>
        <v/>
      </c>
      <c r="D116" s="24">
        <f>(Table13456789101112131415161734[[#This Row],[FRA]]-B104)/B104</f>
        <v/>
      </c>
    </row>
    <row r="117">
      <c r="A117" s="22" t="n">
        <v>36617</v>
      </c>
      <c r="B117" s="86">
        <f>VLOOKUP(A117,Database!$A:$AS,MATCH($B$4,Database!$A$1:$AS$1,0),FALSE)</f>
        <v/>
      </c>
      <c r="C117" s="23">
        <f>(Table13456789101112131415161734[[#This Row],[FRA]]-B116)/B116</f>
        <v/>
      </c>
      <c r="D117" s="24">
        <f>(Table13456789101112131415161734[[#This Row],[FRA]]-B105)/B105</f>
        <v/>
      </c>
    </row>
    <row r="118">
      <c r="A118" s="22" t="n">
        <v>36647</v>
      </c>
      <c r="B118" s="86">
        <f>VLOOKUP(A118,Database!$A:$AS,MATCH($B$4,Database!$A$1:$AS$1,0),FALSE)</f>
        <v/>
      </c>
      <c r="C118" s="23">
        <f>(Table13456789101112131415161734[[#This Row],[FRA]]-B117)/B117</f>
        <v/>
      </c>
      <c r="D118" s="24">
        <f>(Table13456789101112131415161734[[#This Row],[FRA]]-B106)/B106</f>
        <v/>
      </c>
    </row>
    <row r="119">
      <c r="A119" s="22" t="n">
        <v>36678</v>
      </c>
      <c r="B119" s="86">
        <f>VLOOKUP(A119,Database!$A:$AS,MATCH($B$4,Database!$A$1:$AS$1,0),FALSE)</f>
        <v/>
      </c>
      <c r="C119" s="23">
        <f>(Table13456789101112131415161734[[#This Row],[FRA]]-B118)/B118</f>
        <v/>
      </c>
      <c r="D119" s="24">
        <f>(Table13456789101112131415161734[[#This Row],[FRA]]-B107)/B107</f>
        <v/>
      </c>
    </row>
    <row r="120">
      <c r="A120" s="22" t="n">
        <v>36708</v>
      </c>
      <c r="B120" s="86">
        <f>VLOOKUP(A120,Database!$A:$AS,MATCH($B$4,Database!$A$1:$AS$1,0),FALSE)</f>
        <v/>
      </c>
      <c r="C120" s="23">
        <f>(Table13456789101112131415161734[[#This Row],[FRA]]-B119)/B119</f>
        <v/>
      </c>
      <c r="D120" s="24">
        <f>(Table13456789101112131415161734[[#This Row],[FRA]]-B108)/B108</f>
        <v/>
      </c>
    </row>
    <row r="121">
      <c r="A121" s="22" t="n">
        <v>36739</v>
      </c>
      <c r="B121" s="86">
        <f>VLOOKUP(A121,Database!$A:$AS,MATCH($B$4,Database!$A$1:$AS$1,0),FALSE)</f>
        <v/>
      </c>
      <c r="C121" s="23">
        <f>(Table13456789101112131415161734[[#This Row],[FRA]]-B120)/B120</f>
        <v/>
      </c>
      <c r="D121" s="24">
        <f>(Table13456789101112131415161734[[#This Row],[FRA]]-B109)/B109</f>
        <v/>
      </c>
    </row>
    <row r="122">
      <c r="A122" s="22" t="n">
        <v>36770</v>
      </c>
      <c r="B122" s="86">
        <f>VLOOKUP(A122,Database!$A:$AS,MATCH($B$4,Database!$A$1:$AS$1,0),FALSE)</f>
        <v/>
      </c>
      <c r="C122" s="23">
        <f>(Table13456789101112131415161734[[#This Row],[FRA]]-B121)/B121</f>
        <v/>
      </c>
      <c r="D122" s="24">
        <f>(Table13456789101112131415161734[[#This Row],[FRA]]-B110)/B110</f>
        <v/>
      </c>
    </row>
    <row r="123">
      <c r="A123" s="22" t="n">
        <v>36800</v>
      </c>
      <c r="B123" s="86">
        <f>VLOOKUP(A123,Database!$A:$AS,MATCH($B$4,Database!$A$1:$AS$1,0),FALSE)</f>
        <v/>
      </c>
      <c r="C123" s="23">
        <f>(Table13456789101112131415161734[[#This Row],[FRA]]-B122)/B122</f>
        <v/>
      </c>
      <c r="D123" s="24">
        <f>(Table13456789101112131415161734[[#This Row],[FRA]]-B111)/B111</f>
        <v/>
      </c>
    </row>
    <row r="124">
      <c r="A124" s="22" t="n">
        <v>36831</v>
      </c>
      <c r="B124" s="86">
        <f>VLOOKUP(A124,Database!$A:$AS,MATCH($B$4,Database!$A$1:$AS$1,0),FALSE)</f>
        <v/>
      </c>
      <c r="C124" s="23">
        <f>(Table13456789101112131415161734[[#This Row],[FRA]]-B123)/B123</f>
        <v/>
      </c>
      <c r="D124" s="24">
        <f>(Table13456789101112131415161734[[#This Row],[FRA]]-B112)/B112</f>
        <v/>
      </c>
    </row>
    <row r="125">
      <c r="A125" s="22" t="n">
        <v>36861</v>
      </c>
      <c r="B125" s="86">
        <f>VLOOKUP(A125,Database!$A:$AS,MATCH($B$4,Database!$A$1:$AS$1,0),FALSE)</f>
        <v/>
      </c>
      <c r="C125" s="23">
        <f>(Table13456789101112131415161734[[#This Row],[FRA]]-B124)/B124</f>
        <v/>
      </c>
      <c r="D125" s="24">
        <f>(Table13456789101112131415161734[[#This Row],[FRA]]-B113)/B113</f>
        <v/>
      </c>
    </row>
    <row r="126">
      <c r="A126" s="22" t="n">
        <v>36892</v>
      </c>
      <c r="B126" s="86">
        <f>VLOOKUP(A126,Database!$A:$AS,MATCH($B$4,Database!$A$1:$AS$1,0),FALSE)</f>
        <v/>
      </c>
      <c r="C126" s="23">
        <f>(Table13456789101112131415161734[[#This Row],[FRA]]-B125)/B125</f>
        <v/>
      </c>
      <c r="D126" s="24">
        <f>(Table13456789101112131415161734[[#This Row],[FRA]]-B114)/B114</f>
        <v/>
      </c>
    </row>
    <row r="127">
      <c r="A127" s="22" t="n">
        <v>36923</v>
      </c>
      <c r="B127" s="86">
        <f>VLOOKUP(A127,Database!$A:$AS,MATCH($B$4,Database!$A$1:$AS$1,0),FALSE)</f>
        <v/>
      </c>
      <c r="C127" s="23">
        <f>(Table13456789101112131415161734[[#This Row],[FRA]]-B126)/B126</f>
        <v/>
      </c>
      <c r="D127" s="24">
        <f>(Table13456789101112131415161734[[#This Row],[FRA]]-B115)/B115</f>
        <v/>
      </c>
    </row>
    <row r="128">
      <c r="A128" s="22" t="n">
        <v>36951</v>
      </c>
      <c r="B128" s="86">
        <f>VLOOKUP(A128,Database!$A:$AS,MATCH($B$4,Database!$A$1:$AS$1,0),FALSE)</f>
        <v/>
      </c>
      <c r="C128" s="23">
        <f>(Table13456789101112131415161734[[#This Row],[FRA]]-B127)/B127</f>
        <v/>
      </c>
      <c r="D128" s="24">
        <f>(Table13456789101112131415161734[[#This Row],[FRA]]-B116)/B116</f>
        <v/>
      </c>
    </row>
    <row r="129">
      <c r="A129" s="22" t="n">
        <v>36982</v>
      </c>
      <c r="B129" s="86">
        <f>VLOOKUP(A129,Database!$A:$AS,MATCH($B$4,Database!$A$1:$AS$1,0),FALSE)</f>
        <v/>
      </c>
      <c r="C129" s="23">
        <f>(Table13456789101112131415161734[[#This Row],[FRA]]-B128)/B128</f>
        <v/>
      </c>
      <c r="D129" s="24">
        <f>(Table13456789101112131415161734[[#This Row],[FRA]]-B117)/B117</f>
        <v/>
      </c>
    </row>
    <row r="130">
      <c r="A130" s="22" t="n">
        <v>37012</v>
      </c>
      <c r="B130" s="86">
        <f>VLOOKUP(A130,Database!$A:$AS,MATCH($B$4,Database!$A$1:$AS$1,0),FALSE)</f>
        <v/>
      </c>
      <c r="C130" s="23">
        <f>(Table13456789101112131415161734[[#This Row],[FRA]]-B129)/B129</f>
        <v/>
      </c>
      <c r="D130" s="24">
        <f>(Table13456789101112131415161734[[#This Row],[FRA]]-B118)/B118</f>
        <v/>
      </c>
    </row>
    <row r="131">
      <c r="A131" s="22" t="n">
        <v>37043</v>
      </c>
      <c r="B131" s="86">
        <f>VLOOKUP(A131,Database!$A:$AS,MATCH($B$4,Database!$A$1:$AS$1,0),FALSE)</f>
        <v/>
      </c>
      <c r="C131" s="23">
        <f>(Table13456789101112131415161734[[#This Row],[FRA]]-B130)/B130</f>
        <v/>
      </c>
      <c r="D131" s="24">
        <f>(Table13456789101112131415161734[[#This Row],[FRA]]-B119)/B119</f>
        <v/>
      </c>
    </row>
    <row r="132">
      <c r="A132" s="22" t="n">
        <v>37073</v>
      </c>
      <c r="B132" s="86">
        <f>VLOOKUP(A132,Database!$A:$AS,MATCH($B$4,Database!$A$1:$AS$1,0),FALSE)</f>
        <v/>
      </c>
      <c r="C132" s="23">
        <f>(Table13456789101112131415161734[[#This Row],[FRA]]-B131)/B131</f>
        <v/>
      </c>
      <c r="D132" s="24">
        <f>(Table13456789101112131415161734[[#This Row],[FRA]]-B120)/B120</f>
        <v/>
      </c>
    </row>
    <row r="133">
      <c r="A133" s="22" t="n">
        <v>37104</v>
      </c>
      <c r="B133" s="86">
        <f>VLOOKUP(A133,Database!$A:$AS,MATCH($B$4,Database!$A$1:$AS$1,0),FALSE)</f>
        <v/>
      </c>
      <c r="C133" s="23">
        <f>(Table13456789101112131415161734[[#This Row],[FRA]]-B132)/B132</f>
        <v/>
      </c>
      <c r="D133" s="24">
        <f>(Table13456789101112131415161734[[#This Row],[FRA]]-B121)/B121</f>
        <v/>
      </c>
    </row>
    <row r="134">
      <c r="A134" s="22" t="n">
        <v>37135</v>
      </c>
      <c r="B134" s="86">
        <f>VLOOKUP(A134,Database!$A:$AS,MATCH($B$4,Database!$A$1:$AS$1,0),FALSE)</f>
        <v/>
      </c>
      <c r="C134" s="23">
        <f>(Table13456789101112131415161734[[#This Row],[FRA]]-B133)/B133</f>
        <v/>
      </c>
      <c r="D134" s="24">
        <f>(Table13456789101112131415161734[[#This Row],[FRA]]-B122)/B122</f>
        <v/>
      </c>
    </row>
    <row r="135">
      <c r="A135" s="22" t="n">
        <v>37165</v>
      </c>
      <c r="B135" s="86">
        <f>VLOOKUP(A135,Database!$A:$AS,MATCH($B$4,Database!$A$1:$AS$1,0),FALSE)</f>
        <v/>
      </c>
      <c r="C135" s="23">
        <f>(Table13456789101112131415161734[[#This Row],[FRA]]-B134)/B134</f>
        <v/>
      </c>
      <c r="D135" s="24">
        <f>(Table13456789101112131415161734[[#This Row],[FRA]]-B123)/B123</f>
        <v/>
      </c>
    </row>
    <row r="136">
      <c r="A136" s="22" t="n">
        <v>37196</v>
      </c>
      <c r="B136" s="86">
        <f>VLOOKUP(A136,Database!$A:$AS,MATCH($B$4,Database!$A$1:$AS$1,0),FALSE)</f>
        <v/>
      </c>
      <c r="C136" s="23">
        <f>(Table13456789101112131415161734[[#This Row],[FRA]]-B135)/B135</f>
        <v/>
      </c>
      <c r="D136" s="24">
        <f>(Table13456789101112131415161734[[#This Row],[FRA]]-B124)/B124</f>
        <v/>
      </c>
    </row>
    <row r="137">
      <c r="A137" s="22" t="n">
        <v>37226</v>
      </c>
      <c r="B137" s="86">
        <f>VLOOKUP(A137,Database!$A:$AS,MATCH($B$4,Database!$A$1:$AS$1,0),FALSE)</f>
        <v/>
      </c>
      <c r="C137" s="23">
        <f>(Table13456789101112131415161734[[#This Row],[FRA]]-B136)/B136</f>
        <v/>
      </c>
      <c r="D137" s="24">
        <f>(Table13456789101112131415161734[[#This Row],[FRA]]-B125)/B125</f>
        <v/>
      </c>
    </row>
    <row r="138">
      <c r="A138" s="22" t="n">
        <v>37257</v>
      </c>
      <c r="B138" s="86">
        <f>VLOOKUP(A138,Database!$A:$AS,MATCH($B$4,Database!$A$1:$AS$1,0),FALSE)</f>
        <v/>
      </c>
      <c r="C138" s="23">
        <f>(Table13456789101112131415161734[[#This Row],[FRA]]-B137)/B137</f>
        <v/>
      </c>
      <c r="D138" s="24">
        <f>(Table13456789101112131415161734[[#This Row],[FRA]]-B126)/B126</f>
        <v/>
      </c>
    </row>
    <row r="139">
      <c r="A139" s="22" t="n">
        <v>37288</v>
      </c>
      <c r="B139" s="86">
        <f>VLOOKUP(A139,Database!$A:$AS,MATCH($B$4,Database!$A$1:$AS$1,0),FALSE)</f>
        <v/>
      </c>
      <c r="C139" s="23">
        <f>(Table13456789101112131415161734[[#This Row],[FRA]]-B138)/B138</f>
        <v/>
      </c>
      <c r="D139" s="24">
        <f>(Table13456789101112131415161734[[#This Row],[FRA]]-B127)/B127</f>
        <v/>
      </c>
    </row>
    <row r="140">
      <c r="A140" s="22" t="n">
        <v>37316</v>
      </c>
      <c r="B140" s="86">
        <f>VLOOKUP(A140,Database!$A:$AS,MATCH($B$4,Database!$A$1:$AS$1,0),FALSE)</f>
        <v/>
      </c>
      <c r="C140" s="23">
        <f>(Table13456789101112131415161734[[#This Row],[FRA]]-B139)/B139</f>
        <v/>
      </c>
      <c r="D140" s="24">
        <f>(Table13456789101112131415161734[[#This Row],[FRA]]-B128)/B128</f>
        <v/>
      </c>
    </row>
    <row r="141">
      <c r="A141" s="22" t="n">
        <v>37347</v>
      </c>
      <c r="B141" s="86">
        <f>VLOOKUP(A141,Database!$A:$AS,MATCH($B$4,Database!$A$1:$AS$1,0),FALSE)</f>
        <v/>
      </c>
      <c r="C141" s="23">
        <f>(Table13456789101112131415161734[[#This Row],[FRA]]-B140)/B140</f>
        <v/>
      </c>
      <c r="D141" s="24">
        <f>(Table13456789101112131415161734[[#This Row],[FRA]]-B129)/B129</f>
        <v/>
      </c>
    </row>
    <row r="142">
      <c r="A142" s="22" t="n">
        <v>37377</v>
      </c>
      <c r="B142" s="86">
        <f>VLOOKUP(A142,Database!$A:$AS,MATCH($B$4,Database!$A$1:$AS$1,0),FALSE)</f>
        <v/>
      </c>
      <c r="C142" s="23">
        <f>(Table13456789101112131415161734[[#This Row],[FRA]]-B141)/B141</f>
        <v/>
      </c>
      <c r="D142" s="24">
        <f>(Table13456789101112131415161734[[#This Row],[FRA]]-B130)/B130</f>
        <v/>
      </c>
    </row>
    <row r="143">
      <c r="A143" s="22" t="n">
        <v>37408</v>
      </c>
      <c r="B143" s="86">
        <f>VLOOKUP(A143,Database!$A:$AS,MATCH($B$4,Database!$A$1:$AS$1,0),FALSE)</f>
        <v/>
      </c>
      <c r="C143" s="23">
        <f>(Table13456789101112131415161734[[#This Row],[FRA]]-B142)/B142</f>
        <v/>
      </c>
      <c r="D143" s="24">
        <f>(Table13456789101112131415161734[[#This Row],[FRA]]-B131)/B131</f>
        <v/>
      </c>
    </row>
    <row r="144">
      <c r="A144" s="22" t="n">
        <v>37438</v>
      </c>
      <c r="B144" s="86">
        <f>VLOOKUP(A144,Database!$A:$AS,MATCH($B$4,Database!$A$1:$AS$1,0),FALSE)</f>
        <v/>
      </c>
      <c r="C144" s="23">
        <f>(Table13456789101112131415161734[[#This Row],[FRA]]-B143)/B143</f>
        <v/>
      </c>
      <c r="D144" s="24">
        <f>(Table13456789101112131415161734[[#This Row],[FRA]]-B132)/B132</f>
        <v/>
      </c>
    </row>
    <row r="145">
      <c r="A145" s="22" t="n">
        <v>37469</v>
      </c>
      <c r="B145" s="86">
        <f>VLOOKUP(A145,Database!$A:$AS,MATCH($B$4,Database!$A$1:$AS$1,0),FALSE)</f>
        <v/>
      </c>
      <c r="C145" s="23">
        <f>(Table13456789101112131415161734[[#This Row],[FRA]]-B144)/B144</f>
        <v/>
      </c>
      <c r="D145" s="24">
        <f>(Table13456789101112131415161734[[#This Row],[FRA]]-B133)/B133</f>
        <v/>
      </c>
    </row>
    <row r="146">
      <c r="A146" s="22" t="n">
        <v>37500</v>
      </c>
      <c r="B146" s="86">
        <f>VLOOKUP(A146,Database!$A:$AS,MATCH($B$4,Database!$A$1:$AS$1,0),FALSE)</f>
        <v/>
      </c>
      <c r="C146" s="23">
        <f>(Table13456789101112131415161734[[#This Row],[FRA]]-B145)/B145</f>
        <v/>
      </c>
      <c r="D146" s="24">
        <f>(Table13456789101112131415161734[[#This Row],[FRA]]-B134)/B134</f>
        <v/>
      </c>
    </row>
    <row r="147">
      <c r="A147" s="22" t="n">
        <v>37530</v>
      </c>
      <c r="B147" s="86">
        <f>VLOOKUP(A147,Database!$A:$AS,MATCH($B$4,Database!$A$1:$AS$1,0),FALSE)</f>
        <v/>
      </c>
      <c r="C147" s="23">
        <f>(Table13456789101112131415161734[[#This Row],[FRA]]-B146)/B146</f>
        <v/>
      </c>
      <c r="D147" s="24">
        <f>(Table13456789101112131415161734[[#This Row],[FRA]]-B135)/B135</f>
        <v/>
      </c>
    </row>
    <row r="148">
      <c r="A148" s="22" t="n">
        <v>37561</v>
      </c>
      <c r="B148" s="86">
        <f>VLOOKUP(A148,Database!$A:$AS,MATCH($B$4,Database!$A$1:$AS$1,0),FALSE)</f>
        <v/>
      </c>
      <c r="C148" s="23">
        <f>(Table13456789101112131415161734[[#This Row],[FRA]]-B147)/B147</f>
        <v/>
      </c>
      <c r="D148" s="24">
        <f>(Table13456789101112131415161734[[#This Row],[FRA]]-B136)/B136</f>
        <v/>
      </c>
    </row>
    <row r="149">
      <c r="A149" s="22" t="n">
        <v>37591</v>
      </c>
      <c r="B149" s="86">
        <f>VLOOKUP(A149,Database!$A:$AS,MATCH($B$4,Database!$A$1:$AS$1,0),FALSE)</f>
        <v/>
      </c>
      <c r="C149" s="23">
        <f>(Table13456789101112131415161734[[#This Row],[FRA]]-B148)/B148</f>
        <v/>
      </c>
      <c r="D149" s="24">
        <f>(Table13456789101112131415161734[[#This Row],[FRA]]-B137)/B137</f>
        <v/>
      </c>
    </row>
    <row r="150">
      <c r="A150" s="22" t="n">
        <v>37622</v>
      </c>
      <c r="B150" s="86">
        <f>VLOOKUP(A150,Database!$A:$AS,MATCH($B$4,Database!$A$1:$AS$1,0),FALSE)</f>
        <v/>
      </c>
      <c r="C150" s="23">
        <f>(Table13456789101112131415161734[[#This Row],[FRA]]-B149)/B149</f>
        <v/>
      </c>
      <c r="D150" s="24">
        <f>(Table13456789101112131415161734[[#This Row],[FRA]]-B138)/B138</f>
        <v/>
      </c>
    </row>
    <row r="151">
      <c r="A151" s="22" t="n">
        <v>37653</v>
      </c>
      <c r="B151" s="86">
        <f>VLOOKUP(A151,Database!$A:$AS,MATCH($B$4,Database!$A$1:$AS$1,0),FALSE)</f>
        <v/>
      </c>
      <c r="C151" s="23">
        <f>(Table13456789101112131415161734[[#This Row],[FRA]]-B150)/B150</f>
        <v/>
      </c>
      <c r="D151" s="24">
        <f>(Table13456789101112131415161734[[#This Row],[FRA]]-B139)/B139</f>
        <v/>
      </c>
    </row>
    <row r="152">
      <c r="A152" s="22" t="n">
        <v>37681</v>
      </c>
      <c r="B152" s="86">
        <f>VLOOKUP(A152,Database!$A:$AS,MATCH($B$4,Database!$A$1:$AS$1,0),FALSE)</f>
        <v/>
      </c>
      <c r="C152" s="23">
        <f>(Table13456789101112131415161734[[#This Row],[FRA]]-B151)/B151</f>
        <v/>
      </c>
      <c r="D152" s="24">
        <f>(Table13456789101112131415161734[[#This Row],[FRA]]-B140)/B140</f>
        <v/>
      </c>
    </row>
    <row r="153">
      <c r="A153" s="22" t="n">
        <v>37712</v>
      </c>
      <c r="B153" s="86">
        <f>VLOOKUP(A153,Database!$A:$AS,MATCH($B$4,Database!$A$1:$AS$1,0),FALSE)</f>
        <v/>
      </c>
      <c r="C153" s="23">
        <f>(Table13456789101112131415161734[[#This Row],[FRA]]-B152)/B152</f>
        <v/>
      </c>
      <c r="D153" s="24">
        <f>(Table13456789101112131415161734[[#This Row],[FRA]]-B141)/B141</f>
        <v/>
      </c>
    </row>
    <row r="154">
      <c r="A154" s="22" t="n">
        <v>37742</v>
      </c>
      <c r="B154" s="86">
        <f>VLOOKUP(A154,Database!$A:$AS,MATCH($B$4,Database!$A$1:$AS$1,0),FALSE)</f>
        <v/>
      </c>
      <c r="C154" s="23">
        <f>(Table13456789101112131415161734[[#This Row],[FRA]]-B153)/B153</f>
        <v/>
      </c>
      <c r="D154" s="24">
        <f>(Table13456789101112131415161734[[#This Row],[FRA]]-B142)/B142</f>
        <v/>
      </c>
    </row>
    <row r="155">
      <c r="A155" s="22" t="n">
        <v>37773</v>
      </c>
      <c r="B155" s="86">
        <f>VLOOKUP(A155,Database!$A:$AS,MATCH($B$4,Database!$A$1:$AS$1,0),FALSE)</f>
        <v/>
      </c>
      <c r="C155" s="23">
        <f>(Table13456789101112131415161734[[#This Row],[FRA]]-B154)/B154</f>
        <v/>
      </c>
      <c r="D155" s="24">
        <f>(Table13456789101112131415161734[[#This Row],[FRA]]-B143)/B143</f>
        <v/>
      </c>
    </row>
    <row r="156">
      <c r="A156" s="22" t="n">
        <v>37803</v>
      </c>
      <c r="B156" s="86">
        <f>VLOOKUP(A156,Database!$A:$AS,MATCH($B$4,Database!$A$1:$AS$1,0),FALSE)</f>
        <v/>
      </c>
      <c r="C156" s="23">
        <f>(Table13456789101112131415161734[[#This Row],[FRA]]-B155)/B155</f>
        <v/>
      </c>
      <c r="D156" s="24">
        <f>(Table13456789101112131415161734[[#This Row],[FRA]]-B144)/B144</f>
        <v/>
      </c>
    </row>
    <row r="157">
      <c r="A157" s="22" t="n">
        <v>37834</v>
      </c>
      <c r="B157" s="86">
        <f>VLOOKUP(A157,Database!$A:$AS,MATCH($B$4,Database!$A$1:$AS$1,0),FALSE)</f>
        <v/>
      </c>
      <c r="C157" s="23">
        <f>(Table13456789101112131415161734[[#This Row],[FRA]]-B156)/B156</f>
        <v/>
      </c>
      <c r="D157" s="24">
        <f>(Table13456789101112131415161734[[#This Row],[FRA]]-B145)/B145</f>
        <v/>
      </c>
    </row>
    <row r="158">
      <c r="A158" s="22" t="n">
        <v>37865</v>
      </c>
      <c r="B158" s="86">
        <f>VLOOKUP(A158,Database!$A:$AS,MATCH($B$4,Database!$A$1:$AS$1,0),FALSE)</f>
        <v/>
      </c>
      <c r="C158" s="23">
        <f>(Table13456789101112131415161734[[#This Row],[FRA]]-B157)/B157</f>
        <v/>
      </c>
      <c r="D158" s="24">
        <f>(Table13456789101112131415161734[[#This Row],[FRA]]-B146)/B146</f>
        <v/>
      </c>
    </row>
    <row r="159">
      <c r="A159" s="22" t="n">
        <v>37895</v>
      </c>
      <c r="B159" s="86">
        <f>VLOOKUP(A159,Database!$A:$AS,MATCH($B$4,Database!$A$1:$AS$1,0),FALSE)</f>
        <v/>
      </c>
      <c r="C159" s="23">
        <f>(Table13456789101112131415161734[[#This Row],[FRA]]-B158)/B158</f>
        <v/>
      </c>
      <c r="D159" s="24">
        <f>(Table13456789101112131415161734[[#This Row],[FRA]]-B147)/B147</f>
        <v/>
      </c>
    </row>
    <row r="160">
      <c r="A160" s="22" t="n">
        <v>37926</v>
      </c>
      <c r="B160" s="86">
        <f>VLOOKUP(A160,Database!$A:$AS,MATCH($B$4,Database!$A$1:$AS$1,0),FALSE)</f>
        <v/>
      </c>
      <c r="C160" s="23">
        <f>(Table13456789101112131415161734[[#This Row],[FRA]]-B159)/B159</f>
        <v/>
      </c>
      <c r="D160" s="24">
        <f>(Table13456789101112131415161734[[#This Row],[FRA]]-B148)/B148</f>
        <v/>
      </c>
    </row>
    <row r="161">
      <c r="A161" s="22" t="n">
        <v>37956</v>
      </c>
      <c r="B161" s="86">
        <f>VLOOKUP(A161,Database!$A:$AS,MATCH($B$4,Database!$A$1:$AS$1,0),FALSE)</f>
        <v/>
      </c>
      <c r="C161" s="23">
        <f>(Table13456789101112131415161734[[#This Row],[FRA]]-B160)/B160</f>
        <v/>
      </c>
      <c r="D161" s="24">
        <f>(Table13456789101112131415161734[[#This Row],[FRA]]-B149)/B149</f>
        <v/>
      </c>
    </row>
    <row r="162">
      <c r="A162" s="22" t="n">
        <v>37987</v>
      </c>
      <c r="B162" s="86">
        <f>VLOOKUP(A162,Database!$A:$AS,MATCH($B$4,Database!$A$1:$AS$1,0),FALSE)</f>
        <v/>
      </c>
      <c r="C162" s="23">
        <f>(Table13456789101112131415161734[[#This Row],[FRA]]-B161)/B161</f>
        <v/>
      </c>
      <c r="D162" s="24">
        <f>(Table13456789101112131415161734[[#This Row],[FRA]]-B150)/B150</f>
        <v/>
      </c>
    </row>
    <row r="163">
      <c r="A163" s="22" t="n">
        <v>38018</v>
      </c>
      <c r="B163" s="86">
        <f>VLOOKUP(A163,Database!$A:$AS,MATCH($B$4,Database!$A$1:$AS$1,0),FALSE)</f>
        <v/>
      </c>
      <c r="C163" s="23">
        <f>(Table13456789101112131415161734[[#This Row],[FRA]]-B162)/B162</f>
        <v/>
      </c>
      <c r="D163" s="24">
        <f>(Table13456789101112131415161734[[#This Row],[FRA]]-B151)/B151</f>
        <v/>
      </c>
    </row>
    <row r="164">
      <c r="A164" s="22" t="n">
        <v>38047</v>
      </c>
      <c r="B164" s="86">
        <f>VLOOKUP(A164,Database!$A:$AS,MATCH($B$4,Database!$A$1:$AS$1,0),FALSE)</f>
        <v/>
      </c>
      <c r="C164" s="23">
        <f>(Table13456789101112131415161734[[#This Row],[FRA]]-B163)/B163</f>
        <v/>
      </c>
      <c r="D164" s="24">
        <f>(Table13456789101112131415161734[[#This Row],[FRA]]-B152)/B152</f>
        <v/>
      </c>
    </row>
    <row r="165">
      <c r="A165" s="22" t="n">
        <v>38078</v>
      </c>
      <c r="B165" s="86">
        <f>VLOOKUP(A165,Database!$A:$AS,MATCH($B$4,Database!$A$1:$AS$1,0),FALSE)</f>
        <v/>
      </c>
      <c r="C165" s="23">
        <f>(Table13456789101112131415161734[[#This Row],[FRA]]-B164)/B164</f>
        <v/>
      </c>
      <c r="D165" s="24">
        <f>(Table13456789101112131415161734[[#This Row],[FRA]]-B153)/B153</f>
        <v/>
      </c>
    </row>
    <row r="166">
      <c r="A166" s="22" t="n">
        <v>38108</v>
      </c>
      <c r="B166" s="86">
        <f>VLOOKUP(A166,Database!$A:$AS,MATCH($B$4,Database!$A$1:$AS$1,0),FALSE)</f>
        <v/>
      </c>
      <c r="C166" s="23">
        <f>(Table13456789101112131415161734[[#This Row],[FRA]]-B165)/B165</f>
        <v/>
      </c>
      <c r="D166" s="24">
        <f>(Table13456789101112131415161734[[#This Row],[FRA]]-B154)/B154</f>
        <v/>
      </c>
    </row>
    <row r="167">
      <c r="A167" s="22" t="n">
        <v>38139</v>
      </c>
      <c r="B167" s="86">
        <f>VLOOKUP(A167,Database!$A:$AS,MATCH($B$4,Database!$A$1:$AS$1,0),FALSE)</f>
        <v/>
      </c>
      <c r="C167" s="23">
        <f>(Table13456789101112131415161734[[#This Row],[FRA]]-B166)/B166</f>
        <v/>
      </c>
      <c r="D167" s="24">
        <f>(Table13456789101112131415161734[[#This Row],[FRA]]-B155)/B155</f>
        <v/>
      </c>
    </row>
    <row r="168">
      <c r="A168" s="22" t="n">
        <v>38169</v>
      </c>
      <c r="B168" s="86">
        <f>VLOOKUP(A168,Database!$A:$AS,MATCH($B$4,Database!$A$1:$AS$1,0),FALSE)</f>
        <v/>
      </c>
      <c r="C168" s="23">
        <f>(Table13456789101112131415161734[[#This Row],[FRA]]-B167)/B167</f>
        <v/>
      </c>
      <c r="D168" s="24">
        <f>(Table13456789101112131415161734[[#This Row],[FRA]]-B156)/B156</f>
        <v/>
      </c>
    </row>
    <row r="169">
      <c r="A169" s="22" t="n">
        <v>38200</v>
      </c>
      <c r="B169" s="86">
        <f>VLOOKUP(A169,Database!$A:$AS,MATCH($B$4,Database!$A$1:$AS$1,0),FALSE)</f>
        <v/>
      </c>
      <c r="C169" s="23">
        <f>(Table13456789101112131415161734[[#This Row],[FRA]]-B168)/B168</f>
        <v/>
      </c>
      <c r="D169" s="24">
        <f>(Table13456789101112131415161734[[#This Row],[FRA]]-B157)/B157</f>
        <v/>
      </c>
    </row>
    <row r="170">
      <c r="A170" s="22" t="n">
        <v>38231</v>
      </c>
      <c r="B170" s="86">
        <f>VLOOKUP(A170,Database!$A:$AS,MATCH($B$4,Database!$A$1:$AS$1,0),FALSE)</f>
        <v/>
      </c>
      <c r="C170" s="23">
        <f>(Table13456789101112131415161734[[#This Row],[FRA]]-B169)/B169</f>
        <v/>
      </c>
      <c r="D170" s="24">
        <f>(Table13456789101112131415161734[[#This Row],[FRA]]-B158)/B158</f>
        <v/>
      </c>
    </row>
    <row r="171">
      <c r="A171" s="22" t="n">
        <v>38261</v>
      </c>
      <c r="B171" s="86">
        <f>VLOOKUP(A171,Database!$A:$AS,MATCH($B$4,Database!$A$1:$AS$1,0),FALSE)</f>
        <v/>
      </c>
      <c r="C171" s="23">
        <f>(Table13456789101112131415161734[[#This Row],[FRA]]-B170)/B170</f>
        <v/>
      </c>
      <c r="D171" s="24">
        <f>(Table13456789101112131415161734[[#This Row],[FRA]]-B159)/B159</f>
        <v/>
      </c>
    </row>
    <row r="172">
      <c r="A172" s="22" t="n">
        <v>38292</v>
      </c>
      <c r="B172" s="86">
        <f>VLOOKUP(A172,Database!$A:$AS,MATCH($B$4,Database!$A$1:$AS$1,0),FALSE)</f>
        <v/>
      </c>
      <c r="C172" s="23">
        <f>(Table13456789101112131415161734[[#This Row],[FRA]]-B171)/B171</f>
        <v/>
      </c>
      <c r="D172" s="24">
        <f>(Table13456789101112131415161734[[#This Row],[FRA]]-B160)/B160</f>
        <v/>
      </c>
    </row>
    <row r="173">
      <c r="A173" s="22" t="n">
        <v>38322</v>
      </c>
      <c r="B173" s="86">
        <f>VLOOKUP(A173,Database!$A:$AS,MATCH($B$4,Database!$A$1:$AS$1,0),FALSE)</f>
        <v/>
      </c>
      <c r="C173" s="23">
        <f>(Table13456789101112131415161734[[#This Row],[FRA]]-B172)/B172</f>
        <v/>
      </c>
      <c r="D173" s="24">
        <f>(Table13456789101112131415161734[[#This Row],[FRA]]-B161)/B161</f>
        <v/>
      </c>
    </row>
    <row r="174">
      <c r="A174" s="22" t="n">
        <v>38353</v>
      </c>
      <c r="B174" s="86">
        <f>VLOOKUP(A174,Database!$A:$AS,MATCH($B$4,Database!$A$1:$AS$1,0),FALSE)</f>
        <v/>
      </c>
      <c r="C174" s="23">
        <f>(Table13456789101112131415161734[[#This Row],[FRA]]-B173)/B173</f>
        <v/>
      </c>
      <c r="D174" s="24">
        <f>(Table13456789101112131415161734[[#This Row],[FRA]]-B162)/B162</f>
        <v/>
      </c>
    </row>
    <row r="175">
      <c r="A175" s="22" t="n">
        <v>38384</v>
      </c>
      <c r="B175" s="86">
        <f>VLOOKUP(A175,Database!$A:$AS,MATCH($B$4,Database!$A$1:$AS$1,0),FALSE)</f>
        <v/>
      </c>
      <c r="C175" s="23">
        <f>(Table13456789101112131415161734[[#This Row],[FRA]]-B174)/B174</f>
        <v/>
      </c>
      <c r="D175" s="24">
        <f>(Table13456789101112131415161734[[#This Row],[FRA]]-B163)/B163</f>
        <v/>
      </c>
    </row>
    <row r="176">
      <c r="A176" s="22" t="n">
        <v>38412</v>
      </c>
      <c r="B176" s="86">
        <f>VLOOKUP(A176,Database!$A:$AS,MATCH($B$4,Database!$A$1:$AS$1,0),FALSE)</f>
        <v/>
      </c>
      <c r="C176" s="23">
        <f>(Table13456789101112131415161734[[#This Row],[FRA]]-B175)/B175</f>
        <v/>
      </c>
      <c r="D176" s="24">
        <f>(Table13456789101112131415161734[[#This Row],[FRA]]-B164)/B164</f>
        <v/>
      </c>
    </row>
    <row r="177">
      <c r="A177" s="22" t="n">
        <v>38443</v>
      </c>
      <c r="B177" s="86">
        <f>VLOOKUP(A177,Database!$A:$AS,MATCH($B$4,Database!$A$1:$AS$1,0),FALSE)</f>
        <v/>
      </c>
      <c r="C177" s="23">
        <f>(Table13456789101112131415161734[[#This Row],[FRA]]-B176)/B176</f>
        <v/>
      </c>
      <c r="D177" s="24">
        <f>(Table13456789101112131415161734[[#This Row],[FRA]]-B165)/B165</f>
        <v/>
      </c>
    </row>
    <row r="178">
      <c r="A178" s="22" t="n">
        <v>38473</v>
      </c>
      <c r="B178" s="86">
        <f>VLOOKUP(A178,Database!$A:$AS,MATCH($B$4,Database!$A$1:$AS$1,0),FALSE)</f>
        <v/>
      </c>
      <c r="C178" s="23">
        <f>(Table13456789101112131415161734[[#This Row],[FRA]]-B177)/B177</f>
        <v/>
      </c>
      <c r="D178" s="24">
        <f>(Table13456789101112131415161734[[#This Row],[FRA]]-B166)/B166</f>
        <v/>
      </c>
    </row>
    <row r="179">
      <c r="A179" s="22" t="n">
        <v>38504</v>
      </c>
      <c r="B179" s="86">
        <f>VLOOKUP(A179,Database!$A:$AS,MATCH($B$4,Database!$A$1:$AS$1,0),FALSE)</f>
        <v/>
      </c>
      <c r="C179" s="23">
        <f>(Table13456789101112131415161734[[#This Row],[FRA]]-B178)/B178</f>
        <v/>
      </c>
      <c r="D179" s="24">
        <f>(Table13456789101112131415161734[[#This Row],[FRA]]-B167)/B167</f>
        <v/>
      </c>
    </row>
    <row r="180">
      <c r="A180" s="22" t="n">
        <v>38534</v>
      </c>
      <c r="B180" s="86">
        <f>VLOOKUP(A180,Database!$A:$AS,MATCH($B$4,Database!$A$1:$AS$1,0),FALSE)</f>
        <v/>
      </c>
      <c r="C180" s="23">
        <f>(Table13456789101112131415161734[[#This Row],[FRA]]-B179)/B179</f>
        <v/>
      </c>
      <c r="D180" s="24">
        <f>(Table13456789101112131415161734[[#This Row],[FRA]]-B168)/B168</f>
        <v/>
      </c>
    </row>
    <row r="181">
      <c r="A181" s="22" t="n">
        <v>38565</v>
      </c>
      <c r="B181" s="86">
        <f>VLOOKUP(A181,Database!$A:$AS,MATCH($B$4,Database!$A$1:$AS$1,0),FALSE)</f>
        <v/>
      </c>
      <c r="C181" s="23">
        <f>(Table13456789101112131415161734[[#This Row],[FRA]]-B180)/B180</f>
        <v/>
      </c>
      <c r="D181" s="24">
        <f>(Table13456789101112131415161734[[#This Row],[FRA]]-B169)/B169</f>
        <v/>
      </c>
    </row>
    <row r="182">
      <c r="A182" s="22" t="n">
        <v>38596</v>
      </c>
      <c r="B182" s="86">
        <f>VLOOKUP(A182,Database!$A:$AS,MATCH($B$4,Database!$A$1:$AS$1,0),FALSE)</f>
        <v/>
      </c>
      <c r="C182" s="23">
        <f>(Table13456789101112131415161734[[#This Row],[FRA]]-B181)/B181</f>
        <v/>
      </c>
      <c r="D182" s="24">
        <f>(Table13456789101112131415161734[[#This Row],[FRA]]-B170)/B170</f>
        <v/>
      </c>
    </row>
    <row r="183">
      <c r="A183" s="22" t="n">
        <v>38626</v>
      </c>
      <c r="B183" s="86">
        <f>VLOOKUP(A183,Database!$A:$AS,MATCH($B$4,Database!$A$1:$AS$1,0),FALSE)</f>
        <v/>
      </c>
      <c r="C183" s="23">
        <f>(Table13456789101112131415161734[[#This Row],[FRA]]-B182)/B182</f>
        <v/>
      </c>
      <c r="D183" s="24">
        <f>(Table13456789101112131415161734[[#This Row],[FRA]]-B171)/B171</f>
        <v/>
      </c>
    </row>
    <row r="184">
      <c r="A184" s="22" t="n">
        <v>38657</v>
      </c>
      <c r="B184" s="86">
        <f>VLOOKUP(A184,Database!$A:$AS,MATCH($B$4,Database!$A$1:$AS$1,0),FALSE)</f>
        <v/>
      </c>
      <c r="C184" s="23">
        <f>(Table13456789101112131415161734[[#This Row],[FRA]]-B183)/B183</f>
        <v/>
      </c>
      <c r="D184" s="24">
        <f>(Table13456789101112131415161734[[#This Row],[FRA]]-B172)/B172</f>
        <v/>
      </c>
    </row>
    <row r="185">
      <c r="A185" s="22" t="n">
        <v>38687</v>
      </c>
      <c r="B185" s="86">
        <f>VLOOKUP(A185,Database!$A:$AS,MATCH($B$4,Database!$A$1:$AS$1,0),FALSE)</f>
        <v/>
      </c>
      <c r="C185" s="23">
        <f>(Table13456789101112131415161734[[#This Row],[FRA]]-B184)/B184</f>
        <v/>
      </c>
      <c r="D185" s="24">
        <f>(Table13456789101112131415161734[[#This Row],[FRA]]-B173)/B173</f>
        <v/>
      </c>
    </row>
    <row r="186">
      <c r="A186" s="22" t="n">
        <v>38718</v>
      </c>
      <c r="B186" s="86">
        <f>VLOOKUP(A186,Database!$A:$AS,MATCH($B$4,Database!$A$1:$AS$1,0),FALSE)</f>
        <v/>
      </c>
      <c r="C186" s="23">
        <f>(Table13456789101112131415161734[[#This Row],[FRA]]-B185)/B185</f>
        <v/>
      </c>
      <c r="D186" s="24">
        <f>(Table13456789101112131415161734[[#This Row],[FRA]]-B174)/B174</f>
        <v/>
      </c>
    </row>
    <row r="187">
      <c r="A187" s="22" t="n">
        <v>38749</v>
      </c>
      <c r="B187" s="86">
        <f>VLOOKUP(A187,Database!$A:$AS,MATCH($B$4,Database!$A$1:$AS$1,0),FALSE)</f>
        <v/>
      </c>
      <c r="C187" s="23">
        <f>(Table13456789101112131415161734[[#This Row],[FRA]]-B186)/B186</f>
        <v/>
      </c>
      <c r="D187" s="24">
        <f>(Table13456789101112131415161734[[#This Row],[FRA]]-B175)/B175</f>
        <v/>
      </c>
    </row>
    <row r="188">
      <c r="A188" s="22" t="n">
        <v>38777</v>
      </c>
      <c r="B188" s="86">
        <f>VLOOKUP(A188,Database!$A:$AS,MATCH($B$4,Database!$A$1:$AS$1,0),FALSE)</f>
        <v/>
      </c>
      <c r="C188" s="23">
        <f>(Table13456789101112131415161734[[#This Row],[FRA]]-B187)/B187</f>
        <v/>
      </c>
      <c r="D188" s="24">
        <f>(Table13456789101112131415161734[[#This Row],[FRA]]-B176)/B176</f>
        <v/>
      </c>
    </row>
    <row r="189">
      <c r="A189" s="22" t="n">
        <v>38808</v>
      </c>
      <c r="B189" s="86">
        <f>VLOOKUP(A189,Database!$A:$AS,MATCH($B$4,Database!$A$1:$AS$1,0),FALSE)</f>
        <v/>
      </c>
      <c r="C189" s="23">
        <f>(Table13456789101112131415161734[[#This Row],[FRA]]-B188)/B188</f>
        <v/>
      </c>
      <c r="D189" s="24">
        <f>(Table13456789101112131415161734[[#This Row],[FRA]]-B177)/B177</f>
        <v/>
      </c>
    </row>
    <row r="190">
      <c r="A190" s="22" t="n">
        <v>38838</v>
      </c>
      <c r="B190" s="86">
        <f>VLOOKUP(A190,Database!$A:$AS,MATCH($B$4,Database!$A$1:$AS$1,0),FALSE)</f>
        <v/>
      </c>
      <c r="C190" s="23">
        <f>(Table13456789101112131415161734[[#This Row],[FRA]]-B189)/B189</f>
        <v/>
      </c>
      <c r="D190" s="24">
        <f>(Table13456789101112131415161734[[#This Row],[FRA]]-B178)/B178</f>
        <v/>
      </c>
    </row>
    <row r="191">
      <c r="A191" s="22" t="n">
        <v>38869</v>
      </c>
      <c r="B191" s="86">
        <f>VLOOKUP(A191,Database!$A:$AS,MATCH($B$4,Database!$A$1:$AS$1,0),FALSE)</f>
        <v/>
      </c>
      <c r="C191" s="23">
        <f>(Table13456789101112131415161734[[#This Row],[FRA]]-B190)/B190</f>
        <v/>
      </c>
      <c r="D191" s="24">
        <f>(Table13456789101112131415161734[[#This Row],[FRA]]-B179)/B179</f>
        <v/>
      </c>
    </row>
    <row r="192">
      <c r="A192" s="22" t="n">
        <v>38899</v>
      </c>
      <c r="B192" s="86">
        <f>VLOOKUP(A192,Database!$A:$AS,MATCH($B$4,Database!$A$1:$AS$1,0),FALSE)</f>
        <v/>
      </c>
      <c r="C192" s="23">
        <f>(Table13456789101112131415161734[[#This Row],[FRA]]-B191)/B191</f>
        <v/>
      </c>
      <c r="D192" s="24">
        <f>(Table13456789101112131415161734[[#This Row],[FRA]]-B180)/B180</f>
        <v/>
      </c>
    </row>
    <row r="193">
      <c r="A193" s="22" t="n">
        <v>38930</v>
      </c>
      <c r="B193" s="86">
        <f>VLOOKUP(A193,Database!$A:$AS,MATCH($B$4,Database!$A$1:$AS$1,0),FALSE)</f>
        <v/>
      </c>
      <c r="C193" s="23">
        <f>(Table13456789101112131415161734[[#This Row],[FRA]]-B192)/B192</f>
        <v/>
      </c>
      <c r="D193" s="24">
        <f>(Table13456789101112131415161734[[#This Row],[FRA]]-B181)/B181</f>
        <v/>
      </c>
    </row>
    <row r="194">
      <c r="A194" s="22" t="n">
        <v>38961</v>
      </c>
      <c r="B194" s="86">
        <f>VLOOKUP(A194,Database!$A:$AS,MATCH($B$4,Database!$A$1:$AS$1,0),FALSE)</f>
        <v/>
      </c>
      <c r="C194" s="23">
        <f>(Table13456789101112131415161734[[#This Row],[FRA]]-B193)/B193</f>
        <v/>
      </c>
      <c r="D194" s="24">
        <f>(Table13456789101112131415161734[[#This Row],[FRA]]-B182)/B182</f>
        <v/>
      </c>
    </row>
    <row r="195">
      <c r="A195" s="22" t="n">
        <v>38991</v>
      </c>
      <c r="B195" s="86">
        <f>VLOOKUP(A195,Database!$A:$AS,MATCH($B$4,Database!$A$1:$AS$1,0),FALSE)</f>
        <v/>
      </c>
      <c r="C195" s="23">
        <f>(Table13456789101112131415161734[[#This Row],[FRA]]-B194)/B194</f>
        <v/>
      </c>
      <c r="D195" s="24">
        <f>(Table13456789101112131415161734[[#This Row],[FRA]]-B183)/B183</f>
        <v/>
      </c>
    </row>
    <row r="196">
      <c r="A196" s="22" t="n">
        <v>39022</v>
      </c>
      <c r="B196" s="86">
        <f>VLOOKUP(A196,Database!$A:$AS,MATCH($B$4,Database!$A$1:$AS$1,0),FALSE)</f>
        <v/>
      </c>
      <c r="C196" s="23">
        <f>(Table13456789101112131415161734[[#This Row],[FRA]]-B195)/B195</f>
        <v/>
      </c>
      <c r="D196" s="24">
        <f>(Table13456789101112131415161734[[#This Row],[FRA]]-B184)/B184</f>
        <v/>
      </c>
    </row>
    <row r="197">
      <c r="A197" s="22" t="n">
        <v>39052</v>
      </c>
      <c r="B197" s="86">
        <f>VLOOKUP(A197,Database!$A:$AS,MATCH($B$4,Database!$A$1:$AS$1,0),FALSE)</f>
        <v/>
      </c>
      <c r="C197" s="23">
        <f>(Table13456789101112131415161734[[#This Row],[FRA]]-B196)/B196</f>
        <v/>
      </c>
      <c r="D197" s="24">
        <f>(Table13456789101112131415161734[[#This Row],[FRA]]-B185)/B185</f>
        <v/>
      </c>
    </row>
    <row r="198">
      <c r="A198" s="22" t="n">
        <v>39083</v>
      </c>
      <c r="B198" s="86">
        <f>VLOOKUP(A198,Database!$A:$AS,MATCH($B$4,Database!$A$1:$AS$1,0),FALSE)</f>
        <v/>
      </c>
      <c r="C198" s="23">
        <f>(Table13456789101112131415161734[[#This Row],[FRA]]-B197)/B197</f>
        <v/>
      </c>
      <c r="D198" s="24">
        <f>(Table13456789101112131415161734[[#This Row],[FRA]]-B186)/B186</f>
        <v/>
      </c>
    </row>
    <row r="199">
      <c r="A199" s="22" t="n">
        <v>39114</v>
      </c>
      <c r="B199" s="86">
        <f>VLOOKUP(A199,Database!$A:$AS,MATCH($B$4,Database!$A$1:$AS$1,0),FALSE)</f>
        <v/>
      </c>
      <c r="C199" s="23">
        <f>(Table13456789101112131415161734[[#This Row],[FRA]]-B198)/B198</f>
        <v/>
      </c>
      <c r="D199" s="24">
        <f>(Table13456789101112131415161734[[#This Row],[FRA]]-B187)/B187</f>
        <v/>
      </c>
    </row>
    <row r="200">
      <c r="A200" s="22" t="n">
        <v>39142</v>
      </c>
      <c r="B200" s="86">
        <f>VLOOKUP(A200,Database!$A:$AS,MATCH($B$4,Database!$A$1:$AS$1,0),FALSE)</f>
        <v/>
      </c>
      <c r="C200" s="23">
        <f>(Table13456789101112131415161734[[#This Row],[FRA]]-B199)/B199</f>
        <v/>
      </c>
      <c r="D200" s="24">
        <f>(Table13456789101112131415161734[[#This Row],[FRA]]-B188)/B188</f>
        <v/>
      </c>
    </row>
    <row r="201">
      <c r="A201" s="22" t="n">
        <v>39173</v>
      </c>
      <c r="B201" s="86">
        <f>VLOOKUP(A201,Database!$A:$AS,MATCH($B$4,Database!$A$1:$AS$1,0),FALSE)</f>
        <v/>
      </c>
      <c r="C201" s="23">
        <f>(Table13456789101112131415161734[[#This Row],[FRA]]-B200)/B200</f>
        <v/>
      </c>
      <c r="D201" s="24">
        <f>(Table13456789101112131415161734[[#This Row],[FRA]]-B189)/B189</f>
        <v/>
      </c>
    </row>
    <row r="202">
      <c r="A202" s="22" t="n">
        <v>39203</v>
      </c>
      <c r="B202" s="86">
        <f>VLOOKUP(A202,Database!$A:$AS,MATCH($B$4,Database!$A$1:$AS$1,0),FALSE)</f>
        <v/>
      </c>
      <c r="C202" s="23">
        <f>(Table13456789101112131415161734[[#This Row],[FRA]]-B201)/B201</f>
        <v/>
      </c>
      <c r="D202" s="24">
        <f>(Table13456789101112131415161734[[#This Row],[FRA]]-B190)/B190</f>
        <v/>
      </c>
    </row>
    <row r="203">
      <c r="A203" s="22" t="n">
        <v>39234</v>
      </c>
      <c r="B203" s="86">
        <f>VLOOKUP(A203,Database!$A:$AS,MATCH($B$4,Database!$A$1:$AS$1,0),FALSE)</f>
        <v/>
      </c>
      <c r="C203" s="23">
        <f>(Table13456789101112131415161734[[#This Row],[FRA]]-B202)/B202</f>
        <v/>
      </c>
      <c r="D203" s="24">
        <f>(Table13456789101112131415161734[[#This Row],[FRA]]-B191)/B191</f>
        <v/>
      </c>
    </row>
    <row r="204">
      <c r="A204" s="22" t="n">
        <v>39264</v>
      </c>
      <c r="B204" s="86">
        <f>VLOOKUP(A204,Database!$A:$AS,MATCH($B$4,Database!$A$1:$AS$1,0),FALSE)</f>
        <v/>
      </c>
      <c r="C204" s="23">
        <f>(Table13456789101112131415161734[[#This Row],[FRA]]-B203)/B203</f>
        <v/>
      </c>
      <c r="D204" s="24">
        <f>(Table13456789101112131415161734[[#This Row],[FRA]]-B192)/B192</f>
        <v/>
      </c>
    </row>
    <row r="205">
      <c r="A205" s="22" t="n">
        <v>39295</v>
      </c>
      <c r="B205" s="86">
        <f>VLOOKUP(A205,Database!$A:$AS,MATCH($B$4,Database!$A$1:$AS$1,0),FALSE)</f>
        <v/>
      </c>
      <c r="C205" s="23">
        <f>(Table13456789101112131415161734[[#This Row],[FRA]]-B204)/B204</f>
        <v/>
      </c>
      <c r="D205" s="24">
        <f>(Table13456789101112131415161734[[#This Row],[FRA]]-B193)/B193</f>
        <v/>
      </c>
    </row>
    <row r="206">
      <c r="A206" s="22" t="n">
        <v>39326</v>
      </c>
      <c r="B206" s="86">
        <f>VLOOKUP(A206,Database!$A:$AS,MATCH($B$4,Database!$A$1:$AS$1,0),FALSE)</f>
        <v/>
      </c>
      <c r="C206" s="23">
        <f>(Table13456789101112131415161734[[#This Row],[FRA]]-B205)/B205</f>
        <v/>
      </c>
      <c r="D206" s="24">
        <f>(Table13456789101112131415161734[[#This Row],[FRA]]-B194)/B194</f>
        <v/>
      </c>
    </row>
    <row r="207">
      <c r="A207" s="22" t="n">
        <v>39356</v>
      </c>
      <c r="B207" s="86">
        <f>VLOOKUP(A207,Database!$A:$AS,MATCH($B$4,Database!$A$1:$AS$1,0),FALSE)</f>
        <v/>
      </c>
      <c r="C207" s="23">
        <f>(Table13456789101112131415161734[[#This Row],[FRA]]-B206)/B206</f>
        <v/>
      </c>
      <c r="D207" s="24">
        <f>(Table13456789101112131415161734[[#This Row],[FRA]]-B195)/B195</f>
        <v/>
      </c>
    </row>
    <row r="208">
      <c r="A208" s="22" t="n">
        <v>39387</v>
      </c>
      <c r="B208" s="86">
        <f>VLOOKUP(A208,Database!$A:$AS,MATCH($B$4,Database!$A$1:$AS$1,0),FALSE)</f>
        <v/>
      </c>
      <c r="C208" s="23">
        <f>(Table13456789101112131415161734[[#This Row],[FRA]]-B207)/B207</f>
        <v/>
      </c>
      <c r="D208" s="24">
        <f>(Table13456789101112131415161734[[#This Row],[FRA]]-B196)/B196</f>
        <v/>
      </c>
    </row>
    <row r="209">
      <c r="A209" s="22" t="n">
        <v>39417</v>
      </c>
      <c r="B209" s="86">
        <f>VLOOKUP(A209,Database!$A:$AS,MATCH($B$4,Database!$A$1:$AS$1,0),FALSE)</f>
        <v/>
      </c>
      <c r="C209" s="23">
        <f>(Table13456789101112131415161734[[#This Row],[FRA]]-B208)/B208</f>
        <v/>
      </c>
      <c r="D209" s="24">
        <f>(Table13456789101112131415161734[[#This Row],[FRA]]-B197)/B197</f>
        <v/>
      </c>
    </row>
    <row r="210">
      <c r="A210" s="22" t="n">
        <v>39448</v>
      </c>
      <c r="B210" s="86">
        <f>VLOOKUP(A210,Database!$A:$AS,MATCH($B$4,Database!$A$1:$AS$1,0),FALSE)</f>
        <v/>
      </c>
      <c r="C210" s="23">
        <f>(Table13456789101112131415161734[[#This Row],[FRA]]-B209)/B209</f>
        <v/>
      </c>
      <c r="D210" s="24">
        <f>(Table13456789101112131415161734[[#This Row],[FRA]]-B198)/B198</f>
        <v/>
      </c>
    </row>
    <row r="211">
      <c r="A211" s="22" t="n">
        <v>39479</v>
      </c>
      <c r="B211" s="86">
        <f>VLOOKUP(A211,Database!$A:$AS,MATCH($B$4,Database!$A$1:$AS$1,0),FALSE)</f>
        <v/>
      </c>
      <c r="C211" s="23">
        <f>(Table13456789101112131415161734[[#This Row],[FRA]]-B210)/B210</f>
        <v/>
      </c>
      <c r="D211" s="24">
        <f>(Table13456789101112131415161734[[#This Row],[FRA]]-B199)/B199</f>
        <v/>
      </c>
    </row>
    <row r="212">
      <c r="A212" s="22" t="n">
        <v>39508</v>
      </c>
      <c r="B212" s="86">
        <f>VLOOKUP(A212,Database!$A:$AS,MATCH($B$4,Database!$A$1:$AS$1,0),FALSE)</f>
        <v/>
      </c>
      <c r="C212" s="23">
        <f>(Table13456789101112131415161734[[#This Row],[FRA]]-B211)/B211</f>
        <v/>
      </c>
      <c r="D212" s="24">
        <f>(Table13456789101112131415161734[[#This Row],[FRA]]-B200)/B200</f>
        <v/>
      </c>
    </row>
    <row r="213">
      <c r="A213" s="22" t="n">
        <v>39539</v>
      </c>
      <c r="B213" s="86">
        <f>VLOOKUP(A213,Database!$A:$AS,MATCH($B$4,Database!$A$1:$AS$1,0),FALSE)</f>
        <v/>
      </c>
      <c r="C213" s="23">
        <f>(Table13456789101112131415161734[[#This Row],[FRA]]-B212)/B212</f>
        <v/>
      </c>
      <c r="D213" s="24">
        <f>(Table13456789101112131415161734[[#This Row],[FRA]]-B201)/B201</f>
        <v/>
      </c>
    </row>
    <row r="214">
      <c r="A214" s="22" t="n">
        <v>39569</v>
      </c>
      <c r="B214" s="86">
        <f>VLOOKUP(A214,Database!$A:$AS,MATCH($B$4,Database!$A$1:$AS$1,0),FALSE)</f>
        <v/>
      </c>
      <c r="C214" s="23">
        <f>(Table13456789101112131415161734[[#This Row],[FRA]]-B213)/B213</f>
        <v/>
      </c>
      <c r="D214" s="24">
        <f>(Table13456789101112131415161734[[#This Row],[FRA]]-B202)/B202</f>
        <v/>
      </c>
    </row>
    <row r="215">
      <c r="A215" s="22" t="n">
        <v>39600</v>
      </c>
      <c r="B215" s="86">
        <f>VLOOKUP(A215,Database!$A:$AS,MATCH($B$4,Database!$A$1:$AS$1,0),FALSE)</f>
        <v/>
      </c>
      <c r="C215" s="23">
        <f>(Table13456789101112131415161734[[#This Row],[FRA]]-B214)/B214</f>
        <v/>
      </c>
      <c r="D215" s="24">
        <f>(Table13456789101112131415161734[[#This Row],[FRA]]-B203)/B203</f>
        <v/>
      </c>
    </row>
    <row r="216">
      <c r="A216" s="22" t="n">
        <v>39630</v>
      </c>
      <c r="B216" s="86">
        <f>VLOOKUP(A216,Database!$A:$AS,MATCH($B$4,Database!$A$1:$AS$1,0),FALSE)</f>
        <v/>
      </c>
      <c r="C216" s="23">
        <f>(Table13456789101112131415161734[[#This Row],[FRA]]-B215)/B215</f>
        <v/>
      </c>
      <c r="D216" s="24">
        <f>(Table13456789101112131415161734[[#This Row],[FRA]]-B204)/B204</f>
        <v/>
      </c>
    </row>
    <row r="217">
      <c r="A217" s="22" t="n">
        <v>39661</v>
      </c>
      <c r="B217" s="86">
        <f>VLOOKUP(A217,Database!$A:$AS,MATCH($B$4,Database!$A$1:$AS$1,0),FALSE)</f>
        <v/>
      </c>
      <c r="C217" s="23">
        <f>(Table13456789101112131415161734[[#This Row],[FRA]]-B216)/B216</f>
        <v/>
      </c>
      <c r="D217" s="24">
        <f>(Table13456789101112131415161734[[#This Row],[FRA]]-B205)/B205</f>
        <v/>
      </c>
    </row>
    <row r="218">
      <c r="A218" s="22" t="n">
        <v>39692</v>
      </c>
      <c r="B218" s="86">
        <f>VLOOKUP(A218,Database!$A:$AS,MATCH($B$4,Database!$A$1:$AS$1,0),FALSE)</f>
        <v/>
      </c>
      <c r="C218" s="23">
        <f>(Table13456789101112131415161734[[#This Row],[FRA]]-B217)/B217</f>
        <v/>
      </c>
      <c r="D218" s="24">
        <f>(Table13456789101112131415161734[[#This Row],[FRA]]-B206)/B206</f>
        <v/>
      </c>
    </row>
    <row r="219">
      <c r="A219" s="22" t="n">
        <v>39722</v>
      </c>
      <c r="B219" s="86">
        <f>VLOOKUP(A219,Database!$A:$AS,MATCH($B$4,Database!$A$1:$AS$1,0),FALSE)</f>
        <v/>
      </c>
      <c r="C219" s="23">
        <f>(Table13456789101112131415161734[[#This Row],[FRA]]-B218)/B218</f>
        <v/>
      </c>
      <c r="D219" s="24">
        <f>(Table13456789101112131415161734[[#This Row],[FRA]]-B207)/B207</f>
        <v/>
      </c>
    </row>
    <row r="220">
      <c r="A220" s="22" t="n">
        <v>39753</v>
      </c>
      <c r="B220" s="86">
        <f>VLOOKUP(A220,Database!$A:$AS,MATCH($B$4,Database!$A$1:$AS$1,0),FALSE)</f>
        <v/>
      </c>
      <c r="C220" s="23">
        <f>(Table13456789101112131415161734[[#This Row],[FRA]]-B219)/B219</f>
        <v/>
      </c>
      <c r="D220" s="24">
        <f>(Table13456789101112131415161734[[#This Row],[FRA]]-B208)/B208</f>
        <v/>
      </c>
    </row>
    <row r="221">
      <c r="A221" s="22" t="n">
        <v>39783</v>
      </c>
      <c r="B221" s="86">
        <f>VLOOKUP(A221,Database!$A:$AS,MATCH($B$4,Database!$A$1:$AS$1,0),FALSE)</f>
        <v/>
      </c>
      <c r="C221" s="23">
        <f>(Table13456789101112131415161734[[#This Row],[FRA]]-B220)/B220</f>
        <v/>
      </c>
      <c r="D221" s="24">
        <f>(Table13456789101112131415161734[[#This Row],[FRA]]-B209)/B209</f>
        <v/>
      </c>
    </row>
    <row r="222">
      <c r="A222" s="22" t="n">
        <v>39814</v>
      </c>
      <c r="B222" s="86">
        <f>VLOOKUP(A222,Database!$A:$AS,MATCH($B$4,Database!$A$1:$AS$1,0),FALSE)</f>
        <v/>
      </c>
      <c r="C222" s="23">
        <f>(Table13456789101112131415161734[[#This Row],[FRA]]-B221)/B221</f>
        <v/>
      </c>
      <c r="D222" s="24">
        <f>(Table13456789101112131415161734[[#This Row],[FRA]]-B210)/B210</f>
        <v/>
      </c>
    </row>
    <row r="223">
      <c r="A223" s="22" t="n">
        <v>39845</v>
      </c>
      <c r="B223" s="86">
        <f>VLOOKUP(A223,Database!$A:$AS,MATCH($B$4,Database!$A$1:$AS$1,0),FALSE)</f>
        <v/>
      </c>
      <c r="C223" s="23">
        <f>(Table13456789101112131415161734[[#This Row],[FRA]]-B222)/B222</f>
        <v/>
      </c>
      <c r="D223" s="24">
        <f>(Table13456789101112131415161734[[#This Row],[FRA]]-B211)/B211</f>
        <v/>
      </c>
    </row>
    <row r="224">
      <c r="A224" s="22" t="n">
        <v>39873</v>
      </c>
      <c r="B224" s="86">
        <f>VLOOKUP(A224,Database!$A:$AS,MATCH($B$4,Database!$A$1:$AS$1,0),FALSE)</f>
        <v/>
      </c>
      <c r="C224" s="23">
        <f>(Table13456789101112131415161734[[#This Row],[FRA]]-B223)/B223</f>
        <v/>
      </c>
      <c r="D224" s="24">
        <f>(Table13456789101112131415161734[[#This Row],[FRA]]-B212)/B212</f>
        <v/>
      </c>
    </row>
    <row r="225">
      <c r="A225" s="22" t="n">
        <v>39904</v>
      </c>
      <c r="B225" s="86">
        <f>VLOOKUP(A225,Database!$A:$AS,MATCH($B$4,Database!$A$1:$AS$1,0),FALSE)</f>
        <v/>
      </c>
      <c r="C225" s="23">
        <f>(Table13456789101112131415161734[[#This Row],[FRA]]-B224)/B224</f>
        <v/>
      </c>
      <c r="D225" s="24">
        <f>(Table13456789101112131415161734[[#This Row],[FRA]]-B213)/B213</f>
        <v/>
      </c>
    </row>
    <row r="226">
      <c r="A226" s="22" t="n">
        <v>39934</v>
      </c>
      <c r="B226" s="86">
        <f>VLOOKUP(A226,Database!$A:$AS,MATCH($B$4,Database!$A$1:$AS$1,0),FALSE)</f>
        <v/>
      </c>
      <c r="C226" s="23">
        <f>(Table13456789101112131415161734[[#This Row],[FRA]]-B225)/B225</f>
        <v/>
      </c>
      <c r="D226" s="24">
        <f>(Table13456789101112131415161734[[#This Row],[FRA]]-B214)/B214</f>
        <v/>
      </c>
    </row>
    <row r="227">
      <c r="A227" s="22" t="n">
        <v>39965</v>
      </c>
      <c r="B227" s="86">
        <f>VLOOKUP(A227,Database!$A:$AS,MATCH($B$4,Database!$A$1:$AS$1,0),FALSE)</f>
        <v/>
      </c>
      <c r="C227" s="23">
        <f>(Table13456789101112131415161734[[#This Row],[FRA]]-B226)/B226</f>
        <v/>
      </c>
      <c r="D227" s="24">
        <f>(Table13456789101112131415161734[[#This Row],[FRA]]-B215)/B215</f>
        <v/>
      </c>
    </row>
    <row r="228">
      <c r="A228" s="22" t="n">
        <v>39995</v>
      </c>
      <c r="B228" s="86">
        <f>VLOOKUP(A228,Database!$A:$AS,MATCH($B$4,Database!$A$1:$AS$1,0),FALSE)</f>
        <v/>
      </c>
      <c r="C228" s="23">
        <f>(Table13456789101112131415161734[[#This Row],[FRA]]-B227)/B227</f>
        <v/>
      </c>
      <c r="D228" s="24">
        <f>(Table13456789101112131415161734[[#This Row],[FRA]]-B216)/B216</f>
        <v/>
      </c>
    </row>
    <row r="229">
      <c r="A229" s="22" t="n">
        <v>40026</v>
      </c>
      <c r="B229" s="86">
        <f>VLOOKUP(A229,Database!$A:$AS,MATCH($B$4,Database!$A$1:$AS$1,0),FALSE)</f>
        <v/>
      </c>
      <c r="C229" s="23">
        <f>(Table13456789101112131415161734[[#This Row],[FRA]]-B228)/B228</f>
        <v/>
      </c>
      <c r="D229" s="24">
        <f>(Table13456789101112131415161734[[#This Row],[FRA]]-B217)/B217</f>
        <v/>
      </c>
    </row>
    <row r="230">
      <c r="A230" s="22" t="n">
        <v>40057</v>
      </c>
      <c r="B230" s="86">
        <f>VLOOKUP(A230,Database!$A:$AS,MATCH($B$4,Database!$A$1:$AS$1,0),FALSE)</f>
        <v/>
      </c>
      <c r="C230" s="23">
        <f>(Table13456789101112131415161734[[#This Row],[FRA]]-B229)/B229</f>
        <v/>
      </c>
      <c r="D230" s="24">
        <f>(Table13456789101112131415161734[[#This Row],[FRA]]-B218)/B218</f>
        <v/>
      </c>
    </row>
    <row r="231">
      <c r="A231" s="22" t="n">
        <v>40087</v>
      </c>
      <c r="B231" s="86">
        <f>VLOOKUP(A231,Database!$A:$AS,MATCH($B$4,Database!$A$1:$AS$1,0),FALSE)</f>
        <v/>
      </c>
      <c r="C231" s="23">
        <f>(Table13456789101112131415161734[[#This Row],[FRA]]-B230)/B230</f>
        <v/>
      </c>
      <c r="D231" s="24">
        <f>(Table13456789101112131415161734[[#This Row],[FRA]]-B219)/B219</f>
        <v/>
      </c>
    </row>
    <row r="232">
      <c r="A232" s="22" t="n">
        <v>40118</v>
      </c>
      <c r="B232" s="86">
        <f>VLOOKUP(A232,Database!$A:$AS,MATCH($B$4,Database!$A$1:$AS$1,0),FALSE)</f>
        <v/>
      </c>
      <c r="C232" s="23">
        <f>(Table13456789101112131415161734[[#This Row],[FRA]]-B231)/B231</f>
        <v/>
      </c>
      <c r="D232" s="24">
        <f>(Table13456789101112131415161734[[#This Row],[FRA]]-B220)/B220</f>
        <v/>
      </c>
    </row>
    <row r="233">
      <c r="A233" s="22" t="n">
        <v>40148</v>
      </c>
      <c r="B233" s="86">
        <f>VLOOKUP(A233,Database!$A:$AS,MATCH($B$4,Database!$A$1:$AS$1,0),FALSE)</f>
        <v/>
      </c>
      <c r="C233" s="23">
        <f>(Table13456789101112131415161734[[#This Row],[FRA]]-B232)/B232</f>
        <v/>
      </c>
      <c r="D233" s="24">
        <f>(Table13456789101112131415161734[[#This Row],[FRA]]-B221)/B221</f>
        <v/>
      </c>
    </row>
    <row r="234">
      <c r="A234" s="22" t="n">
        <v>40179</v>
      </c>
      <c r="B234" s="86">
        <f>VLOOKUP(A234,Database!$A:$AS,MATCH($B$4,Database!$A$1:$AS$1,0),FALSE)</f>
        <v/>
      </c>
      <c r="C234" s="23">
        <f>(Table13456789101112131415161734[[#This Row],[FRA]]-B233)/B233</f>
        <v/>
      </c>
      <c r="D234" s="24">
        <f>(Table13456789101112131415161734[[#This Row],[FRA]]-B222)/B222</f>
        <v/>
      </c>
    </row>
    <row r="235">
      <c r="A235" s="22" t="n">
        <v>40210</v>
      </c>
      <c r="B235" s="86">
        <f>VLOOKUP(A235,Database!$A:$AS,MATCH($B$4,Database!$A$1:$AS$1,0),FALSE)</f>
        <v/>
      </c>
      <c r="C235" s="23">
        <f>(Table13456789101112131415161734[[#This Row],[FRA]]-B234)/B234</f>
        <v/>
      </c>
      <c r="D235" s="24">
        <f>(Table13456789101112131415161734[[#This Row],[FRA]]-B223)/B223</f>
        <v/>
      </c>
    </row>
    <row r="236">
      <c r="A236" s="22" t="n">
        <v>40238</v>
      </c>
      <c r="B236" s="86">
        <f>VLOOKUP(A236,Database!$A:$AS,MATCH($B$4,Database!$A$1:$AS$1,0),FALSE)</f>
        <v/>
      </c>
      <c r="C236" s="23">
        <f>(Table13456789101112131415161734[[#This Row],[FRA]]-B235)/B235</f>
        <v/>
      </c>
      <c r="D236" s="24">
        <f>(Table13456789101112131415161734[[#This Row],[FRA]]-B224)/B224</f>
        <v/>
      </c>
    </row>
    <row r="237">
      <c r="A237" s="22" t="n">
        <v>40269</v>
      </c>
      <c r="B237" s="86">
        <f>VLOOKUP(A237,Database!$A:$AS,MATCH($B$4,Database!$A$1:$AS$1,0),FALSE)</f>
        <v/>
      </c>
      <c r="C237" s="23">
        <f>(Table13456789101112131415161734[[#This Row],[FRA]]-B236)/B236</f>
        <v/>
      </c>
      <c r="D237" s="24">
        <f>(Table13456789101112131415161734[[#This Row],[FRA]]-B225)/B225</f>
        <v/>
      </c>
    </row>
    <row r="238">
      <c r="A238" s="22" t="n">
        <v>40299</v>
      </c>
      <c r="B238" s="86">
        <f>VLOOKUP(A238,Database!$A:$AS,MATCH($B$4,Database!$A$1:$AS$1,0),FALSE)</f>
        <v/>
      </c>
      <c r="C238" s="23">
        <f>(Table13456789101112131415161734[[#This Row],[FRA]]-B237)/B237</f>
        <v/>
      </c>
      <c r="D238" s="24">
        <f>(Table13456789101112131415161734[[#This Row],[FRA]]-B226)/B226</f>
        <v/>
      </c>
    </row>
    <row r="239">
      <c r="A239" s="22" t="n">
        <v>40330</v>
      </c>
      <c r="B239" s="86">
        <f>VLOOKUP(A239,Database!$A:$AS,MATCH($B$4,Database!$A$1:$AS$1,0),FALSE)</f>
        <v/>
      </c>
      <c r="C239" s="23">
        <f>(Table13456789101112131415161734[[#This Row],[FRA]]-B238)/B238</f>
        <v/>
      </c>
      <c r="D239" s="24">
        <f>(Table13456789101112131415161734[[#This Row],[FRA]]-B227)/B227</f>
        <v/>
      </c>
    </row>
    <row r="240">
      <c r="A240" s="22" t="n">
        <v>40360</v>
      </c>
      <c r="B240" s="86">
        <f>VLOOKUP(A240,Database!$A:$AS,MATCH($B$4,Database!$A$1:$AS$1,0),FALSE)</f>
        <v/>
      </c>
      <c r="C240" s="23">
        <f>(Table13456789101112131415161734[[#This Row],[FRA]]-B239)/B239</f>
        <v/>
      </c>
      <c r="D240" s="24">
        <f>(Table13456789101112131415161734[[#This Row],[FRA]]-B228)/B228</f>
        <v/>
      </c>
    </row>
    <row r="241">
      <c r="A241" s="22" t="n">
        <v>40391</v>
      </c>
      <c r="B241" s="86">
        <f>VLOOKUP(A241,Database!$A:$AS,MATCH($B$4,Database!$A$1:$AS$1,0),FALSE)</f>
        <v/>
      </c>
      <c r="C241" s="23">
        <f>(Table13456789101112131415161734[[#This Row],[FRA]]-B240)/B240</f>
        <v/>
      </c>
      <c r="D241" s="24">
        <f>(Table13456789101112131415161734[[#This Row],[FRA]]-B229)/B229</f>
        <v/>
      </c>
    </row>
    <row r="242">
      <c r="A242" s="22" t="n">
        <v>40422</v>
      </c>
      <c r="B242" s="86">
        <f>VLOOKUP(A242,Database!$A:$AS,MATCH($B$4,Database!$A$1:$AS$1,0),FALSE)</f>
        <v/>
      </c>
      <c r="C242" s="23">
        <f>(Table13456789101112131415161734[[#This Row],[FRA]]-B241)/B241</f>
        <v/>
      </c>
      <c r="D242" s="24">
        <f>(Table13456789101112131415161734[[#This Row],[FRA]]-B230)/B230</f>
        <v/>
      </c>
    </row>
    <row r="243">
      <c r="A243" s="22" t="n">
        <v>40452</v>
      </c>
      <c r="B243" s="86">
        <f>VLOOKUP(A243,Database!$A:$AS,MATCH($B$4,Database!$A$1:$AS$1,0),FALSE)</f>
        <v/>
      </c>
      <c r="C243" s="23">
        <f>(Table13456789101112131415161734[[#This Row],[FRA]]-B242)/B242</f>
        <v/>
      </c>
      <c r="D243" s="24">
        <f>(Table13456789101112131415161734[[#This Row],[FRA]]-B231)/B231</f>
        <v/>
      </c>
    </row>
    <row r="244">
      <c r="A244" s="22" t="n">
        <v>40483</v>
      </c>
      <c r="B244" s="86">
        <f>VLOOKUP(A244,Database!$A:$AS,MATCH($B$4,Database!$A$1:$AS$1,0),FALSE)</f>
        <v/>
      </c>
      <c r="C244" s="23">
        <f>(Table13456789101112131415161734[[#This Row],[FRA]]-B243)/B243</f>
        <v/>
      </c>
      <c r="D244" s="24">
        <f>(Table13456789101112131415161734[[#This Row],[FRA]]-B232)/B232</f>
        <v/>
      </c>
    </row>
    <row r="245">
      <c r="A245" s="22" t="n">
        <v>40513</v>
      </c>
      <c r="B245" s="86">
        <f>VLOOKUP(A245,Database!$A:$AS,MATCH($B$4,Database!$A$1:$AS$1,0),FALSE)</f>
        <v/>
      </c>
      <c r="C245" s="23">
        <f>(Table13456789101112131415161734[[#This Row],[FRA]]-B244)/B244</f>
        <v/>
      </c>
      <c r="D245" s="24">
        <f>(Table13456789101112131415161734[[#This Row],[FRA]]-B233)/B233</f>
        <v/>
      </c>
    </row>
    <row r="246">
      <c r="A246" s="22" t="n">
        <v>40544</v>
      </c>
      <c r="B246" s="86">
        <f>VLOOKUP(A246,Database!$A:$AS,MATCH($B$4,Database!$A$1:$AS$1,0),FALSE)</f>
        <v/>
      </c>
      <c r="C246" s="23">
        <f>(Table13456789101112131415161734[[#This Row],[FRA]]-B245)/B245</f>
        <v/>
      </c>
      <c r="D246" s="24">
        <f>(Table13456789101112131415161734[[#This Row],[FRA]]-B234)/B234</f>
        <v/>
      </c>
    </row>
    <row r="247">
      <c r="A247" s="22" t="n">
        <v>40575</v>
      </c>
      <c r="B247" s="86">
        <f>VLOOKUP(A247,Database!$A:$AS,MATCH($B$4,Database!$A$1:$AS$1,0),FALSE)</f>
        <v/>
      </c>
      <c r="C247" s="23">
        <f>(Table13456789101112131415161734[[#This Row],[FRA]]-B246)/B246</f>
        <v/>
      </c>
      <c r="D247" s="24">
        <f>(Table13456789101112131415161734[[#This Row],[FRA]]-B235)/B235</f>
        <v/>
      </c>
    </row>
    <row r="248">
      <c r="A248" s="22" t="n">
        <v>40603</v>
      </c>
      <c r="B248" s="86">
        <f>VLOOKUP(A248,Database!$A:$AS,MATCH($B$4,Database!$A$1:$AS$1,0),FALSE)</f>
        <v/>
      </c>
      <c r="C248" s="23">
        <f>(Table13456789101112131415161734[[#This Row],[FRA]]-B247)/B247</f>
        <v/>
      </c>
      <c r="D248" s="24">
        <f>(Table13456789101112131415161734[[#This Row],[FRA]]-B236)/B236</f>
        <v/>
      </c>
    </row>
    <row r="249">
      <c r="A249" s="22" t="n">
        <v>40634</v>
      </c>
      <c r="B249" s="86">
        <f>VLOOKUP(A249,Database!$A:$AS,MATCH($B$4,Database!$A$1:$AS$1,0),FALSE)</f>
        <v/>
      </c>
      <c r="C249" s="23">
        <f>(Table13456789101112131415161734[[#This Row],[FRA]]-B248)/B248</f>
        <v/>
      </c>
      <c r="D249" s="24">
        <f>(Table13456789101112131415161734[[#This Row],[FRA]]-B237)/B237</f>
        <v/>
      </c>
    </row>
    <row r="250">
      <c r="A250" s="22" t="n">
        <v>40664</v>
      </c>
      <c r="B250" s="86">
        <f>VLOOKUP(A250,Database!$A:$AS,MATCH($B$4,Database!$A$1:$AS$1,0),FALSE)</f>
        <v/>
      </c>
      <c r="C250" s="23">
        <f>(Table13456789101112131415161734[[#This Row],[FRA]]-B249)/B249</f>
        <v/>
      </c>
      <c r="D250" s="24">
        <f>(Table13456789101112131415161734[[#This Row],[FRA]]-B238)/B238</f>
        <v/>
      </c>
    </row>
    <row r="251">
      <c r="A251" s="22" t="n">
        <v>40695</v>
      </c>
      <c r="B251" s="86">
        <f>VLOOKUP(A251,Database!$A:$AS,MATCH($B$4,Database!$A$1:$AS$1,0),FALSE)</f>
        <v/>
      </c>
      <c r="C251" s="23">
        <f>(Table13456789101112131415161734[[#This Row],[FRA]]-B250)/B250</f>
        <v/>
      </c>
      <c r="D251" s="24">
        <f>(Table13456789101112131415161734[[#This Row],[FRA]]-B239)/B239</f>
        <v/>
      </c>
    </row>
    <row r="252">
      <c r="A252" s="22" t="n">
        <v>40725</v>
      </c>
      <c r="B252" s="86">
        <f>VLOOKUP(A252,Database!$A:$AS,MATCH($B$4,Database!$A$1:$AS$1,0),FALSE)</f>
        <v/>
      </c>
      <c r="C252" s="23">
        <f>(Table13456789101112131415161734[[#This Row],[FRA]]-B251)/B251</f>
        <v/>
      </c>
      <c r="D252" s="24">
        <f>(Table13456789101112131415161734[[#This Row],[FRA]]-B240)/B240</f>
        <v/>
      </c>
    </row>
    <row r="253">
      <c r="A253" s="22" t="n">
        <v>40756</v>
      </c>
      <c r="B253" s="86">
        <f>VLOOKUP(A253,Database!$A:$AS,MATCH($B$4,Database!$A$1:$AS$1,0),FALSE)</f>
        <v/>
      </c>
      <c r="C253" s="23">
        <f>(Table13456789101112131415161734[[#This Row],[FRA]]-B252)/B252</f>
        <v/>
      </c>
      <c r="D253" s="24">
        <f>(Table13456789101112131415161734[[#This Row],[FRA]]-B241)/B241</f>
        <v/>
      </c>
    </row>
    <row r="254">
      <c r="A254" s="22" t="n">
        <v>40787</v>
      </c>
      <c r="B254" s="86">
        <f>VLOOKUP(A254,Database!$A:$AS,MATCH($B$4,Database!$A$1:$AS$1,0),FALSE)</f>
        <v/>
      </c>
      <c r="C254" s="23">
        <f>(Table13456789101112131415161734[[#This Row],[FRA]]-B253)/B253</f>
        <v/>
      </c>
      <c r="D254" s="24">
        <f>(Table13456789101112131415161734[[#This Row],[FRA]]-B242)/B242</f>
        <v/>
      </c>
    </row>
    <row r="255">
      <c r="A255" s="22" t="n">
        <v>40817</v>
      </c>
      <c r="B255" s="86">
        <f>VLOOKUP(A255,Database!$A:$AS,MATCH($B$4,Database!$A$1:$AS$1,0),FALSE)</f>
        <v/>
      </c>
      <c r="C255" s="23">
        <f>(Table13456789101112131415161734[[#This Row],[FRA]]-B254)/B254</f>
        <v/>
      </c>
      <c r="D255" s="24">
        <f>(Table13456789101112131415161734[[#This Row],[FRA]]-B243)/B243</f>
        <v/>
      </c>
    </row>
    <row r="256">
      <c r="A256" s="22" t="n">
        <v>40848</v>
      </c>
      <c r="B256" s="86">
        <f>VLOOKUP(A256,Database!$A:$AS,MATCH($B$4,Database!$A$1:$AS$1,0),FALSE)</f>
        <v/>
      </c>
      <c r="C256" s="23">
        <f>(Table13456789101112131415161734[[#This Row],[FRA]]-B255)/B255</f>
        <v/>
      </c>
      <c r="D256" s="24">
        <f>(Table13456789101112131415161734[[#This Row],[FRA]]-B244)/B244</f>
        <v/>
      </c>
    </row>
    <row r="257">
      <c r="A257" s="22" t="n">
        <v>40878</v>
      </c>
      <c r="B257" s="86">
        <f>VLOOKUP(A257,Database!$A:$AS,MATCH($B$4,Database!$A$1:$AS$1,0),FALSE)</f>
        <v/>
      </c>
      <c r="C257" s="23">
        <f>(Table13456789101112131415161734[[#This Row],[FRA]]-B256)/B256</f>
        <v/>
      </c>
      <c r="D257" s="24">
        <f>(Table13456789101112131415161734[[#This Row],[FRA]]-B245)/B245</f>
        <v/>
      </c>
    </row>
    <row r="258">
      <c r="A258" s="22" t="n">
        <v>40909</v>
      </c>
      <c r="B258" s="86">
        <f>VLOOKUP(A258,Database!$A:$AS,MATCH($B$4,Database!$A$1:$AS$1,0),FALSE)</f>
        <v/>
      </c>
      <c r="C258" s="23">
        <f>(Table13456789101112131415161734[[#This Row],[FRA]]-B257)/B257</f>
        <v/>
      </c>
      <c r="D258" s="24">
        <f>(Table13456789101112131415161734[[#This Row],[FRA]]-B246)/B246</f>
        <v/>
      </c>
    </row>
    <row r="259">
      <c r="A259" s="22" t="n">
        <v>40940</v>
      </c>
      <c r="B259" s="86">
        <f>VLOOKUP(A259,Database!$A:$AS,MATCH($B$4,Database!$A$1:$AS$1,0),FALSE)</f>
        <v/>
      </c>
      <c r="C259" s="23">
        <f>(Table13456789101112131415161734[[#This Row],[FRA]]-B258)/B258</f>
        <v/>
      </c>
      <c r="D259" s="24">
        <f>(Table13456789101112131415161734[[#This Row],[FRA]]-B247)/B247</f>
        <v/>
      </c>
    </row>
    <row r="260">
      <c r="A260" s="22" t="n">
        <v>40969</v>
      </c>
      <c r="B260" s="86">
        <f>VLOOKUP(A260,Database!$A:$AS,MATCH($B$4,Database!$A$1:$AS$1,0),FALSE)</f>
        <v/>
      </c>
      <c r="C260" s="23">
        <f>(Table13456789101112131415161734[[#This Row],[FRA]]-B259)/B259</f>
        <v/>
      </c>
      <c r="D260" s="24">
        <f>(Table13456789101112131415161734[[#This Row],[FRA]]-B248)/B248</f>
        <v/>
      </c>
    </row>
    <row r="261">
      <c r="A261" s="22" t="n">
        <v>41000</v>
      </c>
      <c r="B261" s="86">
        <f>VLOOKUP(A261,Database!$A:$AS,MATCH($B$4,Database!$A$1:$AS$1,0),FALSE)</f>
        <v/>
      </c>
      <c r="C261" s="23">
        <f>(Table13456789101112131415161734[[#This Row],[FRA]]-B260)/B260</f>
        <v/>
      </c>
      <c r="D261" s="24">
        <f>(Table13456789101112131415161734[[#This Row],[FRA]]-B249)/B249</f>
        <v/>
      </c>
    </row>
    <row r="262">
      <c r="A262" s="22" t="n">
        <v>41030</v>
      </c>
      <c r="B262" s="86">
        <f>VLOOKUP(A262,Database!$A:$AS,MATCH($B$4,Database!$A$1:$AS$1,0),FALSE)</f>
        <v/>
      </c>
      <c r="C262" s="23">
        <f>(Table13456789101112131415161734[[#This Row],[FRA]]-B261)/B261</f>
        <v/>
      </c>
      <c r="D262" s="24">
        <f>(Table13456789101112131415161734[[#This Row],[FRA]]-B250)/B250</f>
        <v/>
      </c>
    </row>
    <row r="263">
      <c r="A263" s="22" t="n">
        <v>41061</v>
      </c>
      <c r="B263" s="86">
        <f>VLOOKUP(A263,Database!$A:$AS,MATCH($B$4,Database!$A$1:$AS$1,0),FALSE)</f>
        <v/>
      </c>
      <c r="C263" s="23">
        <f>(Table13456789101112131415161734[[#This Row],[FRA]]-B262)/B262</f>
        <v/>
      </c>
      <c r="D263" s="24">
        <f>(Table13456789101112131415161734[[#This Row],[FRA]]-B251)/B251</f>
        <v/>
      </c>
    </row>
    <row r="264">
      <c r="A264" s="22" t="n">
        <v>41091</v>
      </c>
      <c r="B264" s="86">
        <f>VLOOKUP(A264,Database!$A:$AS,MATCH($B$4,Database!$A$1:$AS$1,0),FALSE)</f>
        <v/>
      </c>
      <c r="C264" s="23">
        <f>(Table13456789101112131415161734[[#This Row],[FRA]]-B263)/B263</f>
        <v/>
      </c>
      <c r="D264" s="24">
        <f>(Table13456789101112131415161734[[#This Row],[FRA]]-B252)/B252</f>
        <v/>
      </c>
    </row>
    <row r="265">
      <c r="A265" s="22" t="n">
        <v>41122</v>
      </c>
      <c r="B265" s="86">
        <f>VLOOKUP(A265,Database!$A:$AS,MATCH($B$4,Database!$A$1:$AS$1,0),FALSE)</f>
        <v/>
      </c>
      <c r="C265" s="23">
        <f>(Table13456789101112131415161734[[#This Row],[FRA]]-B264)/B264</f>
        <v/>
      </c>
      <c r="D265" s="24">
        <f>(Table13456789101112131415161734[[#This Row],[FRA]]-B253)/B253</f>
        <v/>
      </c>
    </row>
    <row r="266">
      <c r="A266" s="22" t="n">
        <v>41153</v>
      </c>
      <c r="B266" s="86">
        <f>VLOOKUP(A266,Database!$A:$AS,MATCH($B$4,Database!$A$1:$AS$1,0),FALSE)</f>
        <v/>
      </c>
      <c r="C266" s="23">
        <f>(Table13456789101112131415161734[[#This Row],[FRA]]-B265)/B265</f>
        <v/>
      </c>
      <c r="D266" s="24">
        <f>(Table13456789101112131415161734[[#This Row],[FRA]]-B254)/B254</f>
        <v/>
      </c>
    </row>
    <row r="267">
      <c r="A267" s="22" t="n">
        <v>41183</v>
      </c>
      <c r="B267" s="86">
        <f>VLOOKUP(A267,Database!$A:$AS,MATCH($B$4,Database!$A$1:$AS$1,0),FALSE)</f>
        <v/>
      </c>
      <c r="C267" s="23">
        <f>(Table13456789101112131415161734[[#This Row],[FRA]]-B266)/B266</f>
        <v/>
      </c>
      <c r="D267" s="24">
        <f>(Table13456789101112131415161734[[#This Row],[FRA]]-B255)/B255</f>
        <v/>
      </c>
    </row>
    <row r="268">
      <c r="A268" s="22" t="n">
        <v>41214</v>
      </c>
      <c r="B268" s="86">
        <f>VLOOKUP(A268,Database!$A:$AS,MATCH($B$4,Database!$A$1:$AS$1,0),FALSE)</f>
        <v/>
      </c>
      <c r="C268" s="23">
        <f>(Table13456789101112131415161734[[#This Row],[FRA]]-B267)/B267</f>
        <v/>
      </c>
      <c r="D268" s="24">
        <f>(Table13456789101112131415161734[[#This Row],[FRA]]-B256)/B256</f>
        <v/>
      </c>
    </row>
    <row r="269">
      <c r="A269" s="22" t="n">
        <v>41244</v>
      </c>
      <c r="B269" s="86">
        <f>VLOOKUP(A269,Database!$A:$AS,MATCH($B$4,Database!$A$1:$AS$1,0),FALSE)</f>
        <v/>
      </c>
      <c r="C269" s="23">
        <f>(Table13456789101112131415161734[[#This Row],[FRA]]-B268)/B268</f>
        <v/>
      </c>
      <c r="D269" s="24">
        <f>(Table13456789101112131415161734[[#This Row],[FRA]]-B257)/B257</f>
        <v/>
      </c>
    </row>
    <row r="270">
      <c r="A270" s="22" t="n">
        <v>41275</v>
      </c>
      <c r="B270" s="86">
        <f>VLOOKUP(A270,Database!$A:$AS,MATCH($B$4,Database!$A$1:$AS$1,0),FALSE)</f>
        <v/>
      </c>
      <c r="C270" s="23">
        <f>(Table13456789101112131415161734[[#This Row],[FRA]]-B269)/B269</f>
        <v/>
      </c>
      <c r="D270" s="24">
        <f>(Table13456789101112131415161734[[#This Row],[FRA]]-B258)/B258</f>
        <v/>
      </c>
    </row>
    <row r="271">
      <c r="A271" s="22" t="n">
        <v>41306</v>
      </c>
      <c r="B271" s="86">
        <f>VLOOKUP(A271,Database!$A:$AS,MATCH($B$4,Database!$A$1:$AS$1,0),FALSE)</f>
        <v/>
      </c>
      <c r="C271" s="23">
        <f>(Table13456789101112131415161734[[#This Row],[FRA]]-B270)/B270</f>
        <v/>
      </c>
      <c r="D271" s="24">
        <f>(Table13456789101112131415161734[[#This Row],[FRA]]-B259)/B259</f>
        <v/>
      </c>
    </row>
    <row r="272">
      <c r="A272" s="22" t="n">
        <v>41334</v>
      </c>
      <c r="B272" s="86">
        <f>VLOOKUP(A272,Database!$A:$AS,MATCH($B$4,Database!$A$1:$AS$1,0),FALSE)</f>
        <v/>
      </c>
      <c r="C272" s="23">
        <f>(Table13456789101112131415161734[[#This Row],[FRA]]-B271)/B271</f>
        <v/>
      </c>
      <c r="D272" s="24">
        <f>(Table13456789101112131415161734[[#This Row],[FRA]]-B260)/B260</f>
        <v/>
      </c>
    </row>
    <row r="273">
      <c r="A273" s="22" t="n">
        <v>41365</v>
      </c>
      <c r="B273" s="86">
        <f>VLOOKUP(A273,Database!$A:$AS,MATCH($B$4,Database!$A$1:$AS$1,0),FALSE)</f>
        <v/>
      </c>
      <c r="C273" s="23">
        <f>(Table13456789101112131415161734[[#This Row],[FRA]]-B272)/B272</f>
        <v/>
      </c>
      <c r="D273" s="24">
        <f>(Table13456789101112131415161734[[#This Row],[FRA]]-B261)/B261</f>
        <v/>
      </c>
    </row>
    <row r="274">
      <c r="A274" s="22" t="n">
        <v>41395</v>
      </c>
      <c r="B274" s="86">
        <f>VLOOKUP(A274,Database!$A:$AS,MATCH($B$4,Database!$A$1:$AS$1,0),FALSE)</f>
        <v/>
      </c>
      <c r="C274" s="23">
        <f>(Table13456789101112131415161734[[#This Row],[FRA]]-B273)/B273</f>
        <v/>
      </c>
      <c r="D274" s="24">
        <f>(Table13456789101112131415161734[[#This Row],[FRA]]-B262)/B262</f>
        <v/>
      </c>
    </row>
    <row r="275">
      <c r="A275" s="22" t="n">
        <v>41426</v>
      </c>
      <c r="B275" s="86">
        <f>VLOOKUP(A275,Database!$A:$AS,MATCH($B$4,Database!$A$1:$AS$1,0),FALSE)</f>
        <v/>
      </c>
      <c r="C275" s="23">
        <f>(Table13456789101112131415161734[[#This Row],[FRA]]-B274)/B274</f>
        <v/>
      </c>
      <c r="D275" s="24">
        <f>(Table13456789101112131415161734[[#This Row],[FRA]]-B263)/B263</f>
        <v/>
      </c>
    </row>
    <row r="276">
      <c r="A276" s="22" t="n">
        <v>41456</v>
      </c>
      <c r="B276" s="86">
        <f>VLOOKUP(A276,Database!$A:$AS,MATCH($B$4,Database!$A$1:$AS$1,0),FALSE)</f>
        <v/>
      </c>
      <c r="C276" s="23">
        <f>(Table13456789101112131415161734[[#This Row],[FRA]]-B275)/B275</f>
        <v/>
      </c>
      <c r="D276" s="24">
        <f>(Table13456789101112131415161734[[#This Row],[FRA]]-B264)/B264</f>
        <v/>
      </c>
    </row>
    <row r="277">
      <c r="A277" s="22" t="n">
        <v>41487</v>
      </c>
      <c r="B277" s="86">
        <f>VLOOKUP(A277,Database!$A:$AS,MATCH($B$4,Database!$A$1:$AS$1,0),FALSE)</f>
        <v/>
      </c>
      <c r="C277" s="23">
        <f>(Table13456789101112131415161734[[#This Row],[FRA]]-B276)/B276</f>
        <v/>
      </c>
      <c r="D277" s="24">
        <f>(Table13456789101112131415161734[[#This Row],[FRA]]-B265)/B265</f>
        <v/>
      </c>
    </row>
    <row r="278">
      <c r="A278" s="22" t="n">
        <v>41518</v>
      </c>
      <c r="B278" s="86">
        <f>VLOOKUP(A278,Database!$A:$AS,MATCH($B$4,Database!$A$1:$AS$1,0),FALSE)</f>
        <v/>
      </c>
      <c r="C278" s="23">
        <f>(Table13456789101112131415161734[[#This Row],[FRA]]-B277)/B277</f>
        <v/>
      </c>
      <c r="D278" s="24">
        <f>(Table13456789101112131415161734[[#This Row],[FRA]]-B266)/B266</f>
        <v/>
      </c>
    </row>
    <row r="279">
      <c r="A279" s="22" t="n">
        <v>41548</v>
      </c>
      <c r="B279" s="86">
        <f>VLOOKUP(A279,Database!$A:$AS,MATCH($B$4,Database!$A$1:$AS$1,0),FALSE)</f>
        <v/>
      </c>
      <c r="C279" s="23">
        <f>(Table13456789101112131415161734[[#This Row],[FRA]]-B278)/B278</f>
        <v/>
      </c>
      <c r="D279" s="24">
        <f>(Table13456789101112131415161734[[#This Row],[FRA]]-B267)/B267</f>
        <v/>
      </c>
    </row>
    <row r="280">
      <c r="A280" s="22" t="n">
        <v>41579</v>
      </c>
      <c r="B280" s="86">
        <f>VLOOKUP(A280,Database!$A:$AS,MATCH($B$4,Database!$A$1:$AS$1,0),FALSE)</f>
        <v/>
      </c>
      <c r="C280" s="23">
        <f>(Table13456789101112131415161734[[#This Row],[FRA]]-B279)/B279</f>
        <v/>
      </c>
      <c r="D280" s="24">
        <f>(Table13456789101112131415161734[[#This Row],[FRA]]-B268)/B268</f>
        <v/>
      </c>
    </row>
    <row r="281">
      <c r="A281" s="22" t="n">
        <v>41609</v>
      </c>
      <c r="B281" s="86">
        <f>VLOOKUP(A281,Database!$A:$AS,MATCH($B$4,Database!$A$1:$AS$1,0),FALSE)</f>
        <v/>
      </c>
      <c r="C281" s="23">
        <f>(Table13456789101112131415161734[[#This Row],[FRA]]-B280)/B280</f>
        <v/>
      </c>
      <c r="D281" s="24">
        <f>(Table13456789101112131415161734[[#This Row],[FRA]]-B269)/B269</f>
        <v/>
      </c>
    </row>
    <row r="282">
      <c r="A282" s="22" t="n">
        <v>41640</v>
      </c>
      <c r="B282" s="86">
        <f>VLOOKUP(A282,Database!$A:$AS,MATCH($B$4,Database!$A$1:$AS$1,0),FALSE)</f>
        <v/>
      </c>
      <c r="C282" s="23">
        <f>(Table13456789101112131415161734[[#This Row],[FRA]]-B281)/B281</f>
        <v/>
      </c>
      <c r="D282" s="24">
        <f>(Table13456789101112131415161734[[#This Row],[FRA]]-B270)/B270</f>
        <v/>
      </c>
    </row>
    <row r="283">
      <c r="A283" s="22" t="n">
        <v>41671</v>
      </c>
      <c r="B283" s="86">
        <f>VLOOKUP(A283,Database!$A:$AS,MATCH($B$4,Database!$A$1:$AS$1,0),FALSE)</f>
        <v/>
      </c>
      <c r="C283" s="23">
        <f>(Table13456789101112131415161734[[#This Row],[FRA]]-B282)/B282</f>
        <v/>
      </c>
      <c r="D283" s="24">
        <f>(Table13456789101112131415161734[[#This Row],[FRA]]-B271)/B271</f>
        <v/>
      </c>
    </row>
    <row r="284">
      <c r="A284" s="22" t="n">
        <v>41699</v>
      </c>
      <c r="B284" s="86">
        <f>VLOOKUP(A284,Database!$A:$AS,MATCH($B$4,Database!$A$1:$AS$1,0),FALSE)</f>
        <v/>
      </c>
      <c r="C284" s="23">
        <f>(Table13456789101112131415161734[[#This Row],[FRA]]-B283)/B283</f>
        <v/>
      </c>
      <c r="D284" s="24">
        <f>(Table13456789101112131415161734[[#This Row],[FRA]]-B272)/B272</f>
        <v/>
      </c>
    </row>
    <row r="285">
      <c r="A285" s="22" t="n">
        <v>41730</v>
      </c>
      <c r="B285" s="86">
        <f>VLOOKUP(A285,Database!$A:$AS,MATCH($B$4,Database!$A$1:$AS$1,0),FALSE)</f>
        <v/>
      </c>
      <c r="C285" s="23">
        <f>(Table13456789101112131415161734[[#This Row],[FRA]]-B284)/B284</f>
        <v/>
      </c>
      <c r="D285" s="24">
        <f>(Table13456789101112131415161734[[#This Row],[FRA]]-B273)/B273</f>
        <v/>
      </c>
    </row>
    <row r="286">
      <c r="A286" s="22" t="n">
        <v>41760</v>
      </c>
      <c r="B286" s="86">
        <f>VLOOKUP(A286,Database!$A:$AS,MATCH($B$4,Database!$A$1:$AS$1,0),FALSE)</f>
        <v/>
      </c>
      <c r="C286" s="23">
        <f>(Table13456789101112131415161734[[#This Row],[FRA]]-B285)/B285</f>
        <v/>
      </c>
      <c r="D286" s="24">
        <f>(Table13456789101112131415161734[[#This Row],[FRA]]-B274)/B274</f>
        <v/>
      </c>
    </row>
    <row r="287">
      <c r="A287" s="22" t="n">
        <v>41791</v>
      </c>
      <c r="B287" s="86">
        <f>VLOOKUP(A287,Database!$A:$AS,MATCH($B$4,Database!$A$1:$AS$1,0),FALSE)</f>
        <v/>
      </c>
      <c r="C287" s="23">
        <f>(Table13456789101112131415161734[[#This Row],[FRA]]-B286)/B286</f>
        <v/>
      </c>
      <c r="D287" s="24">
        <f>(Table13456789101112131415161734[[#This Row],[FRA]]-B275)/B275</f>
        <v/>
      </c>
    </row>
    <row r="288">
      <c r="A288" s="22" t="n">
        <v>41821</v>
      </c>
      <c r="B288" s="86">
        <f>VLOOKUP(A288,Database!$A:$AS,MATCH($B$4,Database!$A$1:$AS$1,0),FALSE)</f>
        <v/>
      </c>
      <c r="C288" s="23">
        <f>(Table13456789101112131415161734[[#This Row],[FRA]]-B287)/B287</f>
        <v/>
      </c>
      <c r="D288" s="24">
        <f>(Table13456789101112131415161734[[#This Row],[FRA]]-B276)/B276</f>
        <v/>
      </c>
    </row>
    <row r="289">
      <c r="A289" s="22" t="n">
        <v>41852</v>
      </c>
      <c r="B289" s="86">
        <f>VLOOKUP(A289,Database!$A:$AS,MATCH($B$4,Database!$A$1:$AS$1,0),FALSE)</f>
        <v/>
      </c>
      <c r="C289" s="23">
        <f>(Table13456789101112131415161734[[#This Row],[FRA]]-B288)/B288</f>
        <v/>
      </c>
      <c r="D289" s="24">
        <f>(Table13456789101112131415161734[[#This Row],[FRA]]-B277)/B277</f>
        <v/>
      </c>
    </row>
    <row r="290">
      <c r="A290" s="22" t="n">
        <v>41883</v>
      </c>
      <c r="B290" s="86">
        <f>VLOOKUP(A290,Database!$A:$AS,MATCH($B$4,Database!$A$1:$AS$1,0),FALSE)</f>
        <v/>
      </c>
      <c r="C290" s="23">
        <f>(Table13456789101112131415161734[[#This Row],[FRA]]-B289)/B289</f>
        <v/>
      </c>
      <c r="D290" s="24">
        <f>(Table13456789101112131415161734[[#This Row],[FRA]]-B278)/B278</f>
        <v/>
      </c>
    </row>
    <row r="291">
      <c r="A291" s="22" t="n">
        <v>41913</v>
      </c>
      <c r="B291" s="86">
        <f>VLOOKUP(A291,Database!$A:$AS,MATCH($B$4,Database!$A$1:$AS$1,0),FALSE)</f>
        <v/>
      </c>
      <c r="C291" s="23">
        <f>(Table13456789101112131415161734[[#This Row],[FRA]]-B290)/B290</f>
        <v/>
      </c>
      <c r="D291" s="24">
        <f>(Table13456789101112131415161734[[#This Row],[FRA]]-B279)/B279</f>
        <v/>
      </c>
    </row>
    <row r="292">
      <c r="A292" s="22" t="n">
        <v>41944</v>
      </c>
      <c r="B292" s="86">
        <f>VLOOKUP(A292,Database!$A:$AS,MATCH($B$4,Database!$A$1:$AS$1,0),FALSE)</f>
        <v/>
      </c>
      <c r="C292" s="23">
        <f>(Table13456789101112131415161734[[#This Row],[FRA]]-B291)/B291</f>
        <v/>
      </c>
      <c r="D292" s="24">
        <f>(Table13456789101112131415161734[[#This Row],[FRA]]-B280)/B280</f>
        <v/>
      </c>
    </row>
    <row r="293">
      <c r="A293" s="22" t="n">
        <v>41974</v>
      </c>
      <c r="B293" s="86">
        <f>VLOOKUP(A293,Database!$A:$AS,MATCH($B$4,Database!$A$1:$AS$1,0),FALSE)</f>
        <v/>
      </c>
      <c r="C293" s="23">
        <f>(Table13456789101112131415161734[[#This Row],[FRA]]-B292)/B292</f>
        <v/>
      </c>
      <c r="D293" s="24">
        <f>(Table13456789101112131415161734[[#This Row],[FRA]]-B281)/B281</f>
        <v/>
      </c>
    </row>
    <row r="294">
      <c r="A294" s="22" t="n">
        <v>42005</v>
      </c>
      <c r="B294" s="86">
        <f>VLOOKUP(A294,Database!$A:$AS,MATCH($B$4,Database!$A$1:$AS$1,0),FALSE)</f>
        <v/>
      </c>
      <c r="C294" s="23">
        <f>(Table13456789101112131415161734[[#This Row],[FRA]]-B293)/B293</f>
        <v/>
      </c>
      <c r="D294" s="24">
        <f>(Table13456789101112131415161734[[#This Row],[FRA]]-B282)/B282</f>
        <v/>
      </c>
    </row>
    <row r="295">
      <c r="A295" s="22" t="n">
        <v>42036</v>
      </c>
      <c r="B295" s="86">
        <f>VLOOKUP(A295,Database!$A:$AS,MATCH($B$4,Database!$A$1:$AS$1,0),FALSE)</f>
        <v/>
      </c>
      <c r="C295" s="23">
        <f>(Table13456789101112131415161734[[#This Row],[FRA]]-B294)/B294</f>
        <v/>
      </c>
      <c r="D295" s="24">
        <f>(Table13456789101112131415161734[[#This Row],[FRA]]-B283)/B283</f>
        <v/>
      </c>
    </row>
    <row r="296">
      <c r="A296" s="22" t="n">
        <v>42064</v>
      </c>
      <c r="B296" s="86">
        <f>VLOOKUP(A296,Database!$A:$AS,MATCH($B$4,Database!$A$1:$AS$1,0),FALSE)</f>
        <v/>
      </c>
      <c r="C296" s="23">
        <f>(Table13456789101112131415161734[[#This Row],[FRA]]-B295)/B295</f>
        <v/>
      </c>
      <c r="D296" s="24">
        <f>(Table13456789101112131415161734[[#This Row],[FRA]]-B284)/B284</f>
        <v/>
      </c>
    </row>
    <row r="297">
      <c r="A297" s="22" t="n">
        <v>42095</v>
      </c>
      <c r="B297" s="86">
        <f>VLOOKUP(A297,Database!$A:$AS,MATCH($B$4,Database!$A$1:$AS$1,0),FALSE)</f>
        <v/>
      </c>
      <c r="C297" s="23">
        <f>(Table13456789101112131415161734[[#This Row],[FRA]]-B296)/B296</f>
        <v/>
      </c>
      <c r="D297" s="24">
        <f>(Table13456789101112131415161734[[#This Row],[FRA]]-B285)/B285</f>
        <v/>
      </c>
    </row>
    <row r="298">
      <c r="A298" s="22" t="n">
        <v>42125</v>
      </c>
      <c r="B298" s="86">
        <f>VLOOKUP(A298,Database!$A:$AS,MATCH($B$4,Database!$A$1:$AS$1,0),FALSE)</f>
        <v/>
      </c>
      <c r="C298" s="23">
        <f>(Table13456789101112131415161734[[#This Row],[FRA]]-B297)/B297</f>
        <v/>
      </c>
      <c r="D298" s="24">
        <f>(Table13456789101112131415161734[[#This Row],[FRA]]-B286)/B286</f>
        <v/>
      </c>
    </row>
    <row r="299">
      <c r="A299" s="22" t="n">
        <v>42156</v>
      </c>
      <c r="B299" s="86">
        <f>VLOOKUP(A299,Database!$A:$AS,MATCH($B$4,Database!$A$1:$AS$1,0),FALSE)</f>
        <v/>
      </c>
      <c r="C299" s="23">
        <f>(Table13456789101112131415161734[[#This Row],[FRA]]-B298)/B298</f>
        <v/>
      </c>
      <c r="D299" s="24">
        <f>(Table13456789101112131415161734[[#This Row],[FRA]]-B287)/B287</f>
        <v/>
      </c>
    </row>
    <row r="300">
      <c r="A300" s="22" t="n">
        <v>42186</v>
      </c>
      <c r="B300" s="86">
        <f>VLOOKUP(A300,Database!$A:$AS,MATCH($B$4,Database!$A$1:$AS$1,0),FALSE)</f>
        <v/>
      </c>
      <c r="C300" s="23">
        <f>(Table13456789101112131415161734[[#This Row],[FRA]]-B299)/B299</f>
        <v/>
      </c>
      <c r="D300" s="24">
        <f>(Table13456789101112131415161734[[#This Row],[FRA]]-B288)/B288</f>
        <v/>
      </c>
    </row>
    <row r="301">
      <c r="A301" s="22" t="n">
        <v>42217</v>
      </c>
      <c r="B301" s="86">
        <f>VLOOKUP(A301,Database!$A:$AS,MATCH($B$4,Database!$A$1:$AS$1,0),FALSE)</f>
        <v/>
      </c>
      <c r="C301" s="23">
        <f>(Table13456789101112131415161734[[#This Row],[FRA]]-B300)/B300</f>
        <v/>
      </c>
      <c r="D301" s="24">
        <f>(Table13456789101112131415161734[[#This Row],[FRA]]-B289)/B289</f>
        <v/>
      </c>
    </row>
    <row r="302">
      <c r="A302" s="22" t="n">
        <v>42248</v>
      </c>
      <c r="B302" s="86">
        <f>VLOOKUP(A302,Database!$A:$AS,MATCH($B$4,Database!$A$1:$AS$1,0),FALSE)</f>
        <v/>
      </c>
      <c r="C302" s="23">
        <f>(Table13456789101112131415161734[[#This Row],[FRA]]-B301)/B301</f>
        <v/>
      </c>
      <c r="D302" s="24">
        <f>(Table13456789101112131415161734[[#This Row],[FRA]]-B290)/B290</f>
        <v/>
      </c>
    </row>
    <row r="303">
      <c r="A303" s="22" t="n">
        <v>42278</v>
      </c>
      <c r="B303" s="86">
        <f>VLOOKUP(A303,Database!$A:$AS,MATCH($B$4,Database!$A$1:$AS$1,0),FALSE)</f>
        <v/>
      </c>
      <c r="C303" s="23">
        <f>(Table13456789101112131415161734[[#This Row],[FRA]]-B302)/B302</f>
        <v/>
      </c>
      <c r="D303" s="24">
        <f>(Table13456789101112131415161734[[#This Row],[FRA]]-B291)/B291</f>
        <v/>
      </c>
    </row>
    <row r="304">
      <c r="A304" s="22" t="n">
        <v>42309</v>
      </c>
      <c r="B304" s="86">
        <f>VLOOKUP(A304,Database!$A:$AS,MATCH($B$4,Database!$A$1:$AS$1,0),FALSE)</f>
        <v/>
      </c>
      <c r="C304" s="23">
        <f>(Table13456789101112131415161734[[#This Row],[FRA]]-B303)/B303</f>
        <v/>
      </c>
      <c r="D304" s="24">
        <f>(Table13456789101112131415161734[[#This Row],[FRA]]-B292)/B292</f>
        <v/>
      </c>
    </row>
    <row r="305">
      <c r="A305" s="22" t="n">
        <v>42339</v>
      </c>
      <c r="B305" s="86">
        <f>VLOOKUP(A305,Database!$A:$AS,MATCH($B$4,Database!$A$1:$AS$1,0),FALSE)</f>
        <v/>
      </c>
      <c r="C305" s="23">
        <f>(Table13456789101112131415161734[[#This Row],[FRA]]-B304)/B304</f>
        <v/>
      </c>
      <c r="D305" s="24">
        <f>(Table13456789101112131415161734[[#This Row],[FRA]]-B293)/B293</f>
        <v/>
      </c>
    </row>
    <row r="306" customFormat="1" s="94">
      <c r="A306" s="22" t="n">
        <v>42370</v>
      </c>
      <c r="B306" s="86">
        <f>VLOOKUP(A306,Database!$A:$AS,MATCH($B$4,Database!$A$1:$AS$1,0),FALSE)</f>
        <v/>
      </c>
      <c r="C306" s="23">
        <f>(Table13456789101112131415161734[[#This Row],[FRA]]-B305)/B305</f>
        <v/>
      </c>
      <c r="D306" s="24">
        <f>(Table13456789101112131415161734[[#This Row],[FRA]]-B294)/B294</f>
        <v/>
      </c>
    </row>
    <row r="307" customFormat="1" s="94">
      <c r="A307" s="22" t="n">
        <v>42401</v>
      </c>
      <c r="B307" s="86">
        <f>VLOOKUP(A307,Database!$A:$AS,MATCH($B$4,Database!$A$1:$AS$1,0),FALSE)</f>
        <v/>
      </c>
      <c r="C307" s="23">
        <f>(Table13456789101112131415161734[[#This Row],[FRA]]-B306)/B306</f>
        <v/>
      </c>
      <c r="D307" s="24">
        <f>(Table13456789101112131415161734[[#This Row],[FRA]]-B295)/B295</f>
        <v/>
      </c>
    </row>
    <row r="308" customFormat="1" s="94">
      <c r="A308" s="22" t="n">
        <v>42430</v>
      </c>
      <c r="B308" s="86">
        <f>VLOOKUP(A308,Database!$A:$AS,MATCH($B$4,Database!$A$1:$AS$1,0),FALSE)</f>
        <v/>
      </c>
      <c r="C308" s="23">
        <f>(Table13456789101112131415161734[[#This Row],[FRA]]-B307)/B307</f>
        <v/>
      </c>
      <c r="D308" s="24">
        <f>(Table13456789101112131415161734[[#This Row],[FRA]]-B296)/B296</f>
        <v/>
      </c>
    </row>
    <row r="309" customFormat="1" s="94">
      <c r="A309" s="22" t="n">
        <v>42461</v>
      </c>
      <c r="B309" s="86">
        <f>VLOOKUP(A309,Database!$A:$AS,MATCH($B$4,Database!$A$1:$AS$1,0),FALSE)</f>
        <v/>
      </c>
      <c r="C309" s="23">
        <f>(Table13456789101112131415161734[[#This Row],[FRA]]-B308)/B308</f>
        <v/>
      </c>
      <c r="D309" s="24">
        <f>(Table13456789101112131415161734[[#This Row],[FRA]]-B297)/B297</f>
        <v/>
      </c>
    </row>
    <row r="310" customFormat="1" s="94">
      <c r="A310" s="22" t="n">
        <v>42491</v>
      </c>
      <c r="B310" s="86">
        <f>VLOOKUP(A310,Database!$A:$AS,MATCH($B$4,Database!$A$1:$AS$1,0),FALSE)</f>
        <v/>
      </c>
      <c r="C310" s="23">
        <f>(Table13456789101112131415161734[[#This Row],[FRA]]-B309)/B309</f>
        <v/>
      </c>
      <c r="D310" s="24">
        <f>(Table13456789101112131415161734[[#This Row],[FRA]]-B298)/B298</f>
        <v/>
      </c>
    </row>
    <row r="311" customFormat="1" s="94">
      <c r="A311" s="22" t="n">
        <v>42522</v>
      </c>
      <c r="B311" s="86">
        <f>VLOOKUP(A311,Database!$A:$AS,MATCH($B$4,Database!$A$1:$AS$1,0),FALSE)</f>
        <v/>
      </c>
      <c r="C311" s="23">
        <f>(Table13456789101112131415161734[[#This Row],[FRA]]-B310)/B310</f>
        <v/>
      </c>
      <c r="D311" s="24">
        <f>(Table13456789101112131415161734[[#This Row],[FRA]]-B299)/B299</f>
        <v/>
      </c>
    </row>
    <row r="312" customFormat="1" s="94">
      <c r="A312" s="22" t="n">
        <v>42552</v>
      </c>
      <c r="B312" s="86">
        <f>VLOOKUP(A312,Database!$A:$AS,MATCH($B$4,Database!$A$1:$AS$1,0),FALSE)</f>
        <v/>
      </c>
      <c r="C312" s="23">
        <f>(Table13456789101112131415161734[[#This Row],[FRA]]-B311)/B311</f>
        <v/>
      </c>
      <c r="D312" s="24">
        <f>(Table13456789101112131415161734[[#This Row],[FRA]]-B300)/B300</f>
        <v/>
      </c>
    </row>
    <row r="313" customFormat="1" s="94">
      <c r="A313" s="22" t="n">
        <v>42583</v>
      </c>
      <c r="B313" s="86">
        <f>VLOOKUP(A313,Database!$A:$AS,MATCH($B$4,Database!$A$1:$AS$1,0),FALSE)</f>
        <v/>
      </c>
      <c r="C313" s="23">
        <f>(Table13456789101112131415161734[[#This Row],[FRA]]-B312)/B312</f>
        <v/>
      </c>
      <c r="D313" s="24">
        <f>(Table13456789101112131415161734[[#This Row],[FRA]]-B301)/B301</f>
        <v/>
      </c>
    </row>
    <row r="314" customFormat="1" s="94">
      <c r="A314" s="22" t="n">
        <v>42614</v>
      </c>
      <c r="B314" s="86">
        <f>VLOOKUP(A314,Database!$A:$AS,MATCH($B$4,Database!$A$1:$AS$1,0),FALSE)</f>
        <v/>
      </c>
      <c r="C314" s="23">
        <f>(Table13456789101112131415161734[[#This Row],[FRA]]-B313)/B313</f>
        <v/>
      </c>
      <c r="D314" s="24">
        <f>(Table13456789101112131415161734[[#This Row],[FRA]]-B302)/B302</f>
        <v/>
      </c>
    </row>
    <row r="315" customFormat="1" s="94">
      <c r="A315" s="22" t="n">
        <v>42644</v>
      </c>
      <c r="B315" s="86">
        <f>VLOOKUP(A315,Database!$A:$AS,MATCH($B$4,Database!$A$1:$AS$1,0),FALSE)</f>
        <v/>
      </c>
      <c r="C315" s="23">
        <f>(Table13456789101112131415161734[[#This Row],[FRA]]-B314)/B314</f>
        <v/>
      </c>
      <c r="D315" s="24">
        <f>(Table13456789101112131415161734[[#This Row],[FRA]]-B303)/B303</f>
        <v/>
      </c>
    </row>
    <row r="316" customFormat="1" s="94">
      <c r="A316" s="22" t="n">
        <v>42675</v>
      </c>
      <c r="B316" s="86">
        <f>VLOOKUP(A316,Database!$A:$AS,MATCH($B$4,Database!$A$1:$AS$1,0),FALSE)</f>
        <v/>
      </c>
      <c r="C316" s="23">
        <f>(Table13456789101112131415161734[[#This Row],[FRA]]-B315)/B315</f>
        <v/>
      </c>
      <c r="D316" s="24">
        <f>(Table13456789101112131415161734[[#This Row],[FRA]]-B304)/B304</f>
        <v/>
      </c>
    </row>
    <row r="317" customFormat="1" s="94">
      <c r="A317" s="22" t="n">
        <v>42705</v>
      </c>
      <c r="B317" s="86">
        <f>VLOOKUP(A317,Database!$A:$AS,MATCH($B$4,Database!$A$1:$AS$1,0),FALSE)</f>
        <v/>
      </c>
      <c r="C317" s="23">
        <f>(Table13456789101112131415161734[[#This Row],[FRA]]-B316)/B316</f>
        <v/>
      </c>
      <c r="D317" s="24">
        <f>(Table13456789101112131415161734[[#This Row],[FRA]]-B305)/B305</f>
        <v/>
      </c>
    </row>
    <row r="318" customFormat="1" s="94">
      <c r="A318" s="22" t="n">
        <v>42736</v>
      </c>
      <c r="B318" s="86">
        <f>VLOOKUP(A318,Database!$A:$AS,MATCH($B$4,Database!$A$1:$AS$1,0),FALSE)</f>
        <v/>
      </c>
      <c r="C318" s="23">
        <f>(Table13456789101112131415161734[[#This Row],[FRA]]-B317)/B317</f>
        <v/>
      </c>
      <c r="D318" s="24">
        <f>(Table13456789101112131415161734[[#This Row],[FRA]]-B306)/B306</f>
        <v/>
      </c>
    </row>
    <row r="319" customFormat="1" s="94">
      <c r="A319" s="22" t="n">
        <v>42767</v>
      </c>
      <c r="B319" s="86">
        <f>VLOOKUP(A319,Database!$A:$AS,MATCH($B$4,Database!$A$1:$AS$1,0),FALSE)</f>
        <v/>
      </c>
      <c r="C319" s="23">
        <f>(Table13456789101112131415161734[[#This Row],[FRA]]-B318)/B318</f>
        <v/>
      </c>
      <c r="D319" s="24">
        <f>(Table13456789101112131415161734[[#This Row],[FRA]]-B307)/B307</f>
        <v/>
      </c>
    </row>
    <row r="320" customFormat="1" s="94">
      <c r="A320" s="22" t="n">
        <v>42795</v>
      </c>
      <c r="B320" s="86">
        <f>VLOOKUP(A320,Database!$A:$AS,MATCH($B$4,Database!$A$1:$AS$1,0),FALSE)</f>
        <v/>
      </c>
      <c r="C320" s="23">
        <f>(Table13456789101112131415161734[[#This Row],[FRA]]-B319)/B319</f>
        <v/>
      </c>
      <c r="D320" s="24">
        <f>(Table13456789101112131415161734[[#This Row],[FRA]]-B308)/B308</f>
        <v/>
      </c>
    </row>
    <row r="321" customFormat="1" s="94">
      <c r="A321" s="22" t="n">
        <v>42826</v>
      </c>
      <c r="B321" s="86">
        <f>VLOOKUP(A321,Database!$A:$AS,MATCH($B$4,Database!$A$1:$AS$1,0),FALSE)</f>
        <v/>
      </c>
      <c r="C321" s="23">
        <f>(Table13456789101112131415161734[[#This Row],[FRA]]-B320)/B320</f>
        <v/>
      </c>
      <c r="D321" s="24">
        <f>(Table13456789101112131415161734[[#This Row],[FRA]]-B309)/B309</f>
        <v/>
      </c>
    </row>
    <row r="322" customFormat="1" s="94">
      <c r="A322" s="22" t="n">
        <v>42856</v>
      </c>
      <c r="B322" s="86">
        <f>VLOOKUP(A322,Database!$A:$AS,MATCH($B$4,Database!$A$1:$AS$1,0),FALSE)</f>
        <v/>
      </c>
      <c r="C322" s="23">
        <f>(Table13456789101112131415161734[[#This Row],[FRA]]-B321)/B321</f>
        <v/>
      </c>
      <c r="D322" s="24">
        <f>(Table13456789101112131415161734[[#This Row],[FRA]]-B310)/B310</f>
        <v/>
      </c>
    </row>
    <row r="323" customFormat="1" s="94">
      <c r="A323" s="22" t="n">
        <v>42887</v>
      </c>
      <c r="B323" s="86">
        <f>VLOOKUP(A323,Database!$A:$AS,MATCH($B$4,Database!$A$1:$AS$1,0),FALSE)</f>
        <v/>
      </c>
      <c r="C323" s="23">
        <f>(Table13456789101112131415161734[[#This Row],[FRA]]-B322)/B322</f>
        <v/>
      </c>
      <c r="D323" s="24">
        <f>(Table13456789101112131415161734[[#This Row],[FRA]]-B311)/B311</f>
        <v/>
      </c>
    </row>
    <row r="324" customFormat="1" s="94">
      <c r="A324" s="22" t="n">
        <v>42917</v>
      </c>
      <c r="B324" s="86">
        <f>VLOOKUP(A324,Database!$A:$AS,MATCH($B$4,Database!$A$1:$AS$1,0),FALSE)</f>
        <v/>
      </c>
      <c r="C324" s="23">
        <f>(Table13456789101112131415161734[[#This Row],[FRA]]-B323)/B323</f>
        <v/>
      </c>
      <c r="D324" s="24">
        <f>(Table13456789101112131415161734[[#This Row],[FRA]]-B312)/B312</f>
        <v/>
      </c>
    </row>
    <row r="325" customFormat="1" s="94">
      <c r="A325" s="22" t="n">
        <v>42948</v>
      </c>
      <c r="B325" s="86">
        <f>VLOOKUP(A325,Database!$A:$AS,MATCH($B$4,Database!$A$1:$AS$1,0),FALSE)</f>
        <v/>
      </c>
      <c r="C325" s="23">
        <f>(Table13456789101112131415161734[[#This Row],[FRA]]-B324)/B324</f>
        <v/>
      </c>
      <c r="D325" s="24">
        <f>(Table13456789101112131415161734[[#This Row],[FRA]]-B313)/B313</f>
        <v/>
      </c>
    </row>
    <row r="326" customFormat="1" s="94">
      <c r="A326" s="22" t="n">
        <v>42979</v>
      </c>
      <c r="B326" s="86">
        <f>VLOOKUP(A326,Database!$A:$AS,MATCH($B$4,Database!$A$1:$AS$1,0),FALSE)</f>
        <v/>
      </c>
      <c r="C326" s="23">
        <f>(Table13456789101112131415161734[[#This Row],[FRA]]-B325)/B325</f>
        <v/>
      </c>
      <c r="D326" s="24">
        <f>(Table13456789101112131415161734[[#This Row],[FRA]]-B314)/B314</f>
        <v/>
      </c>
    </row>
    <row r="327" customFormat="1" s="94">
      <c r="A327" s="22" t="n">
        <v>43009</v>
      </c>
      <c r="B327" s="86">
        <f>VLOOKUP(A327,Database!$A:$AS,MATCH($B$4,Database!$A$1:$AS$1,0),FALSE)</f>
        <v/>
      </c>
      <c r="C327" s="23">
        <f>(Table13456789101112131415161734[[#This Row],[FRA]]-B326)/B326</f>
        <v/>
      </c>
      <c r="D327" s="24">
        <f>(Table13456789101112131415161734[[#This Row],[FRA]]-B315)/B315</f>
        <v/>
      </c>
    </row>
    <row r="328" customFormat="1" s="94">
      <c r="A328" s="22" t="n">
        <v>43040</v>
      </c>
      <c r="B328" s="86">
        <f>VLOOKUP(A328,Database!$A:$AS,MATCH($B$4,Database!$A$1:$AS$1,0),FALSE)</f>
        <v/>
      </c>
      <c r="C328" s="23">
        <f>(Table13456789101112131415161734[[#This Row],[FRA]]-B327)/B327</f>
        <v/>
      </c>
      <c r="D328" s="24">
        <f>(Table13456789101112131415161734[[#This Row],[FRA]]-B316)/B316</f>
        <v/>
      </c>
    </row>
    <row r="329" customFormat="1" s="94">
      <c r="A329" s="22" t="n">
        <v>43070</v>
      </c>
      <c r="B329" s="86">
        <f>VLOOKUP(A329,Database!$A:$AS,MATCH($B$4,Database!$A$1:$AS$1,0),FALSE)</f>
        <v/>
      </c>
      <c r="C329" s="23">
        <f>(Table13456789101112131415161734[[#This Row],[FRA]]-B328)/B328</f>
        <v/>
      </c>
      <c r="D329" s="24">
        <f>(Table13456789101112131415161734[[#This Row],[FRA]]-B317)/B317</f>
        <v/>
      </c>
    </row>
    <row r="330" customFormat="1" s="94">
      <c r="A330" s="22" t="n">
        <v>43101</v>
      </c>
      <c r="B330" s="86">
        <f>VLOOKUP(A330,Database!$A:$AS,MATCH($B$4,Database!$A$1:$AS$1,0),FALSE)</f>
        <v/>
      </c>
      <c r="C330" s="23">
        <f>(Table13456789101112131415161734[[#This Row],[FRA]]-B329)/B329</f>
        <v/>
      </c>
      <c r="D330" s="24">
        <f>(Table13456789101112131415161734[[#This Row],[FRA]]-B318)/B318</f>
        <v/>
      </c>
    </row>
    <row r="331" customFormat="1" s="94">
      <c r="A331" s="22" t="n">
        <v>43132</v>
      </c>
      <c r="B331" s="86">
        <f>VLOOKUP(A331,Database!$A:$AS,MATCH($B$4,Database!$A$1:$AS$1,0),FALSE)</f>
        <v/>
      </c>
      <c r="C331" s="23">
        <f>(Table13456789101112131415161734[[#This Row],[FRA]]-B330)/B330</f>
        <v/>
      </c>
      <c r="D331" s="24">
        <f>(Table13456789101112131415161734[[#This Row],[FRA]]-B319)/B319</f>
        <v/>
      </c>
    </row>
    <row r="332" customFormat="1" s="94">
      <c r="A332" s="22" t="n">
        <v>43160</v>
      </c>
      <c r="B332" s="86">
        <f>VLOOKUP(A332,Database!$A:$AS,MATCH($B$4,Database!$A$1:$AS$1,0),FALSE)</f>
        <v/>
      </c>
      <c r="C332" s="23">
        <f>(Table13456789101112131415161734[[#This Row],[FRA]]-B331)/B331</f>
        <v/>
      </c>
      <c r="D332" s="24">
        <f>(Table13456789101112131415161734[[#This Row],[FRA]]-B320)/B320</f>
        <v/>
      </c>
    </row>
    <row r="333" customFormat="1" s="94">
      <c r="A333" s="22" t="n">
        <v>43191</v>
      </c>
      <c r="B333" s="86">
        <f>VLOOKUP(A333,Database!$A:$AS,MATCH($B$4,Database!$A$1:$AS$1,0),FALSE)</f>
        <v/>
      </c>
      <c r="C333" s="23">
        <f>(Table13456789101112131415161734[[#This Row],[FRA]]-B332)/B332</f>
        <v/>
      </c>
      <c r="D333" s="24">
        <f>(Table13456789101112131415161734[[#This Row],[FRA]]-B321)/B321</f>
        <v/>
      </c>
    </row>
    <row r="334" customFormat="1" s="94">
      <c r="A334" s="22" t="n">
        <v>43221</v>
      </c>
      <c r="B334" s="86">
        <f>VLOOKUP(A334,Database!$A:$AS,MATCH($B$4,Database!$A$1:$AS$1,0),FALSE)</f>
        <v/>
      </c>
      <c r="C334" s="23">
        <f>(Table13456789101112131415161734[[#This Row],[FRA]]-B333)/B333</f>
        <v/>
      </c>
      <c r="D334" s="24">
        <f>(Table13456789101112131415161734[[#This Row],[FRA]]-B322)/B322</f>
        <v/>
      </c>
    </row>
    <row r="335" customFormat="1" s="94">
      <c r="A335" s="22" t="n">
        <v>43252</v>
      </c>
      <c r="B335" s="86">
        <f>VLOOKUP(A335,Database!$A:$AS,MATCH($B$4,Database!$A$1:$AS$1,0),FALSE)</f>
        <v/>
      </c>
      <c r="C335" s="23">
        <f>(Table13456789101112131415161734[[#This Row],[FRA]]-B334)/B334</f>
        <v/>
      </c>
      <c r="D335" s="24">
        <f>(Table13456789101112131415161734[[#This Row],[FRA]]-B323)/B323</f>
        <v/>
      </c>
    </row>
    <row r="336" customFormat="1" s="94">
      <c r="A336" s="22" t="n">
        <v>43282</v>
      </c>
      <c r="B336" s="86">
        <f>VLOOKUP(A336,Database!$A:$AS,MATCH($B$4,Database!$A$1:$AS$1,0),FALSE)</f>
        <v/>
      </c>
      <c r="C336" s="23">
        <f>(Table13456789101112131415161734[[#This Row],[FRA]]-B335)/B335</f>
        <v/>
      </c>
      <c r="D336" s="24">
        <f>(Table13456789101112131415161734[[#This Row],[FRA]]-B324)/B324</f>
        <v/>
      </c>
    </row>
    <row r="337" customFormat="1" s="94">
      <c r="A337" s="22" t="n">
        <v>43313</v>
      </c>
      <c r="B337" s="86">
        <f>VLOOKUP(A337,Database!$A:$AS,MATCH($B$4,Database!$A$1:$AS$1,0),FALSE)</f>
        <v/>
      </c>
      <c r="C337" s="23">
        <f>(Table13456789101112131415161734[[#This Row],[FRA]]-B336)/B336</f>
        <v/>
      </c>
      <c r="D337" s="24">
        <f>(Table13456789101112131415161734[[#This Row],[FRA]]-B325)/B325</f>
        <v/>
      </c>
    </row>
    <row r="338" customFormat="1" s="94">
      <c r="A338" s="22" t="n">
        <v>43344</v>
      </c>
      <c r="B338" s="86">
        <f>VLOOKUP(A338,Database!$A:$AS,MATCH($B$4,Database!$A$1:$AS$1,0),FALSE)</f>
        <v/>
      </c>
      <c r="C338" s="23">
        <f>(Table13456789101112131415161734[[#This Row],[FRA]]-B337)/B337</f>
        <v/>
      </c>
      <c r="D338" s="24">
        <f>(Table13456789101112131415161734[[#This Row],[FRA]]-B326)/B326</f>
        <v/>
      </c>
    </row>
    <row r="339" customFormat="1" s="94">
      <c r="A339" s="22" t="n">
        <v>43374</v>
      </c>
      <c r="B339" s="86">
        <f>VLOOKUP(A339,Database!$A:$AS,MATCH($B$4,Database!$A$1:$AS$1,0),FALSE)</f>
        <v/>
      </c>
      <c r="C339" s="23">
        <f>(Table13456789101112131415161734[[#This Row],[FRA]]-B338)/B338</f>
        <v/>
      </c>
      <c r="D339" s="24">
        <f>(Table13456789101112131415161734[[#This Row],[FRA]]-B327)/B327</f>
        <v/>
      </c>
    </row>
    <row r="340" customFormat="1" s="94">
      <c r="A340" s="22" t="n">
        <v>43405</v>
      </c>
      <c r="B340" s="86">
        <f>VLOOKUP(A340,Database!$A:$AS,MATCH($B$4,Database!$A$1:$AS$1,0),FALSE)</f>
        <v/>
      </c>
      <c r="C340" s="23">
        <f>(Table13456789101112131415161734[[#This Row],[FRA]]-B339)/B339</f>
        <v/>
      </c>
      <c r="D340" s="24">
        <f>(Table13456789101112131415161734[[#This Row],[FRA]]-B328)/B328</f>
        <v/>
      </c>
    </row>
    <row r="341" customFormat="1" s="94">
      <c r="A341" s="22" t="n">
        <v>43435</v>
      </c>
      <c r="B341" s="86">
        <f>VLOOKUP(A341,Database!$A:$AS,MATCH($B$4,Database!$A$1:$AS$1,0),FALSE)</f>
        <v/>
      </c>
      <c r="C341" s="23">
        <f>(Table13456789101112131415161734[[#This Row],[FRA]]-B340)/B340</f>
        <v/>
      </c>
      <c r="D341" s="24">
        <f>(Table13456789101112131415161734[[#This Row],[FRA]]-B329)/B329</f>
        <v/>
      </c>
    </row>
    <row r="342" customFormat="1" s="94">
      <c r="A342" s="22" t="n">
        <v>43466</v>
      </c>
      <c r="B342" s="86">
        <f>VLOOKUP(A342,Database!$A:$AS,MATCH($B$4,Database!$A$1:$AS$1,0),FALSE)</f>
        <v/>
      </c>
      <c r="C342" s="23">
        <f>(Table13456789101112131415161734[[#This Row],[FRA]]-B341)/B341</f>
        <v/>
      </c>
      <c r="D342" s="24">
        <f>(Table13456789101112131415161734[[#This Row],[FRA]]-B330)/B330</f>
        <v/>
      </c>
    </row>
    <row r="343" customFormat="1" s="94">
      <c r="A343" s="22" t="n">
        <v>43497</v>
      </c>
      <c r="B343" s="86">
        <f>VLOOKUP(A343,Database!$A:$AS,MATCH($B$4,Database!$A$1:$AS$1,0),FALSE)</f>
        <v/>
      </c>
      <c r="C343" s="23">
        <f>(Table13456789101112131415161734[[#This Row],[FRA]]-B342)/B342</f>
        <v/>
      </c>
      <c r="D343" s="24">
        <f>(Table13456789101112131415161734[[#This Row],[FRA]]-B331)/B331</f>
        <v/>
      </c>
    </row>
    <row r="344" customFormat="1" s="94">
      <c r="A344" s="22" t="n">
        <v>43525</v>
      </c>
      <c r="B344" s="86">
        <f>VLOOKUP(A344,Database!$A:$AS,MATCH($B$4,Database!$A$1:$AS$1,0),FALSE)</f>
        <v/>
      </c>
      <c r="C344" s="23">
        <f>(Table13456789101112131415161734[[#This Row],[FRA]]-B343)/B343</f>
        <v/>
      </c>
      <c r="D344" s="24">
        <f>(Table13456789101112131415161734[[#This Row],[FRA]]-B332)/B332</f>
        <v/>
      </c>
    </row>
    <row r="345" customFormat="1" s="94">
      <c r="A345" s="22" t="n">
        <v>43556</v>
      </c>
      <c r="B345" s="86">
        <f>VLOOKUP(A345,Database!$A:$AS,MATCH($B$4,Database!$A$1:$AS$1,0),FALSE)</f>
        <v/>
      </c>
      <c r="C345" s="23">
        <f>(Table13456789101112131415161734[[#This Row],[FRA]]-B344)/B344</f>
        <v/>
      </c>
      <c r="D345" s="24">
        <f>(Table13456789101112131415161734[[#This Row],[FRA]]-B333)/B333</f>
        <v/>
      </c>
    </row>
    <row r="346" customFormat="1" s="94">
      <c r="A346" s="22" t="n">
        <v>43586</v>
      </c>
      <c r="B346" s="86">
        <f>VLOOKUP(A346,Database!$A:$AS,MATCH($B$4,Database!$A$1:$AS$1,0),FALSE)</f>
        <v/>
      </c>
      <c r="C346" s="23">
        <f>(Table13456789101112131415161734[[#This Row],[FRA]]-B345)/B345</f>
        <v/>
      </c>
      <c r="D346" s="24">
        <f>(Table13456789101112131415161734[[#This Row],[FRA]]-B334)/B334</f>
        <v/>
      </c>
    </row>
    <row r="347" customFormat="1" s="94">
      <c r="A347" s="22" t="n">
        <v>43617</v>
      </c>
      <c r="B347" s="86">
        <f>VLOOKUP(A347,Database!$A:$AS,MATCH($B$4,Database!$A$1:$AS$1,0),FALSE)</f>
        <v/>
      </c>
      <c r="C347" s="23">
        <f>(Table13456789101112131415161734[[#This Row],[FRA]]-B346)/B346</f>
        <v/>
      </c>
      <c r="D347" s="24">
        <f>(Table13456789101112131415161734[[#This Row],[FRA]]-B335)/B335</f>
        <v/>
      </c>
    </row>
    <row r="348" customFormat="1" s="94">
      <c r="A348" s="22" t="n">
        <v>43647</v>
      </c>
      <c r="B348" s="86">
        <f>VLOOKUP(A348,Database!$A:$AS,MATCH($B$4,Database!$A$1:$AS$1,0),FALSE)</f>
        <v/>
      </c>
      <c r="C348" s="23">
        <f>(Table13456789101112131415161734[[#This Row],[FRA]]-B347)/B347</f>
        <v/>
      </c>
      <c r="D348" s="24">
        <f>(Table13456789101112131415161734[[#This Row],[FRA]]-B336)/B336</f>
        <v/>
      </c>
    </row>
    <row r="349" customFormat="1" s="94">
      <c r="A349" s="22" t="n">
        <v>43678</v>
      </c>
      <c r="B349" s="86">
        <f>VLOOKUP(A349,Database!$A:$AS,MATCH($B$4,Database!$A$1:$AS$1,0),FALSE)</f>
        <v/>
      </c>
      <c r="C349" s="23">
        <f>(Table13456789101112131415161734[[#This Row],[FRA]]-B348)/B348</f>
        <v/>
      </c>
      <c r="D349" s="24">
        <f>(Table13456789101112131415161734[[#This Row],[FRA]]-B337)/B337</f>
        <v/>
      </c>
    </row>
    <row r="350" customFormat="1" s="94">
      <c r="A350" s="22" t="n">
        <v>43709</v>
      </c>
      <c r="B350" s="86">
        <f>VLOOKUP(A350,Database!$A:$AS,MATCH($B$4,Database!$A$1:$AS$1,0),FALSE)</f>
        <v/>
      </c>
      <c r="C350" s="23">
        <f>(Table13456789101112131415161734[[#This Row],[FRA]]-B349)/B349</f>
        <v/>
      </c>
      <c r="D350" s="24">
        <f>(Table13456789101112131415161734[[#This Row],[FRA]]-B338)/B338</f>
        <v/>
      </c>
    </row>
    <row r="351" customFormat="1" s="94">
      <c r="A351" s="22" t="n">
        <v>43739</v>
      </c>
      <c r="B351" s="86">
        <f>VLOOKUP(A351,Database!$A:$AS,MATCH($B$4,Database!$A$1:$AS$1,0),FALSE)</f>
        <v/>
      </c>
      <c r="C351" s="23">
        <f>(Table13456789101112131415161734[[#This Row],[FRA]]-B350)/B350</f>
        <v/>
      </c>
      <c r="D351" s="24">
        <f>(Table13456789101112131415161734[[#This Row],[FRA]]-B339)/B339</f>
        <v/>
      </c>
    </row>
    <row r="352" customFormat="1" s="94">
      <c r="A352" s="16" t="n"/>
      <c r="C352" s="19" t="n"/>
      <c r="D352" s="19" t="n"/>
    </row>
    <row r="353" customFormat="1" s="94">
      <c r="A353" s="16" t="n"/>
      <c r="C353" s="19" t="n"/>
      <c r="D353" s="19" t="n"/>
    </row>
    <row r="354" customFormat="1" s="94">
      <c r="A354" s="16" t="n"/>
      <c r="C354" s="19" t="n"/>
      <c r="D354" s="19" t="n"/>
    </row>
    <row r="355" customFormat="1" s="94">
      <c r="A355" s="16" t="n"/>
      <c r="C355" s="19" t="n"/>
      <c r="D355" s="19" t="n"/>
    </row>
    <row r="356" customFormat="1" s="94">
      <c r="A356" s="16" t="n"/>
      <c r="C356" s="19" t="n"/>
      <c r="D356" s="19" t="n"/>
    </row>
    <row r="357" customFormat="1" s="94">
      <c r="A357" s="16" t="n"/>
      <c r="C357" s="19" t="n"/>
      <c r="D357" s="19" t="n"/>
    </row>
    <row r="358" customFormat="1" s="94">
      <c r="A358" s="16" t="n"/>
      <c r="C358" s="19" t="n"/>
      <c r="D358" s="19" t="n"/>
    </row>
    <row r="359" customFormat="1" s="94">
      <c r="A359" s="16" t="n"/>
      <c r="C359" s="19" t="n"/>
      <c r="D359" s="19" t="n"/>
    </row>
    <row r="360" customFormat="1" s="94">
      <c r="A360" s="16" t="n"/>
      <c r="C360" s="19" t="n"/>
      <c r="D360" s="19" t="n"/>
    </row>
    <row r="361" customFormat="1" s="94">
      <c r="A361" s="16" t="n"/>
      <c r="C361" s="19" t="n"/>
      <c r="D361" s="19" t="n"/>
    </row>
    <row r="362" customFormat="1" s="94">
      <c r="A362" s="16" t="n"/>
      <c r="C362" s="19" t="n"/>
      <c r="D362" s="19" t="n"/>
    </row>
    <row r="363" customFormat="1" s="94">
      <c r="A363" s="16" t="n"/>
      <c r="C363" s="19" t="n"/>
      <c r="D363" s="19" t="n"/>
    </row>
    <row r="364" customFormat="1" s="94">
      <c r="A364" s="16" t="n"/>
      <c r="C364" s="19" t="n"/>
      <c r="D364" s="19" t="n"/>
    </row>
    <row r="365" customFormat="1" s="94">
      <c r="A365" s="16" t="n"/>
      <c r="C365" s="19" t="n"/>
      <c r="D365" s="19" t="n"/>
    </row>
    <row r="366" customFormat="1" s="94">
      <c r="A366" s="16" t="n"/>
      <c r="C366" s="19" t="n"/>
      <c r="D366" s="19" t="n"/>
    </row>
    <row r="367" customFormat="1" s="94">
      <c r="A367" s="16" t="n"/>
      <c r="C367" s="19" t="n"/>
      <c r="D367" s="19" t="n"/>
    </row>
    <row r="368" customFormat="1" s="94">
      <c r="A368" s="16" t="n"/>
      <c r="C368" s="19" t="n"/>
      <c r="D368" s="19" t="n"/>
    </row>
    <row r="369" customFormat="1" s="94">
      <c r="A369" s="16" t="n"/>
      <c r="C369" s="19" t="n"/>
      <c r="D369" s="19" t="n"/>
    </row>
    <row r="370" customFormat="1" s="94">
      <c r="A370" s="16" t="n"/>
      <c r="C370" s="19" t="n"/>
      <c r="D370" s="19" t="n"/>
    </row>
    <row r="371" customFormat="1" s="94">
      <c r="A371" s="16" t="n"/>
      <c r="C371" s="19" t="n"/>
      <c r="D371" s="19" t="n"/>
    </row>
    <row r="372" customFormat="1" s="94">
      <c r="A372" s="16" t="n"/>
      <c r="C372" s="19" t="n"/>
      <c r="D372" s="19" t="n"/>
    </row>
    <row r="373" customFormat="1" s="94">
      <c r="A373" s="16" t="n"/>
      <c r="C373" s="19" t="n"/>
      <c r="D373" s="19" t="n"/>
    </row>
    <row r="374" customFormat="1" s="94">
      <c r="A374" s="16" t="n"/>
      <c r="C374" s="19" t="n"/>
      <c r="D374" s="19" t="n"/>
    </row>
    <row r="375" customFormat="1" s="94">
      <c r="A375" s="16" t="n"/>
      <c r="C375" s="19" t="n"/>
      <c r="D375" s="19" t="n"/>
    </row>
    <row r="376" customFormat="1" s="94">
      <c r="A376" s="16" t="n"/>
      <c r="C376" s="19" t="n"/>
      <c r="D376" s="19" t="n"/>
    </row>
    <row r="377" customFormat="1" s="94">
      <c r="A377" s="16" t="n"/>
      <c r="C377" s="19" t="n"/>
      <c r="D377" s="19" t="n"/>
    </row>
    <row r="378" customFormat="1" s="94">
      <c r="A378" s="16" t="n"/>
      <c r="C378" s="19" t="n"/>
      <c r="D378" s="19" t="n"/>
    </row>
    <row r="379" customFormat="1" s="94">
      <c r="A379" s="16" t="n"/>
      <c r="C379" s="19" t="n"/>
      <c r="D379" s="19" t="n"/>
    </row>
    <row r="380" customFormat="1" s="94">
      <c r="A380" s="16" t="n"/>
      <c r="C380" s="19" t="n"/>
      <c r="D380" s="19" t="n"/>
    </row>
    <row r="381" customFormat="1" s="94">
      <c r="A381" s="16" t="n"/>
      <c r="C381" s="19" t="n"/>
      <c r="D381" s="19" t="n"/>
    </row>
    <row r="382" customFormat="1" s="94">
      <c r="A382" s="16" t="n"/>
      <c r="C382" s="19" t="n"/>
      <c r="D382" s="19" t="n"/>
    </row>
    <row r="383" customFormat="1" s="94">
      <c r="A383" s="16" t="n"/>
      <c r="C383" s="19" t="n"/>
      <c r="D383" s="19" t="n"/>
    </row>
    <row r="384" customFormat="1" s="94">
      <c r="A384" s="16" t="n"/>
      <c r="C384" s="19" t="n"/>
      <c r="D384" s="19" t="n"/>
    </row>
    <row r="385" customFormat="1" s="94">
      <c r="A385" s="16" t="n"/>
      <c r="C385" s="19" t="n"/>
      <c r="D385" s="19" t="n"/>
    </row>
    <row r="386" customFormat="1" s="94">
      <c r="A386" s="16" t="n"/>
      <c r="C386" s="19" t="n"/>
      <c r="D386" s="19" t="n"/>
    </row>
    <row r="387" customFormat="1" s="94">
      <c r="A387" s="16" t="n"/>
      <c r="C387" s="19" t="n"/>
      <c r="D387" s="19" t="n"/>
    </row>
    <row r="388" customFormat="1" s="94">
      <c r="A388" s="16" t="n"/>
      <c r="C388" s="19" t="n"/>
      <c r="D388" s="19" t="n"/>
    </row>
    <row r="389" customFormat="1" s="94">
      <c r="A389" s="16" t="n"/>
      <c r="C389" s="19" t="n"/>
      <c r="D389" s="19" t="n"/>
    </row>
    <row r="390" customFormat="1" s="94">
      <c r="A390" s="16" t="n"/>
      <c r="C390" s="19" t="n"/>
      <c r="D390" s="19" t="n"/>
    </row>
    <row r="391" customFormat="1" s="94">
      <c r="A391" s="16" t="n"/>
      <c r="C391" s="19" t="n"/>
      <c r="D391" s="19" t="n"/>
    </row>
    <row r="392" customFormat="1" s="94">
      <c r="A392" s="16" t="n"/>
      <c r="C392" s="19" t="n"/>
      <c r="D392" s="19" t="n"/>
    </row>
    <row r="393" customFormat="1" s="94">
      <c r="A393" s="16" t="n"/>
      <c r="C393" s="19" t="n"/>
      <c r="D393" s="19" t="n"/>
    </row>
    <row r="394" customFormat="1" s="94">
      <c r="A394" s="16" t="n"/>
      <c r="C394" s="19" t="n"/>
      <c r="D394" s="19" t="n"/>
    </row>
    <row r="395" customFormat="1" s="94">
      <c r="A395" s="16" t="n"/>
      <c r="C395" s="19" t="n"/>
      <c r="D395" s="19" t="n"/>
    </row>
    <row r="396" customFormat="1" s="94">
      <c r="A396" s="16" t="n"/>
      <c r="C396" s="19" t="n"/>
      <c r="D396" s="19" t="n"/>
    </row>
    <row r="397" customFormat="1" s="94">
      <c r="A397" s="16" t="n"/>
      <c r="C397" s="19" t="n"/>
      <c r="D397" s="19" t="n"/>
    </row>
    <row r="398" customFormat="1" s="94">
      <c r="A398" s="16" t="n"/>
      <c r="C398" s="19" t="n"/>
      <c r="D398" s="19" t="n"/>
    </row>
    <row r="399" customFormat="1" s="94">
      <c r="A399" s="16" t="n"/>
      <c r="C399" s="19" t="n"/>
      <c r="D399" s="19" t="n"/>
    </row>
    <row r="400" customFormat="1" s="94">
      <c r="A400" s="16" t="n"/>
      <c r="C400" s="19" t="n"/>
      <c r="D400" s="19" t="n"/>
    </row>
    <row r="401" customFormat="1" s="94">
      <c r="A401" s="16" t="n"/>
      <c r="C401" s="19" t="n"/>
      <c r="D401" s="19" t="n"/>
    </row>
    <row r="402" customFormat="1" s="94">
      <c r="A402" s="16" t="n"/>
      <c r="C402" s="19" t="n"/>
      <c r="D402" s="19" t="n"/>
    </row>
    <row r="403" customFormat="1" s="94">
      <c r="A403" s="16" t="n"/>
      <c r="C403" s="19" t="n"/>
      <c r="D403" s="19" t="n"/>
    </row>
    <row r="404" customFormat="1" s="94">
      <c r="A404" s="16" t="n"/>
      <c r="C404" s="19" t="n"/>
      <c r="D404" s="19" t="n"/>
    </row>
    <row r="405" customFormat="1" s="94">
      <c r="A405" s="16" t="n"/>
      <c r="C405" s="19" t="n"/>
      <c r="D405" s="19" t="n"/>
    </row>
    <row r="406" customFormat="1" s="94">
      <c r="A406" s="16" t="n"/>
      <c r="C406" s="19" t="n"/>
      <c r="D406" s="19" t="n"/>
    </row>
    <row r="407" customFormat="1" s="94">
      <c r="A407" s="16" t="n"/>
      <c r="C407" s="19" t="n"/>
      <c r="D407" s="19" t="n"/>
    </row>
    <row r="408" customFormat="1" s="94">
      <c r="A408" s="16" t="n"/>
      <c r="C408" s="19" t="n"/>
      <c r="D408" s="19" t="n"/>
    </row>
    <row r="409" customFormat="1" s="94">
      <c r="A409" s="16" t="n"/>
      <c r="C409" s="19" t="n"/>
      <c r="D409" s="19" t="n"/>
    </row>
    <row r="410" customFormat="1" s="94">
      <c r="A410" s="16" t="n"/>
      <c r="C410" s="19" t="n"/>
      <c r="D410" s="19" t="n"/>
    </row>
    <row r="411" customFormat="1" s="94">
      <c r="A411" s="16" t="n"/>
      <c r="C411" s="19" t="n"/>
      <c r="D411" s="19" t="n"/>
    </row>
    <row r="412" customFormat="1" s="94">
      <c r="A412" s="16" t="n"/>
      <c r="C412" s="19" t="n"/>
      <c r="D412" s="19" t="n"/>
    </row>
    <row r="413" customFormat="1" s="94">
      <c r="A413" s="16" t="n"/>
      <c r="C413" s="19" t="n"/>
      <c r="D413" s="19" t="n"/>
    </row>
    <row r="414" customFormat="1" s="94">
      <c r="A414" s="16" t="n"/>
      <c r="C414" s="19" t="n"/>
      <c r="D414" s="19" t="n"/>
    </row>
    <row r="415" customFormat="1" s="94">
      <c r="A415" s="16" t="n"/>
      <c r="C415" s="19" t="n"/>
      <c r="D415" s="19" t="n"/>
    </row>
    <row r="416" customFormat="1" s="94">
      <c r="A416" s="16" t="n"/>
      <c r="C416" s="19" t="n"/>
      <c r="D416" s="19" t="n"/>
    </row>
    <row r="417" customFormat="1" s="94">
      <c r="A417" s="16" t="n"/>
      <c r="C417" s="19" t="n"/>
      <c r="D417" s="19" t="n"/>
    </row>
    <row r="418" customFormat="1" s="94">
      <c r="A418" s="16" t="n"/>
      <c r="C418" s="19" t="n"/>
      <c r="D418" s="19" t="n"/>
    </row>
    <row r="419" customFormat="1" s="94">
      <c r="A419" s="16" t="n"/>
      <c r="C419" s="19" t="n"/>
      <c r="D419" s="19" t="n"/>
    </row>
    <row r="420" customFormat="1" s="94">
      <c r="A420" s="16" t="n"/>
      <c r="C420" s="19" t="n"/>
      <c r="D420" s="19" t="n"/>
    </row>
    <row r="421" customFormat="1" s="94">
      <c r="A421" s="16" t="n"/>
      <c r="C421" s="19" t="n"/>
      <c r="D421" s="19" t="n"/>
    </row>
    <row r="422" customFormat="1" s="94">
      <c r="A422" s="16" t="n"/>
      <c r="C422" s="19" t="n"/>
      <c r="D422" s="19" t="n"/>
    </row>
    <row r="423" customFormat="1" s="94">
      <c r="A423" s="16" t="n"/>
      <c r="C423" s="19" t="n"/>
      <c r="D423" s="19" t="n"/>
    </row>
    <row r="424" customFormat="1" s="94">
      <c r="A424" s="16" t="n"/>
      <c r="C424" s="19" t="n"/>
      <c r="D424" s="19" t="n"/>
    </row>
    <row r="425" customFormat="1" s="94">
      <c r="A425" s="16" t="n"/>
      <c r="C425" s="19" t="n"/>
      <c r="D425" s="19" t="n"/>
    </row>
    <row r="426" customFormat="1" s="94">
      <c r="A426" s="16" t="n"/>
      <c r="C426" s="19" t="n"/>
      <c r="D426" s="19" t="n"/>
    </row>
    <row r="427" customFormat="1" s="94">
      <c r="A427" s="16" t="n"/>
      <c r="C427" s="19" t="n"/>
      <c r="D427" s="19" t="n"/>
    </row>
    <row r="428" customFormat="1" s="94">
      <c r="A428" s="16" t="n"/>
      <c r="C428" s="19" t="n"/>
      <c r="D428" s="19" t="n"/>
    </row>
    <row r="429" customFormat="1" s="94">
      <c r="A429" s="16" t="n"/>
      <c r="C429" s="19" t="n"/>
      <c r="D429" s="19" t="n"/>
    </row>
    <row r="430" customFormat="1" s="94">
      <c r="A430" s="16" t="n"/>
      <c r="C430" s="19" t="n"/>
      <c r="D430" s="19" t="n"/>
    </row>
    <row r="431" customFormat="1" s="94">
      <c r="A431" s="16" t="n"/>
      <c r="C431" s="19" t="n"/>
      <c r="D431" s="19" t="n"/>
    </row>
    <row r="432" customFormat="1" s="94">
      <c r="A432" s="16" t="n"/>
      <c r="C432" s="19" t="n"/>
      <c r="D432" s="19" t="n"/>
    </row>
    <row r="433" customFormat="1" s="94">
      <c r="A433" s="16" t="n"/>
      <c r="C433" s="19" t="n"/>
      <c r="D433" s="19" t="n"/>
    </row>
    <row r="434" customFormat="1" s="94">
      <c r="A434" s="16" t="n"/>
      <c r="C434" s="19" t="n"/>
      <c r="D434" s="19" t="n"/>
    </row>
    <row r="435" customFormat="1" s="94">
      <c r="A435" s="16" t="n"/>
      <c r="C435" s="19" t="n"/>
      <c r="D435" s="19" t="n"/>
    </row>
    <row r="436" customFormat="1" s="94">
      <c r="A436" s="16" t="n"/>
      <c r="C436" s="19" t="n"/>
      <c r="D436" s="19" t="n"/>
    </row>
    <row r="437" customFormat="1" s="94">
      <c r="A437" s="16" t="n"/>
      <c r="C437" s="19" t="n"/>
      <c r="D437" s="19" t="n"/>
    </row>
    <row r="438" customFormat="1" s="94">
      <c r="A438" s="16" t="n"/>
      <c r="C438" s="19" t="n"/>
      <c r="D438" s="19" t="n"/>
    </row>
    <row r="439" customFormat="1" s="94">
      <c r="A439" s="16" t="n"/>
      <c r="C439" s="19" t="n"/>
      <c r="D439" s="19" t="n"/>
    </row>
    <row r="440" customFormat="1" s="94">
      <c r="A440" s="16" t="n"/>
      <c r="C440" s="19" t="n"/>
      <c r="D440" s="19" t="n"/>
    </row>
    <row r="441" customFormat="1" s="94">
      <c r="A441" s="16" t="n"/>
      <c r="C441" s="19" t="n"/>
      <c r="D441" s="19" t="n"/>
    </row>
    <row r="442" customFormat="1" s="94">
      <c r="A442" s="16" t="n"/>
      <c r="C442" s="19" t="n"/>
      <c r="D442" s="19" t="n"/>
    </row>
    <row r="443" customFormat="1" s="94">
      <c r="A443" s="16" t="n"/>
      <c r="C443" s="19" t="n"/>
      <c r="D443" s="19" t="n"/>
    </row>
    <row r="444" customFormat="1" s="94">
      <c r="A444" s="16" t="n"/>
      <c r="C444" s="19" t="n"/>
      <c r="D444" s="19" t="n"/>
    </row>
    <row r="445" customFormat="1" s="94">
      <c r="A445" s="16" t="n"/>
      <c r="C445" s="19" t="n"/>
      <c r="D445" s="19" t="n"/>
    </row>
    <row r="446" customFormat="1" s="94">
      <c r="A446" s="16" t="n"/>
      <c r="C446" s="19" t="n"/>
      <c r="D446" s="19" t="n"/>
    </row>
    <row r="447" customFormat="1" s="94">
      <c r="A447" s="16" t="n"/>
      <c r="C447" s="19" t="n"/>
      <c r="D447" s="19" t="n"/>
    </row>
    <row r="448" customFormat="1" s="94">
      <c r="A448" s="16" t="n"/>
      <c r="C448" s="19" t="n"/>
      <c r="D448" s="19" t="n"/>
    </row>
    <row r="449" customFormat="1" s="94">
      <c r="A449" s="16" t="n"/>
      <c r="C449" s="19" t="n"/>
      <c r="D449" s="19" t="n"/>
    </row>
    <row r="450" customFormat="1" s="94">
      <c r="A450" s="16" t="n"/>
      <c r="C450" s="19" t="n"/>
      <c r="D450" s="19" t="n"/>
    </row>
    <row r="451" customFormat="1" s="94">
      <c r="A451" s="16" t="n"/>
      <c r="C451" s="19" t="n"/>
      <c r="D451" s="19" t="n"/>
    </row>
    <row r="452" customFormat="1" s="94">
      <c r="A452" s="16" t="n"/>
      <c r="C452" s="19" t="n"/>
      <c r="D452" s="19" t="n"/>
    </row>
    <row r="453" customFormat="1" s="94">
      <c r="A453" s="16" t="n"/>
      <c r="C453" s="19" t="n"/>
      <c r="D453" s="19" t="n"/>
    </row>
    <row r="454" customFormat="1" s="94">
      <c r="A454" s="16" t="n"/>
      <c r="C454" s="19" t="n"/>
      <c r="D454" s="19" t="n"/>
    </row>
    <row r="455" customFormat="1" s="94">
      <c r="A455" s="16" t="n"/>
      <c r="C455" s="19" t="n"/>
      <c r="D455" s="19" t="n"/>
    </row>
    <row r="456" customFormat="1" s="94">
      <c r="A456" s="16" t="n"/>
      <c r="C456" s="19" t="n"/>
      <c r="D456" s="19" t="n"/>
    </row>
    <row r="457" customFormat="1" s="94">
      <c r="A457" s="16" t="n"/>
      <c r="C457" s="19" t="n"/>
      <c r="D457" s="19" t="n"/>
    </row>
    <row r="458" customFormat="1" s="94">
      <c r="A458" s="16" t="n"/>
      <c r="C458" s="19" t="n"/>
      <c r="D458" s="19" t="n"/>
    </row>
    <row r="459" customFormat="1" s="94">
      <c r="A459" s="16" t="n"/>
      <c r="C459" s="19" t="n"/>
      <c r="D459" s="19" t="n"/>
    </row>
    <row r="460" customFormat="1" s="94">
      <c r="A460" s="16" t="n"/>
      <c r="C460" s="19" t="n"/>
      <c r="D460" s="19" t="n"/>
    </row>
    <row r="461" customFormat="1" s="94">
      <c r="A461" s="16" t="n"/>
      <c r="C461" s="19" t="n"/>
      <c r="D461" s="19" t="n"/>
    </row>
    <row r="462" customFormat="1" s="94">
      <c r="A462" s="16" t="n"/>
      <c r="C462" s="19" t="n"/>
      <c r="D462" s="19" t="n"/>
    </row>
    <row r="463" customFormat="1" s="94">
      <c r="A463" s="16" t="n"/>
      <c r="C463" s="19" t="n"/>
      <c r="D463" s="19" t="n"/>
    </row>
    <row r="464" customFormat="1" s="94">
      <c r="A464" s="16" t="n"/>
      <c r="C464" s="19" t="n"/>
      <c r="D464" s="19" t="n"/>
    </row>
    <row r="465" customFormat="1" s="94">
      <c r="A465" s="16" t="n"/>
      <c r="C465" s="19" t="n"/>
      <c r="D465" s="19" t="n"/>
    </row>
    <row r="466" customFormat="1" s="94">
      <c r="A466" s="16" t="n"/>
      <c r="C466" s="19" t="n"/>
      <c r="D466" s="19" t="n"/>
    </row>
    <row r="467" customFormat="1" s="94">
      <c r="A467" s="16" t="n"/>
      <c r="C467" s="19" t="n"/>
      <c r="D467" s="19" t="n"/>
    </row>
    <row r="468" customFormat="1" s="94">
      <c r="A468" s="16" t="n"/>
      <c r="C468" s="19" t="n"/>
      <c r="D468" s="19" t="n"/>
    </row>
    <row r="469" customFormat="1" s="94">
      <c r="A469" s="16" t="n"/>
      <c r="C469" s="19" t="n"/>
      <c r="D469" s="19" t="n"/>
    </row>
    <row r="470" customFormat="1" s="94">
      <c r="A470" s="16" t="n"/>
      <c r="C470" s="19" t="n"/>
      <c r="D470" s="19" t="n"/>
    </row>
    <row r="471" customFormat="1" s="94">
      <c r="A471" s="16" t="n"/>
      <c r="C471" s="19" t="n"/>
      <c r="D471" s="19" t="n"/>
    </row>
    <row r="472" customFormat="1" s="94">
      <c r="A472" s="16" t="n"/>
      <c r="C472" s="19" t="n"/>
      <c r="D472" s="19" t="n"/>
    </row>
    <row r="473" customFormat="1" s="94">
      <c r="A473" s="16" t="n"/>
      <c r="C473" s="19" t="n"/>
      <c r="D473" s="19" t="n"/>
    </row>
    <row r="474" customFormat="1" s="94">
      <c r="A474" s="16" t="n"/>
      <c r="C474" s="19" t="n"/>
      <c r="D474" s="19" t="n"/>
    </row>
    <row r="475" customFormat="1" s="94">
      <c r="A475" s="16" t="n"/>
      <c r="C475" s="19" t="n"/>
      <c r="D475" s="19" t="n"/>
    </row>
    <row r="476" customFormat="1" s="94">
      <c r="A476" s="16" t="n"/>
      <c r="C476" s="19" t="n"/>
      <c r="D476" s="19" t="n"/>
    </row>
    <row r="477" customFormat="1" s="94">
      <c r="A477" s="16" t="n"/>
      <c r="C477" s="19" t="n"/>
      <c r="D477" s="19" t="n"/>
    </row>
    <row r="478" customFormat="1" s="94">
      <c r="A478" s="16" t="n"/>
      <c r="C478" s="19" t="n"/>
      <c r="D478" s="19" t="n"/>
    </row>
    <row r="479" customFormat="1" s="94">
      <c r="A479" s="16" t="n"/>
      <c r="C479" s="19" t="n"/>
      <c r="D479" s="19" t="n"/>
    </row>
    <row r="480" customFormat="1" s="94">
      <c r="A480" s="16" t="n"/>
      <c r="C480" s="19" t="n"/>
      <c r="D480" s="19" t="n"/>
    </row>
    <row r="481" customFormat="1" s="94">
      <c r="A481" s="16" t="n"/>
      <c r="C481" s="19" t="n"/>
      <c r="D481" s="19" t="n"/>
    </row>
    <row r="482" customFormat="1" s="94">
      <c r="A482" s="16" t="n"/>
      <c r="C482" s="19" t="n"/>
      <c r="D482" s="19" t="n"/>
    </row>
    <row r="483" customFormat="1" s="94">
      <c r="A483" s="16" t="n"/>
      <c r="C483" s="19" t="n"/>
      <c r="D483" s="19" t="n"/>
    </row>
    <row r="484" customFormat="1" s="94">
      <c r="A484" s="16" t="n"/>
      <c r="C484" s="19" t="n"/>
      <c r="D484" s="19" t="n"/>
    </row>
    <row r="485" customFormat="1" s="94">
      <c r="A485" s="16" t="n"/>
      <c r="C485" s="19" t="n"/>
      <c r="D485" s="19" t="n"/>
    </row>
    <row r="486" customFormat="1" s="94">
      <c r="A486" s="16" t="n"/>
      <c r="C486" s="19" t="n"/>
      <c r="D486" s="19" t="n"/>
    </row>
    <row r="487" customFormat="1" s="94">
      <c r="A487" s="16" t="n"/>
      <c r="C487" s="19" t="n"/>
      <c r="D487" s="19" t="n"/>
    </row>
    <row r="488" customFormat="1" s="94">
      <c r="A488" s="16" t="n"/>
      <c r="C488" s="19" t="n"/>
      <c r="D488" s="19" t="n"/>
    </row>
    <row r="489" customFormat="1" s="94">
      <c r="A489" s="16" t="n"/>
      <c r="C489" s="19" t="n"/>
      <c r="D489" s="19" t="n"/>
    </row>
    <row r="490" customFormat="1" s="94">
      <c r="A490" s="16" t="n"/>
      <c r="C490" s="19" t="n"/>
      <c r="D490" s="19" t="n"/>
    </row>
    <row r="491" customFormat="1" s="94">
      <c r="A491" s="16" t="n"/>
      <c r="C491" s="19" t="n"/>
      <c r="D491" s="19" t="n"/>
    </row>
    <row r="492" customFormat="1" s="94">
      <c r="A492" s="16" t="n"/>
      <c r="C492" s="19" t="n"/>
      <c r="D492" s="19" t="n"/>
    </row>
    <row r="493" customFormat="1" s="94">
      <c r="A493" s="16" t="n"/>
      <c r="C493" s="19" t="n"/>
      <c r="D493" s="19" t="n"/>
    </row>
    <row r="494" customFormat="1" s="94">
      <c r="A494" s="16" t="n"/>
      <c r="C494" s="19" t="n"/>
      <c r="D494" s="19" t="n"/>
    </row>
    <row r="495" customFormat="1" s="94">
      <c r="A495" s="16" t="n"/>
      <c r="C495" s="19" t="n"/>
      <c r="D495" s="19" t="n"/>
    </row>
    <row r="496" customFormat="1" s="94">
      <c r="A496" s="16" t="n"/>
      <c r="C496" s="19" t="n"/>
      <c r="D496" s="19" t="n"/>
    </row>
    <row r="497" customFormat="1" s="94">
      <c r="A497" s="16" t="n"/>
      <c r="C497" s="19" t="n"/>
      <c r="D497" s="19" t="n"/>
    </row>
    <row r="498" customFormat="1" s="94">
      <c r="A498" s="16" t="n"/>
      <c r="C498" s="19" t="n"/>
      <c r="D498" s="19" t="n"/>
    </row>
    <row r="499" customFormat="1" s="94">
      <c r="A499" s="16" t="n"/>
      <c r="C499" s="19" t="n"/>
      <c r="D499" s="19" t="n"/>
    </row>
    <row r="500" customFormat="1" s="94">
      <c r="A500" s="16" t="n"/>
      <c r="C500" s="19" t="n"/>
      <c r="D500" s="19" t="n"/>
    </row>
    <row r="501" customFormat="1" s="94">
      <c r="A501" s="16" t="n"/>
      <c r="C501" s="19" t="n"/>
      <c r="D501" s="19" t="n"/>
    </row>
    <row r="502" customFormat="1" s="94">
      <c r="A502" s="16" t="n"/>
      <c r="C502" s="19" t="n"/>
      <c r="D502" s="19" t="n"/>
    </row>
    <row r="503" customFormat="1" s="94">
      <c r="A503" s="16" t="n"/>
      <c r="C503" s="19" t="n"/>
      <c r="D503" s="19" t="n"/>
    </row>
    <row r="504" customFormat="1" s="94">
      <c r="A504" s="16" t="n"/>
      <c r="C504" s="19" t="n"/>
      <c r="D504" s="19" t="n"/>
    </row>
    <row r="505" customFormat="1" s="94">
      <c r="A505" s="16" t="n"/>
      <c r="C505" s="19" t="n"/>
      <c r="D505" s="19" t="n"/>
    </row>
    <row r="506" customFormat="1" s="94">
      <c r="A506" s="16" t="n"/>
      <c r="C506" s="19" t="n"/>
      <c r="D506" s="19" t="n"/>
    </row>
    <row r="507" customFormat="1" s="94">
      <c r="A507" s="16" t="n"/>
      <c r="C507" s="19" t="n"/>
      <c r="D507" s="19" t="n"/>
    </row>
    <row r="508" customFormat="1" s="94">
      <c r="A508" s="16" t="n"/>
      <c r="C508" s="19" t="n"/>
      <c r="D508" s="19" t="n"/>
    </row>
    <row r="509" customFormat="1" s="94">
      <c r="A509" s="16" t="n"/>
      <c r="C509" s="19" t="n"/>
      <c r="D509" s="19" t="n"/>
    </row>
    <row r="510" customFormat="1" s="94">
      <c r="A510" s="16" t="n"/>
      <c r="C510" s="19" t="n"/>
      <c r="D510" s="19" t="n"/>
    </row>
    <row r="511" customFormat="1" s="94">
      <c r="A511" s="16" t="n"/>
      <c r="C511" s="19" t="n"/>
      <c r="D511" s="19" t="n"/>
    </row>
    <row r="512" customFormat="1" s="94">
      <c r="A512" s="16" t="n"/>
      <c r="C512" s="19" t="n"/>
      <c r="D512" s="19" t="n"/>
    </row>
    <row r="513" customFormat="1" s="94">
      <c r="A513" s="16" t="n"/>
      <c r="C513" s="19" t="n"/>
      <c r="D513" s="19" t="n"/>
    </row>
    <row r="514" customFormat="1" s="94">
      <c r="A514" s="16" t="n"/>
      <c r="C514" s="19" t="n"/>
      <c r="D514" s="19" t="n"/>
    </row>
    <row r="515" customFormat="1" s="94">
      <c r="A515" s="16" t="n"/>
      <c r="C515" s="19" t="n"/>
      <c r="D515" s="19" t="n"/>
    </row>
    <row r="516" customFormat="1" s="94">
      <c r="A516" s="16" t="n"/>
      <c r="C516" s="19" t="n"/>
      <c r="D516" s="19" t="n"/>
    </row>
    <row r="517" customFormat="1" s="94">
      <c r="A517" s="16" t="n"/>
      <c r="C517" s="19" t="n"/>
      <c r="D517" s="19" t="n"/>
    </row>
    <row r="518" customFormat="1" s="94">
      <c r="A518" s="16" t="n"/>
      <c r="C518" s="19" t="n"/>
      <c r="D518" s="19" t="n"/>
    </row>
    <row r="519" customFormat="1" s="94">
      <c r="A519" s="16" t="n"/>
      <c r="C519" s="19" t="n"/>
      <c r="D519" s="19" t="n"/>
    </row>
    <row r="520" customFormat="1" s="94">
      <c r="A520" s="16" t="n"/>
      <c r="C520" s="19" t="n"/>
      <c r="D520" s="19" t="n"/>
    </row>
    <row r="521" customFormat="1" s="94">
      <c r="A521" s="16" t="n"/>
      <c r="C521" s="19" t="n"/>
      <c r="D521" s="19" t="n"/>
    </row>
    <row r="522" customFormat="1" s="94">
      <c r="A522" s="16" t="n"/>
      <c r="C522" s="19" t="n"/>
      <c r="D522" s="19" t="n"/>
    </row>
    <row r="523" customFormat="1" s="94">
      <c r="A523" s="16" t="n"/>
      <c r="C523" s="19" t="n"/>
      <c r="D523" s="19" t="n"/>
    </row>
    <row r="524" customFormat="1" s="94">
      <c r="A524" s="16" t="n"/>
      <c r="C524" s="19" t="n"/>
      <c r="D524" s="19" t="n"/>
    </row>
    <row r="525" customFormat="1" s="94">
      <c r="A525" s="16" t="n"/>
      <c r="C525" s="19" t="n"/>
      <c r="D525" s="19" t="n"/>
    </row>
    <row r="526" customFormat="1" s="94">
      <c r="A526" s="16" t="n"/>
      <c r="C526" s="19" t="n"/>
      <c r="D526" s="19" t="n"/>
    </row>
    <row r="527" customFormat="1" s="94">
      <c r="A527" s="16" t="n"/>
      <c r="C527" s="19" t="n"/>
      <c r="D527" s="19" t="n"/>
    </row>
    <row r="528" customFormat="1" s="94">
      <c r="A528" s="16" t="n"/>
      <c r="C528" s="19" t="n"/>
      <c r="D528" s="19" t="n"/>
    </row>
    <row r="529" customFormat="1" s="94">
      <c r="A529" s="16" t="n"/>
      <c r="C529" s="19" t="n"/>
      <c r="D529" s="19" t="n"/>
    </row>
    <row r="530" customFormat="1" s="94">
      <c r="A530" s="16" t="n"/>
      <c r="C530" s="19" t="n"/>
      <c r="D530" s="19" t="n"/>
    </row>
    <row r="531" customFormat="1" s="94">
      <c r="A531" s="16" t="n"/>
      <c r="C531" s="19" t="n"/>
      <c r="D531" s="19" t="n"/>
    </row>
    <row r="532" customFormat="1" s="94">
      <c r="A532" s="16" t="n"/>
      <c r="C532" s="19" t="n"/>
      <c r="D532" s="19" t="n"/>
    </row>
    <row r="533" customFormat="1" s="94">
      <c r="A533" s="16" t="n"/>
      <c r="C533" s="19" t="n"/>
      <c r="D533" s="19" t="n"/>
    </row>
    <row r="534" customFormat="1" s="94">
      <c r="A534" s="16" t="n"/>
      <c r="C534" s="19" t="n"/>
      <c r="D534" s="19" t="n"/>
    </row>
    <row r="535" customFormat="1" s="94">
      <c r="A535" s="16" t="n"/>
      <c r="C535" s="19" t="n"/>
      <c r="D535" s="19" t="n"/>
    </row>
    <row r="536" customFormat="1" s="94">
      <c r="A536" s="16" t="n"/>
      <c r="C536" s="19" t="n"/>
      <c r="D536" s="19" t="n"/>
    </row>
    <row r="537" customFormat="1" s="94">
      <c r="A537" s="16" t="n"/>
      <c r="C537" s="19" t="n"/>
      <c r="D537" s="19" t="n"/>
    </row>
    <row r="538" customFormat="1" s="94">
      <c r="A538" s="16" t="n"/>
      <c r="C538" s="19" t="n"/>
      <c r="D538" s="19" t="n"/>
    </row>
    <row r="539" customFormat="1" s="94">
      <c r="A539" s="16" t="n"/>
      <c r="C539" s="19" t="n"/>
      <c r="D539" s="19" t="n"/>
    </row>
    <row r="540" customFormat="1" s="94">
      <c r="A540" s="16" t="n"/>
      <c r="C540" s="19" t="n"/>
      <c r="D540" s="19" t="n"/>
    </row>
    <row r="541" customFormat="1" s="94">
      <c r="A541" s="16" t="n"/>
      <c r="C541" s="19" t="n"/>
      <c r="D541" s="19" t="n"/>
    </row>
    <row r="542" customFormat="1" s="94">
      <c r="A542" s="16" t="n"/>
      <c r="C542" s="19" t="n"/>
      <c r="D542" s="19" t="n"/>
    </row>
    <row r="543" customFormat="1" s="94">
      <c r="A543" s="16" t="n"/>
      <c r="C543" s="19" t="n"/>
      <c r="D543" s="19" t="n"/>
    </row>
    <row r="544" customFormat="1" s="94">
      <c r="A544" s="16" t="n"/>
      <c r="C544" s="19" t="n"/>
      <c r="D544" s="19" t="n"/>
    </row>
    <row r="545" customFormat="1" s="94">
      <c r="A545" s="16" t="n"/>
      <c r="C545" s="19" t="n"/>
      <c r="D545" s="19" t="n"/>
    </row>
    <row r="546" customFormat="1" s="94">
      <c r="A546" s="16" t="n"/>
      <c r="C546" s="19" t="n"/>
      <c r="D546" s="19" t="n"/>
    </row>
    <row r="547" customFormat="1" s="94">
      <c r="A547" s="16" t="n"/>
      <c r="C547" s="19" t="n"/>
      <c r="D547" s="19" t="n"/>
    </row>
    <row r="548" customFormat="1" s="94">
      <c r="A548" s="16" t="n"/>
      <c r="C548" s="19" t="n"/>
      <c r="D548" s="19" t="n"/>
    </row>
    <row r="549" customFormat="1" s="94">
      <c r="A549" s="16" t="n"/>
      <c r="C549" s="19" t="n"/>
      <c r="D549" s="19" t="n"/>
    </row>
    <row r="550" customFormat="1" s="94">
      <c r="A550" s="16" t="n"/>
      <c r="C550" s="19" t="n"/>
      <c r="D550" s="19" t="n"/>
    </row>
    <row r="551" customFormat="1" s="94">
      <c r="A551" s="16" t="n"/>
      <c r="C551" s="19" t="n"/>
      <c r="D551" s="19" t="n"/>
    </row>
    <row r="552" customFormat="1" s="94">
      <c r="A552" s="16" t="n"/>
      <c r="C552" s="19" t="n"/>
      <c r="D552" s="19" t="n"/>
    </row>
    <row r="553" customFormat="1" s="94">
      <c r="A553" s="16" t="n"/>
      <c r="C553" s="19" t="n"/>
      <c r="D553" s="19" t="n"/>
    </row>
    <row r="554" customFormat="1" s="94">
      <c r="A554" s="16" t="n"/>
      <c r="C554" s="19" t="n"/>
      <c r="D554" s="19" t="n"/>
    </row>
    <row r="555" customFormat="1" s="94">
      <c r="A555" s="16" t="n"/>
      <c r="C555" s="19" t="n"/>
      <c r="D555" s="19" t="n"/>
    </row>
    <row r="556" customFormat="1" s="94">
      <c r="A556" s="16" t="n"/>
      <c r="C556" s="19" t="n"/>
      <c r="D556" s="19" t="n"/>
    </row>
    <row r="557" customFormat="1" s="94">
      <c r="A557" s="16" t="n"/>
      <c r="C557" s="19" t="n"/>
      <c r="D557" s="19" t="n"/>
    </row>
    <row r="558" customFormat="1" s="94">
      <c r="A558" s="16" t="n"/>
      <c r="C558" s="19" t="n"/>
      <c r="D558" s="19" t="n"/>
    </row>
    <row r="559" customFormat="1" s="94">
      <c r="A559" s="16" t="n"/>
      <c r="C559" s="19" t="n"/>
      <c r="D559" s="19" t="n"/>
    </row>
    <row r="560" customFormat="1" s="94">
      <c r="A560" s="16" t="n"/>
      <c r="C560" s="19" t="n"/>
      <c r="D560" s="19" t="n"/>
    </row>
    <row r="561" customFormat="1" s="94">
      <c r="A561" s="16" t="n"/>
      <c r="C561" s="19" t="n"/>
      <c r="D561" s="19" t="n"/>
    </row>
    <row r="562" customFormat="1" s="94">
      <c r="A562" s="16" t="n"/>
      <c r="C562" s="19" t="n"/>
      <c r="D562" s="19" t="n"/>
    </row>
    <row r="563" customFormat="1" s="94">
      <c r="A563" s="16" t="n"/>
      <c r="C563" s="19" t="n"/>
      <c r="D563" s="19" t="n"/>
    </row>
    <row r="564" customFormat="1" s="94">
      <c r="A564" s="16" t="n"/>
      <c r="C564" s="19" t="n"/>
      <c r="D564" s="19" t="n"/>
    </row>
    <row r="565" customFormat="1" s="94">
      <c r="A565" s="16" t="n"/>
      <c r="C565" s="19" t="n"/>
      <c r="D565" s="19" t="n"/>
    </row>
    <row r="566" customFormat="1" s="94">
      <c r="A566" s="16" t="n"/>
      <c r="C566" s="19" t="n"/>
      <c r="D566" s="19" t="n"/>
    </row>
    <row r="567" customFormat="1" s="94">
      <c r="A567" s="16" t="n"/>
      <c r="C567" s="19" t="n"/>
      <c r="D567" s="19" t="n"/>
    </row>
    <row r="568" customFormat="1" s="94">
      <c r="A568" s="16" t="n"/>
      <c r="C568" s="19" t="n"/>
      <c r="D568" s="19" t="n"/>
    </row>
    <row r="569" customFormat="1" s="94">
      <c r="A569" s="16" t="n"/>
      <c r="C569" s="19" t="n"/>
      <c r="D569" s="19" t="n"/>
    </row>
    <row r="570" customFormat="1" s="94">
      <c r="A570" s="16" t="n"/>
      <c r="C570" s="19" t="n"/>
      <c r="D570" s="19" t="n"/>
    </row>
    <row r="571" customFormat="1" s="94">
      <c r="A571" s="16" t="n"/>
      <c r="C571" s="19" t="n"/>
      <c r="D571" s="19" t="n"/>
    </row>
    <row r="572" customFormat="1" s="94">
      <c r="A572" s="16" t="n"/>
      <c r="C572" s="19" t="n"/>
      <c r="D572" s="19" t="n"/>
    </row>
    <row r="573" customFormat="1" s="94">
      <c r="A573" s="16" t="n"/>
      <c r="C573" s="19" t="n"/>
      <c r="D573" s="19" t="n"/>
    </row>
    <row r="574" customFormat="1" s="94">
      <c r="A574" s="16" t="n"/>
      <c r="C574" s="19" t="n"/>
      <c r="D574" s="19" t="n"/>
    </row>
    <row r="575" customFormat="1" s="94">
      <c r="A575" s="16" t="n"/>
      <c r="C575" s="19" t="n"/>
      <c r="D575" s="19" t="n"/>
    </row>
    <row r="576" customFormat="1" s="94">
      <c r="A576" s="16" t="n"/>
      <c r="C576" s="19" t="n"/>
      <c r="D576" s="19" t="n"/>
    </row>
    <row r="577" customFormat="1" s="94">
      <c r="A577" s="16" t="n"/>
      <c r="C577" s="19" t="n"/>
      <c r="D577" s="19" t="n"/>
    </row>
    <row r="578" customFormat="1" s="94">
      <c r="A578" s="16" t="n"/>
      <c r="C578" s="19" t="n"/>
      <c r="D578" s="19" t="n"/>
    </row>
    <row r="579" customFormat="1" s="94">
      <c r="A579" s="16" t="n"/>
      <c r="C579" s="19" t="n"/>
      <c r="D579" s="19" t="n"/>
    </row>
    <row r="580" customFormat="1" s="94">
      <c r="A580" s="16" t="n"/>
      <c r="C580" s="19" t="n"/>
      <c r="D580" s="19" t="n"/>
    </row>
    <row r="581" customFormat="1" s="94">
      <c r="A581" s="16" t="n"/>
      <c r="C581" s="19" t="n"/>
      <c r="D581" s="19" t="n"/>
    </row>
    <row r="582" customFormat="1" s="94">
      <c r="A582" s="16" t="n"/>
      <c r="C582" s="19" t="n"/>
      <c r="D582" s="19" t="n"/>
    </row>
    <row r="583" customFormat="1" s="94">
      <c r="A583" s="16" t="n"/>
      <c r="C583" s="19" t="n"/>
      <c r="D583" s="19" t="n"/>
    </row>
    <row r="584" customFormat="1" s="94">
      <c r="A584" s="16" t="n"/>
      <c r="C584" s="19" t="n"/>
      <c r="D584" s="19" t="n"/>
    </row>
    <row r="585" customFormat="1" s="94">
      <c r="A585" s="16" t="n"/>
      <c r="C585" s="19" t="n"/>
      <c r="D585" s="19" t="n"/>
    </row>
    <row r="586" customFormat="1" s="94">
      <c r="A586" s="16" t="n"/>
      <c r="C586" s="19" t="n"/>
      <c r="D586" s="19" t="n"/>
    </row>
    <row r="587" customFormat="1" s="94">
      <c r="A587" s="16" t="n"/>
      <c r="C587" s="19" t="n"/>
      <c r="D587" s="19" t="n"/>
    </row>
    <row r="588" customFormat="1" s="94">
      <c r="A588" s="16" t="n"/>
      <c r="C588" s="19" t="n"/>
      <c r="D588" s="19" t="n"/>
    </row>
    <row r="589" customFormat="1" s="94">
      <c r="A589" s="16" t="n"/>
      <c r="C589" s="19" t="n"/>
      <c r="D589" s="19" t="n"/>
    </row>
    <row r="590" customFormat="1" s="94">
      <c r="A590" s="16" t="n"/>
      <c r="C590" s="19" t="n"/>
      <c r="D590" s="19" t="n"/>
    </row>
    <row r="591" customFormat="1" s="94">
      <c r="A591" s="16" t="n"/>
      <c r="C591" s="19" t="n"/>
      <c r="D591" s="19" t="n"/>
    </row>
    <row r="592" customFormat="1" s="94">
      <c r="A592" s="16" t="n"/>
      <c r="C592" s="19" t="n"/>
      <c r="D592" s="19" t="n"/>
    </row>
    <row r="593" customFormat="1" s="94">
      <c r="A593" s="16" t="n"/>
      <c r="C593" s="19" t="n"/>
      <c r="D593" s="19" t="n"/>
    </row>
    <row r="594" customFormat="1" s="94">
      <c r="A594" s="16" t="n"/>
      <c r="C594" s="19" t="n"/>
      <c r="D594" s="19" t="n"/>
    </row>
    <row r="595" customFormat="1" s="94">
      <c r="A595" s="16" t="n"/>
      <c r="C595" s="19" t="n"/>
      <c r="D595" s="19" t="n"/>
    </row>
    <row r="596" customFormat="1" s="94">
      <c r="A596" s="16" t="n"/>
      <c r="C596" s="19" t="n"/>
      <c r="D596" s="19" t="n"/>
    </row>
    <row r="597" customFormat="1" s="94">
      <c r="A597" s="16" t="n"/>
      <c r="C597" s="19" t="n"/>
      <c r="D597" s="19" t="n"/>
    </row>
    <row r="598" customFormat="1" s="94">
      <c r="A598" s="16" t="n"/>
      <c r="C598" s="19" t="n"/>
      <c r="D598" s="19" t="n"/>
    </row>
    <row r="599" customFormat="1" s="94">
      <c r="A599" s="16" t="n"/>
      <c r="C599" s="19" t="n"/>
      <c r="D599" s="19" t="n"/>
    </row>
    <row r="600" customFormat="1" s="94">
      <c r="A600" s="16" t="n"/>
      <c r="C600" s="19" t="n"/>
      <c r="D600" s="19" t="n"/>
    </row>
    <row r="601" customFormat="1" s="94">
      <c r="A601" s="16" t="n"/>
      <c r="C601" s="19" t="n"/>
      <c r="D601" s="19" t="n"/>
    </row>
    <row r="602" customFormat="1" s="94">
      <c r="A602" s="16" t="n"/>
      <c r="C602" s="19" t="n"/>
      <c r="D602" s="19" t="n"/>
    </row>
    <row r="603" customFormat="1" s="94">
      <c r="A603" s="16" t="n"/>
      <c r="C603" s="19" t="n"/>
      <c r="D603" s="19" t="n"/>
    </row>
    <row r="604" customFormat="1" s="94">
      <c r="A604" s="16" t="n"/>
      <c r="C604" s="19" t="n"/>
      <c r="D604" s="19" t="n"/>
    </row>
    <row r="605" customFormat="1" s="94">
      <c r="A605" s="16" t="n"/>
      <c r="C605" s="19" t="n"/>
      <c r="D605" s="19" t="n"/>
    </row>
    <row r="606" customFormat="1" s="94">
      <c r="A606" s="16" t="n"/>
      <c r="C606" s="19" t="n"/>
      <c r="D606" s="19" t="n"/>
    </row>
    <row r="607" customFormat="1" s="94">
      <c r="A607" s="16" t="n"/>
      <c r="C607" s="19" t="n"/>
      <c r="D607" s="19" t="n"/>
    </row>
    <row r="608" customFormat="1" s="94">
      <c r="A608" s="16" t="n"/>
      <c r="C608" s="19" t="n"/>
      <c r="D608" s="19" t="n"/>
    </row>
    <row r="609" customFormat="1" s="94">
      <c r="A609" s="16" t="n"/>
      <c r="C609" s="19" t="n"/>
      <c r="D609" s="19" t="n"/>
    </row>
    <row r="610" customFormat="1" s="94">
      <c r="A610" s="16" t="n"/>
      <c r="C610" s="19" t="n"/>
      <c r="D610" s="19" t="n"/>
    </row>
    <row r="611" customFormat="1" s="94">
      <c r="A611" s="16" t="n"/>
      <c r="C611" s="19" t="n"/>
      <c r="D611" s="19" t="n"/>
    </row>
    <row r="612" customFormat="1" s="94">
      <c r="A612" s="16" t="n"/>
      <c r="C612" s="19" t="n"/>
      <c r="D612" s="19" t="n"/>
    </row>
    <row r="613" customFormat="1" s="94">
      <c r="A613" s="16" t="n"/>
      <c r="C613" s="19" t="n"/>
      <c r="D613" s="19" t="n"/>
    </row>
    <row r="614" customFormat="1" s="94">
      <c r="A614" s="16" t="n"/>
      <c r="C614" s="19" t="n"/>
      <c r="D614" s="19" t="n"/>
    </row>
    <row r="615" customFormat="1" s="94">
      <c r="A615" s="16" t="n"/>
      <c r="C615" s="19" t="n"/>
      <c r="D615" s="19" t="n"/>
    </row>
    <row r="616" customFormat="1" s="94">
      <c r="A616" s="16" t="n"/>
      <c r="C616" s="19" t="n"/>
      <c r="D616" s="19" t="n"/>
    </row>
    <row r="617" customFormat="1" s="94">
      <c r="A617" s="16" t="n"/>
      <c r="C617" s="19" t="n"/>
      <c r="D617" s="19" t="n"/>
    </row>
    <row r="618" customFormat="1" s="94">
      <c r="A618" s="16" t="n"/>
      <c r="C618" s="19" t="n"/>
      <c r="D618" s="19" t="n"/>
    </row>
    <row r="619" customFormat="1" s="94">
      <c r="A619" s="16" t="n"/>
      <c r="C619" s="19" t="n"/>
      <c r="D619" s="19" t="n"/>
    </row>
    <row r="620" customFormat="1" s="94">
      <c r="A620" s="16" t="n"/>
      <c r="C620" s="19" t="n"/>
      <c r="D620" s="19" t="n"/>
    </row>
    <row r="621" customFormat="1" s="94">
      <c r="A621" s="16" t="n"/>
      <c r="C621" s="19" t="n"/>
      <c r="D621" s="19" t="n"/>
    </row>
    <row r="622" customFormat="1" s="94">
      <c r="A622" s="16" t="n"/>
      <c r="C622" s="19" t="n"/>
      <c r="D622" s="19" t="n"/>
    </row>
    <row r="623" customFormat="1" s="94">
      <c r="A623" s="16" t="n"/>
      <c r="C623" s="19" t="n"/>
      <c r="D623" s="19" t="n"/>
    </row>
    <row r="624" customFormat="1" s="94">
      <c r="A624" s="16" t="n"/>
      <c r="C624" s="19" t="n"/>
      <c r="D624" s="19" t="n"/>
    </row>
    <row r="625" customFormat="1" s="94">
      <c r="A625" s="16" t="n"/>
      <c r="C625" s="19" t="n"/>
      <c r="D625" s="19" t="n"/>
    </row>
    <row r="626" customFormat="1" s="94">
      <c r="A626" s="16" t="n"/>
      <c r="C626" s="19" t="n"/>
      <c r="D626" s="19" t="n"/>
    </row>
    <row r="627" customFormat="1" s="94">
      <c r="A627" s="16" t="n"/>
      <c r="C627" s="19" t="n"/>
      <c r="D627" s="19" t="n"/>
    </row>
    <row r="628" customFormat="1" s="94">
      <c r="A628" s="16" t="n"/>
      <c r="C628" s="19" t="n"/>
      <c r="D628" s="19" t="n"/>
    </row>
    <row r="629" customFormat="1" s="94">
      <c r="A629" s="16" t="n"/>
      <c r="C629" s="19" t="n"/>
      <c r="D629" s="19" t="n"/>
    </row>
    <row r="630" customFormat="1" s="94">
      <c r="A630" s="16" t="n"/>
      <c r="C630" s="19" t="n"/>
      <c r="D630" s="19" t="n"/>
    </row>
    <row r="631" customFormat="1" s="94">
      <c r="A631" s="16" t="n"/>
      <c r="C631" s="19" t="n"/>
      <c r="D631" s="19" t="n"/>
    </row>
    <row r="632" customFormat="1" s="94">
      <c r="A632" s="16" t="n"/>
      <c r="C632" s="19" t="n"/>
      <c r="D632" s="19" t="n"/>
    </row>
    <row r="633" customFormat="1" s="94">
      <c r="A633" s="16" t="n"/>
      <c r="C633" s="19" t="n"/>
      <c r="D633" s="19" t="n"/>
    </row>
    <row r="634" customFormat="1" s="94">
      <c r="A634" s="16" t="n"/>
      <c r="C634" s="19" t="n"/>
      <c r="D634" s="19" t="n"/>
    </row>
    <row r="635" customFormat="1" s="94">
      <c r="A635" s="16" t="n"/>
      <c r="C635" s="19" t="n"/>
      <c r="D635" s="19" t="n"/>
    </row>
    <row r="636" customFormat="1" s="94">
      <c r="A636" s="16" t="n"/>
      <c r="C636" s="19" t="n"/>
      <c r="D636" s="19" t="n"/>
    </row>
    <row r="637" customFormat="1" s="94">
      <c r="A637" s="16" t="n"/>
      <c r="C637" s="19" t="n"/>
      <c r="D637" s="19" t="n"/>
    </row>
    <row r="638" customFormat="1" s="94">
      <c r="A638" s="16" t="n"/>
      <c r="C638" s="19" t="n"/>
      <c r="D638" s="19" t="n"/>
    </row>
    <row r="639" customFormat="1" s="94">
      <c r="A639" s="16" t="n"/>
      <c r="C639" s="19" t="n"/>
      <c r="D639" s="19" t="n"/>
    </row>
    <row r="640" customFormat="1" s="94">
      <c r="A640" s="16" t="n"/>
      <c r="C640" s="19" t="n"/>
      <c r="D640" s="19" t="n"/>
    </row>
    <row r="641" customFormat="1" s="94">
      <c r="A641" s="16" t="n"/>
      <c r="C641" s="19" t="n"/>
      <c r="D641" s="19" t="n"/>
    </row>
    <row r="642" customFormat="1" s="94">
      <c r="A642" s="16" t="n"/>
      <c r="C642" s="19" t="n"/>
      <c r="D642" s="19" t="n"/>
    </row>
    <row r="643" customFormat="1" s="94">
      <c r="A643" s="16" t="n"/>
      <c r="C643" s="19" t="n"/>
      <c r="D643" s="19" t="n"/>
    </row>
    <row r="644" customFormat="1" s="94">
      <c r="A644" s="16" t="n"/>
      <c r="C644" s="19" t="n"/>
      <c r="D644" s="19" t="n"/>
    </row>
    <row r="645" customFormat="1" s="94">
      <c r="A645" s="16" t="n"/>
      <c r="C645" s="19" t="n"/>
      <c r="D645" s="19" t="n"/>
    </row>
    <row r="646" customFormat="1" s="94">
      <c r="A646" s="16" t="n"/>
      <c r="C646" s="19" t="n"/>
      <c r="D646" s="19" t="n"/>
    </row>
    <row r="647" customFormat="1" s="94">
      <c r="A647" s="16" t="n"/>
      <c r="C647" s="19" t="n"/>
      <c r="D647" s="19" t="n"/>
    </row>
    <row r="648" customFormat="1" s="94">
      <c r="A648" s="16" t="n"/>
      <c r="C648" s="19" t="n"/>
      <c r="D648" s="19" t="n"/>
    </row>
    <row r="649" customFormat="1" s="94">
      <c r="A649" s="16" t="n"/>
      <c r="C649" s="19" t="n"/>
      <c r="D649" s="19" t="n"/>
    </row>
    <row r="650" customFormat="1" s="94">
      <c r="A650" s="16" t="n"/>
      <c r="C650" s="19" t="n"/>
      <c r="D650" s="19" t="n"/>
    </row>
    <row r="651" customFormat="1" s="94">
      <c r="A651" s="16" t="n"/>
      <c r="C651" s="19" t="n"/>
      <c r="D651" s="19" t="n"/>
    </row>
    <row r="652" customFormat="1" s="94">
      <c r="A652" s="16" t="n"/>
      <c r="C652" s="19" t="n"/>
      <c r="D652" s="19" t="n"/>
    </row>
    <row r="653" customFormat="1" s="94">
      <c r="A653" s="16" t="n"/>
      <c r="C653" s="19" t="n"/>
      <c r="D653" s="19" t="n"/>
    </row>
    <row r="654" customFormat="1" s="94">
      <c r="A654" s="16" t="n"/>
      <c r="C654" s="19" t="n"/>
      <c r="D654" s="19" t="n"/>
    </row>
    <row r="655" customFormat="1" s="94">
      <c r="A655" s="16" t="n"/>
      <c r="C655" s="19" t="n"/>
      <c r="D655" s="19" t="n"/>
    </row>
    <row r="656" customFormat="1" s="94">
      <c r="A656" s="16" t="n"/>
      <c r="C656" s="19" t="n"/>
      <c r="D656" s="19" t="n"/>
    </row>
    <row r="657" customFormat="1" s="94">
      <c r="A657" s="16" t="n"/>
      <c r="C657" s="19" t="n"/>
      <c r="D657" s="19" t="n"/>
    </row>
    <row r="658" customFormat="1" s="94">
      <c r="A658" s="16" t="n"/>
      <c r="C658" s="19" t="n"/>
      <c r="D658" s="19" t="n"/>
    </row>
    <row r="659" customFormat="1" s="94">
      <c r="A659" s="16" t="n"/>
      <c r="C659" s="19" t="n"/>
      <c r="D659" s="19" t="n"/>
    </row>
    <row r="660" customFormat="1" s="94">
      <c r="A660" s="16" t="n"/>
      <c r="C660" s="19" t="n"/>
      <c r="D660" s="19" t="n"/>
    </row>
    <row r="661" customFormat="1" s="94">
      <c r="A661" s="16" t="n"/>
      <c r="C661" s="19" t="n"/>
      <c r="D661" s="19" t="n"/>
    </row>
    <row r="662" customFormat="1" s="94">
      <c r="A662" s="16" t="n"/>
      <c r="C662" s="19" t="n"/>
      <c r="D662" s="19" t="n"/>
    </row>
    <row r="663" customFormat="1" s="94">
      <c r="A663" s="16" t="n"/>
      <c r="C663" s="19" t="n"/>
      <c r="D663" s="19" t="n"/>
    </row>
    <row r="664" customFormat="1" s="94">
      <c r="A664" s="16" t="n"/>
      <c r="C664" s="19" t="n"/>
      <c r="D664" s="19" t="n"/>
    </row>
    <row r="665" customFormat="1" s="94">
      <c r="A665" s="16" t="n"/>
      <c r="C665" s="19" t="n"/>
      <c r="D665" s="19" t="n"/>
    </row>
    <row r="666" customFormat="1" s="94">
      <c r="A666" s="16" t="n"/>
      <c r="C666" s="19" t="n"/>
      <c r="D666" s="19" t="n"/>
    </row>
    <row r="667" customFormat="1" s="94">
      <c r="A667" s="16" t="n"/>
      <c r="C667" s="19" t="n"/>
      <c r="D667" s="19" t="n"/>
    </row>
    <row r="668" customFormat="1" s="94">
      <c r="A668" s="16" t="n"/>
      <c r="C668" s="19" t="n"/>
      <c r="D668" s="19" t="n"/>
    </row>
    <row r="669" customFormat="1" s="94">
      <c r="A669" s="16" t="n"/>
      <c r="C669" s="19" t="n"/>
      <c r="D669" s="19" t="n"/>
    </row>
    <row r="670" customFormat="1" s="94">
      <c r="A670" s="16" t="n"/>
      <c r="C670" s="19" t="n"/>
      <c r="D670" s="19" t="n"/>
    </row>
    <row r="671" customFormat="1" s="94">
      <c r="A671" s="16" t="n"/>
      <c r="C671" s="19" t="n"/>
      <c r="D671" s="19" t="n"/>
    </row>
    <row r="672" customFormat="1" s="94">
      <c r="A672" s="16" t="n"/>
      <c r="C672" s="19" t="n"/>
      <c r="D672" s="19" t="n"/>
    </row>
    <row r="673" customFormat="1" s="94">
      <c r="A673" s="16" t="n"/>
      <c r="C673" s="19" t="n"/>
      <c r="D673" s="19" t="n"/>
    </row>
    <row r="674" customFormat="1" s="94">
      <c r="A674" s="16" t="n"/>
      <c r="C674" s="19" t="n"/>
      <c r="D674" s="19" t="n"/>
    </row>
    <row r="675" customFormat="1" s="94">
      <c r="A675" s="16" t="n"/>
      <c r="C675" s="19" t="n"/>
      <c r="D675" s="19" t="n"/>
    </row>
    <row r="676" customFormat="1" s="94">
      <c r="A676" s="16" t="n"/>
      <c r="C676" s="19" t="n"/>
      <c r="D676" s="19" t="n"/>
    </row>
    <row r="677" customFormat="1" s="94">
      <c r="A677" s="16" t="n"/>
      <c r="C677" s="19" t="n"/>
      <c r="D677" s="19" t="n"/>
    </row>
    <row r="678" customFormat="1" s="94">
      <c r="A678" s="16" t="n"/>
      <c r="C678" s="19" t="n"/>
      <c r="D678" s="19" t="n"/>
    </row>
    <row r="679" customFormat="1" s="94">
      <c r="A679" s="16" t="n"/>
      <c r="C679" s="19" t="n"/>
      <c r="D679" s="19" t="n"/>
    </row>
    <row r="680" customFormat="1" s="94">
      <c r="A680" s="16" t="n"/>
      <c r="C680" s="19" t="n"/>
      <c r="D680" s="19" t="n"/>
    </row>
    <row r="681" customFormat="1" s="94">
      <c r="A681" s="16" t="n"/>
      <c r="C681" s="19" t="n"/>
      <c r="D681" s="19" t="n"/>
    </row>
    <row r="682" customFormat="1" s="94">
      <c r="A682" s="16" t="n"/>
      <c r="C682" s="19" t="n"/>
      <c r="D682" s="19" t="n"/>
    </row>
    <row r="683" customFormat="1" s="94">
      <c r="A683" s="16" t="n"/>
      <c r="C683" s="19" t="n"/>
      <c r="D683" s="19" t="n"/>
    </row>
    <row r="684" customFormat="1" s="94">
      <c r="A684" s="16" t="n"/>
      <c r="C684" s="19" t="n"/>
      <c r="D684" s="19" t="n"/>
    </row>
    <row r="685" customFormat="1" s="94">
      <c r="A685" s="16" t="n"/>
      <c r="C685" s="19" t="n"/>
      <c r="D685" s="19" t="n"/>
    </row>
    <row r="686" customFormat="1" s="94">
      <c r="A686" s="16" t="n"/>
      <c r="C686" s="19" t="n"/>
      <c r="D686" s="19" t="n"/>
    </row>
    <row r="687" customFormat="1" s="94">
      <c r="A687" s="16" t="n"/>
      <c r="C687" s="19" t="n"/>
      <c r="D687" s="19" t="n"/>
    </row>
    <row r="688" customFormat="1" s="94">
      <c r="A688" s="16" t="n"/>
      <c r="C688" s="19" t="n"/>
      <c r="D688" s="19" t="n"/>
    </row>
    <row r="689" customFormat="1" s="94">
      <c r="A689" s="16" t="n"/>
      <c r="C689" s="19" t="n"/>
      <c r="D689" s="19" t="n"/>
    </row>
    <row r="690" customFormat="1" s="94">
      <c r="A690" s="16" t="n"/>
      <c r="C690" s="19" t="n"/>
      <c r="D690" s="19" t="n"/>
    </row>
    <row r="691" customFormat="1" s="94">
      <c r="A691" s="16" t="n"/>
      <c r="C691" s="19" t="n"/>
      <c r="D691" s="19" t="n"/>
    </row>
    <row r="692" customFormat="1" s="94">
      <c r="A692" s="16" t="n"/>
      <c r="C692" s="19" t="n"/>
      <c r="D692" s="19" t="n"/>
    </row>
    <row r="693" customFormat="1" s="94">
      <c r="A693" s="16" t="n"/>
      <c r="C693" s="19" t="n"/>
      <c r="D693" s="19" t="n"/>
    </row>
    <row r="694" customFormat="1" s="94">
      <c r="A694" s="16" t="n"/>
      <c r="C694" s="19" t="n"/>
      <c r="D694" s="19" t="n"/>
    </row>
    <row r="695" customFormat="1" s="94">
      <c r="A695" s="16" t="n"/>
      <c r="C695" s="19" t="n"/>
      <c r="D695" s="19" t="n"/>
    </row>
    <row r="696" customFormat="1" s="94">
      <c r="A696" s="16" t="n"/>
      <c r="C696" s="19" t="n"/>
      <c r="D696" s="19" t="n"/>
    </row>
    <row r="697" customFormat="1" s="94">
      <c r="A697" s="16" t="n"/>
      <c r="C697" s="19" t="n"/>
      <c r="D697" s="19" t="n"/>
    </row>
    <row r="698" customFormat="1" s="94">
      <c r="A698" s="16" t="n"/>
      <c r="C698" s="19" t="n"/>
      <c r="D698" s="19" t="n"/>
    </row>
    <row r="699" customFormat="1" s="94">
      <c r="A699" s="16" t="n"/>
      <c r="C699" s="19" t="n"/>
      <c r="D699" s="19" t="n"/>
    </row>
    <row r="700" customFormat="1" s="94">
      <c r="A700" s="16" t="n"/>
      <c r="C700" s="19" t="n"/>
      <c r="D700" s="19" t="n"/>
    </row>
    <row r="701" customFormat="1" s="94">
      <c r="A701" s="16" t="n"/>
      <c r="C701" s="19" t="n"/>
      <c r="D701" s="19" t="n"/>
    </row>
    <row r="702" customFormat="1" s="94">
      <c r="A702" s="16" t="n"/>
      <c r="C702" s="19" t="n"/>
      <c r="D702" s="19" t="n"/>
    </row>
    <row r="703" customFormat="1" s="94">
      <c r="A703" s="16" t="n"/>
      <c r="C703" s="19" t="n"/>
      <c r="D703" s="19" t="n"/>
    </row>
    <row r="704" customFormat="1" s="94">
      <c r="A704" s="16" t="n"/>
      <c r="C704" s="19" t="n"/>
      <c r="D704" s="19" t="n"/>
    </row>
    <row r="705" customFormat="1" s="94">
      <c r="A705" s="16" t="n"/>
      <c r="C705" s="19" t="n"/>
      <c r="D705" s="19" t="n"/>
    </row>
    <row r="706" customFormat="1" s="94">
      <c r="A706" s="16" t="n"/>
      <c r="C706" s="19" t="n"/>
      <c r="D706" s="19" t="n"/>
    </row>
    <row r="707" customFormat="1" s="94">
      <c r="A707" s="16" t="n"/>
      <c r="C707" s="19" t="n"/>
      <c r="D707" s="19" t="n"/>
    </row>
    <row r="708" customFormat="1" s="94">
      <c r="A708" s="16" t="n"/>
      <c r="C708" s="19" t="n"/>
      <c r="D708" s="19" t="n"/>
    </row>
    <row r="709" customFormat="1" s="94">
      <c r="A709" s="16" t="n"/>
      <c r="C709" s="19" t="n"/>
      <c r="D709" s="19" t="n"/>
    </row>
    <row r="710" customFormat="1" s="94">
      <c r="A710" s="16" t="n"/>
      <c r="C710" s="19" t="n"/>
      <c r="D710" s="19" t="n"/>
    </row>
    <row r="711" customFormat="1" s="94">
      <c r="A711" s="16" t="n"/>
      <c r="C711" s="19" t="n"/>
      <c r="D711" s="19" t="n"/>
    </row>
    <row r="712" customFormat="1" s="94">
      <c r="A712" s="16" t="n"/>
      <c r="C712" s="19" t="n"/>
      <c r="D712" s="19" t="n"/>
    </row>
    <row r="713" customFormat="1" s="94">
      <c r="A713" s="16" t="n"/>
      <c r="C713" s="19" t="n"/>
      <c r="D713" s="19" t="n"/>
    </row>
    <row r="714" customFormat="1" s="94">
      <c r="A714" s="16" t="n"/>
      <c r="C714" s="19" t="n"/>
      <c r="D714" s="19" t="n"/>
    </row>
    <row r="715" customFormat="1" s="94">
      <c r="A715" s="16" t="n"/>
      <c r="C715" s="19" t="n"/>
      <c r="D715" s="19" t="n"/>
    </row>
    <row r="716" customFormat="1" s="94">
      <c r="A716" s="16" t="n"/>
      <c r="C716" s="19" t="n"/>
      <c r="D716" s="19" t="n"/>
    </row>
    <row r="717" customFormat="1" s="94">
      <c r="A717" s="16" t="n"/>
      <c r="C717" s="19" t="n"/>
      <c r="D717" s="19" t="n"/>
    </row>
    <row r="718" customFormat="1" s="94">
      <c r="A718" s="16" t="n"/>
      <c r="C718" s="19" t="n"/>
      <c r="D718" s="19" t="n"/>
    </row>
    <row r="719" customFormat="1" s="94">
      <c r="A719" s="16" t="n"/>
      <c r="C719" s="19" t="n"/>
      <c r="D719" s="19" t="n"/>
    </row>
    <row r="720" customFormat="1" s="94">
      <c r="A720" s="16" t="n"/>
      <c r="C720" s="19" t="n"/>
      <c r="D720" s="19" t="n"/>
    </row>
    <row r="721" customFormat="1" s="94">
      <c r="A721" s="16" t="n"/>
      <c r="C721" s="19" t="n"/>
      <c r="D721" s="19" t="n"/>
    </row>
    <row r="722" customFormat="1" s="94">
      <c r="A722" s="16" t="n"/>
      <c r="C722" s="19" t="n"/>
      <c r="D722" s="19" t="n"/>
    </row>
    <row r="723" customFormat="1" s="94">
      <c r="A723" s="16" t="n"/>
      <c r="C723" s="19" t="n"/>
      <c r="D723" s="19" t="n"/>
    </row>
    <row r="724" customFormat="1" s="94">
      <c r="A724" s="16" t="n"/>
      <c r="C724" s="19" t="n"/>
      <c r="D724" s="19" t="n"/>
    </row>
    <row r="725" customFormat="1" s="94">
      <c r="A725" s="16" t="n"/>
      <c r="C725" s="19" t="n"/>
      <c r="D725" s="19" t="n"/>
    </row>
    <row r="726" customFormat="1" s="94">
      <c r="A726" s="16" t="n"/>
      <c r="C726" s="19" t="n"/>
      <c r="D726" s="19" t="n"/>
    </row>
    <row r="727" customFormat="1" s="94">
      <c r="A727" s="16" t="n"/>
      <c r="C727" s="19" t="n"/>
      <c r="D727" s="19" t="n"/>
    </row>
    <row r="728" customFormat="1" s="94">
      <c r="A728" s="16" t="n"/>
      <c r="C728" s="19" t="n"/>
      <c r="D728" s="19" t="n"/>
    </row>
    <row r="729" customFormat="1" s="94">
      <c r="A729" s="16" t="n"/>
      <c r="C729" s="19" t="n"/>
      <c r="D729" s="19" t="n"/>
    </row>
    <row r="730" customFormat="1" s="94">
      <c r="A730" s="16" t="n"/>
      <c r="C730" s="19" t="n"/>
      <c r="D730" s="19" t="n"/>
    </row>
    <row r="731" customFormat="1" s="94">
      <c r="A731" s="16" t="n"/>
      <c r="C731" s="19" t="n"/>
      <c r="D731" s="19" t="n"/>
    </row>
    <row r="732" customFormat="1" s="94">
      <c r="A732" s="16" t="n"/>
      <c r="C732" s="19" t="n"/>
      <c r="D732" s="19" t="n"/>
    </row>
    <row r="733" customFormat="1" s="94">
      <c r="A733" s="16" t="n"/>
      <c r="C733" s="19" t="n"/>
      <c r="D733" s="19" t="n"/>
    </row>
    <row r="734" customFormat="1" s="94">
      <c r="A734" s="16" t="n"/>
      <c r="C734" s="19" t="n"/>
      <c r="D734" s="19" t="n"/>
    </row>
    <row r="735" customFormat="1" s="94">
      <c r="A735" s="16" t="n"/>
      <c r="C735" s="19" t="n"/>
      <c r="D735" s="19" t="n"/>
    </row>
    <row r="736" customFormat="1" s="94">
      <c r="A736" s="16" t="n"/>
      <c r="C736" s="19" t="n"/>
      <c r="D736" s="19" t="n"/>
    </row>
    <row r="737" customFormat="1" s="94">
      <c r="A737" s="16" t="n"/>
      <c r="C737" s="19" t="n"/>
      <c r="D737" s="19" t="n"/>
    </row>
    <row r="738" customFormat="1" s="94">
      <c r="A738" s="16" t="n"/>
      <c r="C738" s="19" t="n"/>
      <c r="D738" s="19" t="n"/>
    </row>
    <row r="739" customFormat="1" s="94">
      <c r="A739" s="16" t="n"/>
      <c r="C739" s="19" t="n"/>
      <c r="D739" s="19" t="n"/>
    </row>
    <row r="740" customFormat="1" s="94">
      <c r="A740" s="16" t="n"/>
      <c r="C740" s="19" t="n"/>
      <c r="D740" s="19" t="n"/>
    </row>
    <row r="741" customFormat="1" s="94">
      <c r="A741" s="16" t="n"/>
      <c r="C741" s="19" t="n"/>
      <c r="D741" s="19" t="n"/>
    </row>
    <row r="742" customFormat="1" s="94">
      <c r="A742" s="16" t="n"/>
      <c r="C742" s="19" t="n"/>
      <c r="D742" s="19" t="n"/>
    </row>
    <row r="743" customFormat="1" s="94">
      <c r="A743" s="16" t="n"/>
      <c r="C743" s="19" t="n"/>
      <c r="D743" s="19" t="n"/>
    </row>
    <row r="744" customFormat="1" s="94">
      <c r="A744" s="16" t="n"/>
      <c r="C744" s="19" t="n"/>
      <c r="D744" s="19" t="n"/>
    </row>
    <row r="745" customFormat="1" s="94">
      <c r="A745" s="16" t="n"/>
      <c r="C745" s="19" t="n"/>
      <c r="D745" s="19" t="n"/>
    </row>
    <row r="746" customFormat="1" s="94">
      <c r="A746" s="16" t="n"/>
      <c r="C746" s="19" t="n"/>
      <c r="D746" s="19" t="n"/>
    </row>
    <row r="747" customFormat="1" s="94">
      <c r="A747" s="16" t="n"/>
      <c r="C747" s="19" t="n"/>
      <c r="D747" s="19" t="n"/>
    </row>
    <row r="748" customFormat="1" s="94">
      <c r="A748" s="16" t="n"/>
      <c r="C748" s="19" t="n"/>
      <c r="D748" s="19" t="n"/>
    </row>
    <row r="749" customFormat="1" s="94">
      <c r="A749" s="16" t="n"/>
      <c r="C749" s="19" t="n"/>
      <c r="D749" s="19" t="n"/>
    </row>
    <row r="750" customFormat="1" s="94">
      <c r="A750" s="16" t="n"/>
      <c r="C750" s="19" t="n"/>
      <c r="D750" s="19" t="n"/>
    </row>
    <row r="751" customFormat="1" s="94">
      <c r="A751" s="16" t="n"/>
      <c r="C751" s="19" t="n"/>
      <c r="D751" s="19" t="n"/>
    </row>
    <row r="752" customFormat="1" s="94">
      <c r="A752" s="16" t="n"/>
      <c r="C752" s="19" t="n"/>
      <c r="D752" s="19" t="n"/>
    </row>
    <row r="753" customFormat="1" s="94">
      <c r="A753" s="16" t="n"/>
      <c r="C753" s="19" t="n"/>
      <c r="D753" s="19" t="n"/>
    </row>
    <row r="754" customFormat="1" s="94">
      <c r="A754" s="16" t="n"/>
      <c r="C754" s="19" t="n"/>
      <c r="D754" s="19" t="n"/>
    </row>
    <row r="755" customFormat="1" s="94">
      <c r="A755" s="16" t="n"/>
      <c r="C755" s="19" t="n"/>
      <c r="D755" s="19" t="n"/>
    </row>
    <row r="756" customFormat="1" s="94">
      <c r="A756" s="16" t="n"/>
      <c r="C756" s="19" t="n"/>
      <c r="D756" s="19" t="n"/>
    </row>
    <row r="757" customFormat="1" s="94">
      <c r="A757" s="16" t="n"/>
      <c r="C757" s="19" t="n"/>
      <c r="D757" s="19" t="n"/>
    </row>
    <row r="758" customFormat="1" s="94">
      <c r="A758" s="16" t="n"/>
      <c r="C758" s="19" t="n"/>
      <c r="D758" s="19" t="n"/>
    </row>
    <row r="759" customFormat="1" s="94">
      <c r="A759" s="16" t="n"/>
      <c r="C759" s="19" t="n"/>
      <c r="D759" s="19" t="n"/>
    </row>
    <row r="760" customFormat="1" s="94">
      <c r="A760" s="16" t="n"/>
      <c r="C760" s="19" t="n"/>
      <c r="D760" s="19" t="n"/>
    </row>
    <row r="761" customFormat="1" s="94">
      <c r="A761" s="16" t="n"/>
      <c r="C761" s="19" t="n"/>
      <c r="D761" s="19" t="n"/>
    </row>
    <row r="762" customFormat="1" s="94">
      <c r="A762" s="16" t="n"/>
      <c r="C762" s="19" t="n"/>
      <c r="D762" s="19" t="n"/>
    </row>
    <row r="763" customFormat="1" s="94">
      <c r="A763" s="16" t="n"/>
      <c r="C763" s="19" t="n"/>
      <c r="D763" s="19" t="n"/>
    </row>
    <row r="764" customFormat="1" s="94">
      <c r="A764" s="16" t="n"/>
      <c r="C764" s="19" t="n"/>
      <c r="D764" s="19" t="n"/>
    </row>
    <row r="765" customFormat="1" s="94">
      <c r="A765" s="16" t="n"/>
      <c r="C765" s="19" t="n"/>
      <c r="D765" s="19" t="n"/>
    </row>
    <row r="766" customFormat="1" s="94">
      <c r="A766" s="16" t="n"/>
      <c r="C766" s="19" t="n"/>
      <c r="D766" s="19" t="n"/>
    </row>
    <row r="767" customFormat="1" s="94">
      <c r="A767" s="16" t="n"/>
      <c r="C767" s="19" t="n"/>
      <c r="D767" s="19" t="n"/>
    </row>
    <row r="768" customFormat="1" s="94">
      <c r="A768" s="16" t="n"/>
      <c r="C768" s="19" t="n"/>
      <c r="D768" s="19" t="n"/>
    </row>
    <row r="769" customFormat="1" s="94">
      <c r="A769" s="16" t="n"/>
      <c r="C769" s="19" t="n"/>
      <c r="D769" s="19" t="n"/>
    </row>
    <row r="770" customFormat="1" s="94">
      <c r="A770" s="16" t="n"/>
      <c r="C770" s="19" t="n"/>
      <c r="D770" s="19" t="n"/>
    </row>
    <row r="771" customFormat="1" s="94">
      <c r="A771" s="16" t="n"/>
      <c r="C771" s="19" t="n"/>
      <c r="D771" s="19" t="n"/>
    </row>
    <row r="772" customFormat="1" s="94">
      <c r="A772" s="16" t="n"/>
      <c r="C772" s="19" t="n"/>
      <c r="D772" s="19" t="n"/>
    </row>
    <row r="773" customFormat="1" s="94">
      <c r="A773" s="16" t="n"/>
      <c r="C773" s="19" t="n"/>
      <c r="D773" s="19" t="n"/>
    </row>
    <row r="774" customFormat="1" s="94">
      <c r="A774" s="16" t="n"/>
      <c r="C774" s="19" t="n"/>
      <c r="D774" s="19" t="n"/>
    </row>
    <row r="775" customFormat="1" s="94">
      <c r="A775" s="16" t="n"/>
      <c r="C775" s="19" t="n"/>
      <c r="D775" s="19" t="n"/>
    </row>
    <row r="776" customFormat="1" s="94">
      <c r="A776" s="16" t="n"/>
      <c r="C776" s="19" t="n"/>
      <c r="D776" s="19" t="n"/>
    </row>
    <row r="777" customFormat="1" s="94">
      <c r="A777" s="16" t="n"/>
      <c r="C777" s="19" t="n"/>
      <c r="D777" s="19" t="n"/>
    </row>
    <row r="778" customFormat="1" s="94">
      <c r="A778" s="16" t="n"/>
      <c r="C778" s="19" t="n"/>
      <c r="D778" s="19" t="n"/>
    </row>
    <row r="779" customFormat="1" s="94">
      <c r="A779" s="16" t="n"/>
      <c r="C779" s="19" t="n"/>
      <c r="D779" s="19" t="n"/>
    </row>
    <row r="780" customFormat="1" s="94">
      <c r="A780" s="16" t="n"/>
      <c r="C780" s="19" t="n"/>
      <c r="D780" s="19" t="n"/>
    </row>
    <row r="781" customFormat="1" s="94">
      <c r="A781" s="16" t="n"/>
      <c r="C781" s="19" t="n"/>
      <c r="D781" s="19" t="n"/>
    </row>
    <row r="782" customFormat="1" s="94">
      <c r="A782" s="16" t="n"/>
      <c r="C782" s="19" t="n"/>
      <c r="D782" s="19" t="n"/>
    </row>
    <row r="783" customFormat="1" s="94">
      <c r="A783" s="16" t="n"/>
      <c r="C783" s="19" t="n"/>
      <c r="D783" s="19" t="n"/>
    </row>
    <row r="784" customFormat="1" s="94">
      <c r="A784" s="16" t="n"/>
      <c r="C784" s="19" t="n"/>
      <c r="D784" s="19" t="n"/>
    </row>
    <row r="785" customFormat="1" s="94">
      <c r="A785" s="16" t="n"/>
      <c r="C785" s="19" t="n"/>
      <c r="D785" s="19" t="n"/>
    </row>
    <row r="786" customFormat="1" s="94">
      <c r="A786" s="16" t="n"/>
      <c r="C786" s="19" t="n"/>
      <c r="D786" s="19" t="n"/>
    </row>
    <row r="787" customFormat="1" s="94">
      <c r="A787" s="16" t="n"/>
      <c r="C787" s="19" t="n"/>
      <c r="D787" s="19" t="n"/>
    </row>
    <row r="788" customFormat="1" s="94">
      <c r="A788" s="16" t="n"/>
      <c r="C788" s="19" t="n"/>
      <c r="D788" s="19" t="n"/>
    </row>
    <row r="789" customFormat="1" s="94">
      <c r="A789" s="16" t="n"/>
      <c r="C789" s="19" t="n"/>
      <c r="D789" s="19" t="n"/>
    </row>
    <row r="790" customFormat="1" s="94">
      <c r="A790" s="16" t="n"/>
      <c r="C790" s="19" t="n"/>
      <c r="D790" s="19" t="n"/>
    </row>
    <row r="791" customFormat="1" s="94">
      <c r="A791" s="16" t="n"/>
      <c r="C791" s="19" t="n"/>
      <c r="D791" s="19" t="n"/>
    </row>
    <row r="792" customFormat="1" s="94">
      <c r="A792" s="16" t="n"/>
      <c r="C792" s="19" t="n"/>
      <c r="D792" s="19" t="n"/>
    </row>
    <row r="793" customFormat="1" s="94">
      <c r="A793" s="16" t="n"/>
      <c r="C793" s="19" t="n"/>
      <c r="D793" s="19" t="n"/>
    </row>
    <row r="794" customFormat="1" s="94">
      <c r="A794" s="16" t="n"/>
      <c r="C794" s="19" t="n"/>
      <c r="D794" s="19" t="n"/>
    </row>
    <row r="795" customFormat="1" s="94">
      <c r="A795" s="16" t="n"/>
      <c r="C795" s="19" t="n"/>
      <c r="D795" s="19" t="n"/>
    </row>
    <row r="796" customFormat="1" s="94">
      <c r="A796" s="16" t="n"/>
      <c r="C796" s="19" t="n"/>
      <c r="D796" s="19" t="n"/>
    </row>
    <row r="797" customFormat="1" s="94">
      <c r="A797" s="16" t="n"/>
      <c r="C797" s="19" t="n"/>
      <c r="D797" s="19" t="n"/>
    </row>
    <row r="798" customFormat="1" s="94">
      <c r="A798" s="16" t="n"/>
      <c r="C798" s="19" t="n"/>
      <c r="D798" s="19" t="n"/>
    </row>
    <row r="799" customFormat="1" s="94">
      <c r="A799" s="16" t="n"/>
      <c r="C799" s="19" t="n"/>
      <c r="D799" s="19" t="n"/>
    </row>
    <row r="800" customFormat="1" s="94">
      <c r="A800" s="16" t="n"/>
      <c r="C800" s="19" t="n"/>
      <c r="D800" s="19" t="n"/>
    </row>
    <row r="801" customFormat="1" s="94">
      <c r="A801" s="16" t="n"/>
      <c r="C801" s="19" t="n"/>
      <c r="D801" s="19" t="n"/>
    </row>
    <row r="802" customFormat="1" s="94">
      <c r="A802" s="16" t="n"/>
      <c r="C802" s="19" t="n"/>
      <c r="D802" s="19" t="n"/>
    </row>
    <row r="803" customFormat="1" s="94">
      <c r="A803" s="16" t="n"/>
      <c r="C803" s="19" t="n"/>
      <c r="D803" s="19" t="n"/>
    </row>
    <row r="804" customFormat="1" s="94">
      <c r="A804" s="16" t="n"/>
      <c r="C804" s="19" t="n"/>
      <c r="D804" s="19" t="n"/>
    </row>
    <row r="805" customFormat="1" s="94">
      <c r="A805" s="16" t="n"/>
      <c r="C805" s="19" t="n"/>
      <c r="D805" s="19" t="n"/>
    </row>
    <row r="806" customFormat="1" s="94">
      <c r="A806" s="16" t="n"/>
      <c r="C806" s="19" t="n"/>
      <c r="D806" s="19" t="n"/>
    </row>
    <row r="807" customFormat="1" s="94">
      <c r="A807" s="16" t="n"/>
      <c r="C807" s="19" t="n"/>
      <c r="D807" s="19" t="n"/>
    </row>
    <row r="808" customFormat="1" s="94">
      <c r="A808" s="16" t="n"/>
      <c r="C808" s="19" t="n"/>
      <c r="D808" s="19" t="n"/>
    </row>
    <row r="809" customFormat="1" s="94">
      <c r="A809" s="16" t="n"/>
      <c r="C809" s="19" t="n"/>
      <c r="D809" s="19" t="n"/>
    </row>
    <row r="810" customFormat="1" s="94">
      <c r="A810" s="16" t="n"/>
      <c r="C810" s="19" t="n"/>
      <c r="D810" s="19" t="n"/>
    </row>
    <row r="811" customFormat="1" s="94">
      <c r="A811" s="16" t="n"/>
      <c r="C811" s="19" t="n"/>
      <c r="D811" s="19" t="n"/>
    </row>
    <row r="812" customFormat="1" s="94">
      <c r="A812" s="16" t="n"/>
      <c r="C812" s="19" t="n"/>
      <c r="D812" s="19" t="n"/>
    </row>
    <row r="813" customFormat="1" s="94">
      <c r="A813" s="16" t="n"/>
      <c r="C813" s="19" t="n"/>
      <c r="D813" s="19" t="n"/>
    </row>
    <row r="814" customFormat="1" s="94">
      <c r="A814" s="16" t="n"/>
      <c r="C814" s="19" t="n"/>
      <c r="D814" s="19" t="n"/>
    </row>
    <row r="815" customFormat="1" s="94">
      <c r="A815" s="16" t="n"/>
      <c r="C815" s="19" t="n"/>
      <c r="D815" s="19" t="n"/>
    </row>
    <row r="816" customFormat="1" s="94">
      <c r="A816" s="16" t="n"/>
      <c r="C816" s="19" t="n"/>
      <c r="D816" s="19" t="n"/>
    </row>
    <row r="817" customFormat="1" s="94">
      <c r="A817" s="16" t="n"/>
      <c r="C817" s="19" t="n"/>
      <c r="D817" s="19" t="n"/>
    </row>
    <row r="818" customFormat="1" s="94">
      <c r="A818" s="16" t="n"/>
      <c r="C818" s="19" t="n"/>
      <c r="D818" s="19" t="n"/>
    </row>
    <row r="819" customFormat="1" s="94">
      <c r="A819" s="16" t="n"/>
      <c r="C819" s="19" t="n"/>
      <c r="D819" s="19" t="n"/>
    </row>
    <row r="820" customFormat="1" s="94">
      <c r="A820" s="16" t="n"/>
      <c r="C820" s="19" t="n"/>
      <c r="D820" s="19" t="n"/>
    </row>
    <row r="821" customFormat="1" s="94">
      <c r="A821" s="16" t="n"/>
      <c r="C821" s="19" t="n"/>
      <c r="D821" s="19" t="n"/>
    </row>
    <row r="822" customFormat="1" s="94">
      <c r="A822" s="16" t="n"/>
      <c r="C822" s="19" t="n"/>
      <c r="D822" s="19" t="n"/>
    </row>
    <row r="823" customFormat="1" s="94">
      <c r="A823" s="16" t="n"/>
      <c r="C823" s="19" t="n"/>
      <c r="D823" s="19" t="n"/>
    </row>
    <row r="824" customFormat="1" s="94">
      <c r="A824" s="16" t="n"/>
      <c r="C824" s="19" t="n"/>
      <c r="D824" s="19" t="n"/>
    </row>
    <row r="825" customFormat="1" s="94">
      <c r="A825" s="16" t="n"/>
      <c r="C825" s="19" t="n"/>
      <c r="D825" s="19" t="n"/>
    </row>
    <row r="826" customFormat="1" s="94">
      <c r="A826" s="16" t="n"/>
      <c r="C826" s="19" t="n"/>
      <c r="D826" s="19" t="n"/>
    </row>
    <row r="827" customFormat="1" s="94">
      <c r="A827" s="16" t="n"/>
      <c r="C827" s="19" t="n"/>
      <c r="D827" s="19" t="n"/>
    </row>
    <row r="828" customFormat="1" s="94">
      <c r="A828" s="16" t="n"/>
      <c r="C828" s="19" t="n"/>
      <c r="D828" s="19" t="n"/>
    </row>
    <row r="829" customFormat="1" s="94">
      <c r="A829" s="16" t="n"/>
      <c r="C829" s="19" t="n"/>
      <c r="D829" s="19" t="n"/>
    </row>
    <row r="830" customFormat="1" s="94">
      <c r="A830" s="16" t="n"/>
      <c r="C830" s="19" t="n"/>
      <c r="D830" s="19" t="n"/>
    </row>
    <row r="831" customFormat="1" s="94">
      <c r="A831" s="16" t="n"/>
      <c r="C831" s="19" t="n"/>
      <c r="D831" s="19" t="n"/>
    </row>
    <row r="832" customFormat="1" s="94">
      <c r="A832" s="16" t="n"/>
      <c r="C832" s="19" t="n"/>
      <c r="D832" s="19" t="n"/>
    </row>
    <row r="833" customFormat="1" s="94">
      <c r="A833" s="16" t="n"/>
      <c r="C833" s="19" t="n"/>
      <c r="D833" s="19" t="n"/>
    </row>
    <row r="834" customFormat="1" s="94">
      <c r="A834" s="16" t="n"/>
      <c r="C834" s="19" t="n"/>
      <c r="D834" s="19" t="n"/>
    </row>
    <row r="835" customFormat="1" s="94">
      <c r="A835" s="16" t="n"/>
      <c r="C835" s="19" t="n"/>
      <c r="D835" s="19" t="n"/>
    </row>
    <row r="836" customFormat="1" s="94">
      <c r="A836" s="16" t="n"/>
      <c r="C836" s="19" t="n"/>
      <c r="D836" s="19" t="n"/>
    </row>
    <row r="837" customFormat="1" s="94">
      <c r="A837" s="16" t="n"/>
      <c r="C837" s="19" t="n"/>
      <c r="D837" s="19" t="n"/>
    </row>
    <row r="838" customFormat="1" s="94">
      <c r="A838" s="16" t="n"/>
      <c r="C838" s="19" t="n"/>
      <c r="D838" s="19" t="n"/>
    </row>
    <row r="839" customFormat="1" s="94">
      <c r="A839" s="16" t="n"/>
      <c r="C839" s="19" t="n"/>
      <c r="D839" s="19" t="n"/>
    </row>
    <row r="840" customFormat="1" s="94">
      <c r="A840" s="16" t="n"/>
      <c r="C840" s="19" t="n"/>
      <c r="D840" s="19" t="n"/>
    </row>
    <row r="841" customFormat="1" s="94">
      <c r="A841" s="16" t="n"/>
      <c r="C841" s="19" t="n"/>
      <c r="D841" s="19" t="n"/>
    </row>
    <row r="842" customFormat="1" s="94">
      <c r="A842" s="16" t="n"/>
      <c r="C842" s="19" t="n"/>
      <c r="D842" s="19" t="n"/>
    </row>
    <row r="843" customFormat="1" s="94">
      <c r="A843" s="16" t="n"/>
      <c r="C843" s="19" t="n"/>
      <c r="D843" s="19" t="n"/>
    </row>
    <row r="844" customFormat="1" s="94">
      <c r="A844" s="16" t="n"/>
      <c r="C844" s="19" t="n"/>
      <c r="D844" s="19" t="n"/>
    </row>
    <row r="845" customFormat="1" s="94">
      <c r="A845" s="16" t="n"/>
      <c r="C845" s="19" t="n"/>
      <c r="D845" s="19" t="n"/>
    </row>
    <row r="846" customFormat="1" s="94">
      <c r="A846" s="16" t="n"/>
      <c r="C846" s="19" t="n"/>
      <c r="D846" s="19" t="n"/>
    </row>
    <row r="847" customFormat="1" s="94">
      <c r="A847" s="16" t="n"/>
      <c r="C847" s="19" t="n"/>
      <c r="D847" s="19" t="n"/>
    </row>
    <row r="848" customFormat="1" s="94">
      <c r="A848" s="16" t="n"/>
      <c r="C848" s="19" t="n"/>
      <c r="D848" s="19" t="n"/>
    </row>
    <row r="849" customFormat="1" s="94">
      <c r="A849" s="16" t="n"/>
      <c r="C849" s="19" t="n"/>
      <c r="D849" s="19" t="n"/>
    </row>
    <row r="850" customFormat="1" s="94">
      <c r="A850" s="16" t="n"/>
      <c r="C850" s="19" t="n"/>
      <c r="D850" s="19" t="n"/>
    </row>
    <row r="851" customFormat="1" s="94">
      <c r="A851" s="16" t="n"/>
      <c r="C851" s="19" t="n"/>
      <c r="D851" s="19" t="n"/>
    </row>
    <row r="852" customFormat="1" s="94">
      <c r="A852" s="16" t="n"/>
      <c r="C852" s="19" t="n"/>
      <c r="D852" s="19" t="n"/>
    </row>
    <row r="853" customFormat="1" s="94">
      <c r="A853" s="16" t="n"/>
      <c r="C853" s="19" t="n"/>
      <c r="D853" s="19" t="n"/>
    </row>
    <row r="854" customFormat="1" s="94">
      <c r="A854" s="16" t="n"/>
      <c r="C854" s="19" t="n"/>
      <c r="D854" s="19" t="n"/>
    </row>
    <row r="855" customFormat="1" s="94">
      <c r="A855" s="16" t="n"/>
      <c r="C855" s="19" t="n"/>
      <c r="D855" s="19" t="n"/>
    </row>
    <row r="856" customFormat="1" s="94">
      <c r="A856" s="16" t="n"/>
      <c r="C856" s="19" t="n"/>
      <c r="D856" s="19" t="n"/>
    </row>
    <row r="857" customFormat="1" s="94">
      <c r="A857" s="16" t="n"/>
      <c r="C857" s="19" t="n"/>
      <c r="D857" s="19" t="n"/>
    </row>
    <row r="858" customFormat="1" s="94">
      <c r="A858" s="16" t="n"/>
      <c r="C858" s="19" t="n"/>
      <c r="D858" s="19" t="n"/>
    </row>
    <row r="859" customFormat="1" s="94">
      <c r="A859" s="16" t="n"/>
      <c r="C859" s="19" t="n"/>
      <c r="D859" s="19" t="n"/>
    </row>
    <row r="860" customFormat="1" s="94">
      <c r="A860" s="16" t="n"/>
      <c r="C860" s="19" t="n"/>
      <c r="D860" s="19" t="n"/>
    </row>
    <row r="861" customFormat="1" s="94">
      <c r="A861" s="16" t="n"/>
      <c r="C861" s="19" t="n"/>
      <c r="D861" s="19" t="n"/>
    </row>
    <row r="862" customFormat="1" s="94">
      <c r="A862" s="16" t="n"/>
      <c r="C862" s="19" t="n"/>
      <c r="D862" s="19" t="n"/>
    </row>
    <row r="863" customFormat="1" s="94">
      <c r="A863" s="16" t="n"/>
      <c r="C863" s="19" t="n"/>
      <c r="D863" s="19" t="n"/>
    </row>
    <row r="864" customFormat="1" s="94">
      <c r="A864" s="16" t="n"/>
      <c r="C864" s="19" t="n"/>
      <c r="D864" s="19" t="n"/>
    </row>
    <row r="865" customFormat="1" s="94">
      <c r="A865" s="16" t="n"/>
      <c r="C865" s="19" t="n"/>
      <c r="D865" s="19" t="n"/>
    </row>
    <row r="866" customFormat="1" s="94">
      <c r="A866" s="16" t="n"/>
      <c r="C866" s="19" t="n"/>
      <c r="D866" s="19" t="n"/>
    </row>
    <row r="867" customFormat="1" s="94">
      <c r="A867" s="16" t="n"/>
      <c r="C867" s="19" t="n"/>
      <c r="D867" s="19" t="n"/>
    </row>
    <row r="868" customFormat="1" s="94">
      <c r="A868" s="16" t="n"/>
      <c r="C868" s="19" t="n"/>
      <c r="D868" s="19" t="n"/>
    </row>
    <row r="869" customFormat="1" s="94">
      <c r="A869" s="16" t="n"/>
      <c r="C869" s="19" t="n"/>
      <c r="D869" s="19" t="n"/>
    </row>
    <row r="870" customFormat="1" s="94">
      <c r="A870" s="16" t="n"/>
      <c r="C870" s="19" t="n"/>
      <c r="D870" s="19" t="n"/>
    </row>
    <row r="871" customFormat="1" s="94">
      <c r="A871" s="16" t="n"/>
      <c r="C871" s="19" t="n"/>
      <c r="D871" s="19" t="n"/>
    </row>
    <row r="872" customFormat="1" s="94">
      <c r="A872" s="16" t="n"/>
      <c r="C872" s="19" t="n"/>
      <c r="D872" s="19" t="n"/>
    </row>
    <row r="873" customFormat="1" s="94">
      <c r="A873" s="16" t="n"/>
      <c r="C873" s="19" t="n"/>
      <c r="D873" s="19" t="n"/>
    </row>
    <row r="874" customFormat="1" s="94">
      <c r="A874" s="16" t="n"/>
      <c r="C874" s="19" t="n"/>
      <c r="D874" s="19" t="n"/>
    </row>
    <row r="875" customFormat="1" s="94">
      <c r="A875" s="16" t="n"/>
      <c r="C875" s="19" t="n"/>
      <c r="D875" s="19" t="n"/>
    </row>
    <row r="876" customFormat="1" s="94">
      <c r="A876" s="16" t="n"/>
      <c r="C876" s="19" t="n"/>
      <c r="D876" s="19" t="n"/>
    </row>
    <row r="877" customFormat="1" s="94">
      <c r="A877" s="16" t="n"/>
      <c r="C877" s="19" t="n"/>
      <c r="D877" s="19" t="n"/>
    </row>
    <row r="878" customFormat="1" s="94">
      <c r="A878" s="16" t="n"/>
      <c r="C878" s="19" t="n"/>
      <c r="D878" s="19" t="n"/>
    </row>
    <row r="879" customFormat="1" s="94">
      <c r="A879" s="16" t="n"/>
      <c r="C879" s="19" t="n"/>
      <c r="D879" s="19" t="n"/>
    </row>
    <row r="880" customFormat="1" s="94">
      <c r="A880" s="16" t="n"/>
      <c r="C880" s="19" t="n"/>
      <c r="D880" s="19" t="n"/>
    </row>
    <row r="881" customFormat="1" s="94">
      <c r="A881" s="16" t="n"/>
      <c r="C881" s="19" t="n"/>
      <c r="D881" s="19" t="n"/>
    </row>
    <row r="882" customFormat="1" s="94">
      <c r="A882" s="16" t="n"/>
      <c r="C882" s="19" t="n"/>
      <c r="D882" s="19" t="n"/>
    </row>
    <row r="883" customFormat="1" s="94">
      <c r="A883" s="16" t="n"/>
      <c r="C883" s="19" t="n"/>
      <c r="D883" s="19" t="n"/>
    </row>
    <row r="884" customFormat="1" s="94">
      <c r="A884" s="16" t="n"/>
      <c r="C884" s="19" t="n"/>
      <c r="D884" s="19" t="n"/>
    </row>
    <row r="885" customFormat="1" s="94">
      <c r="A885" s="16" t="n"/>
      <c r="C885" s="19" t="n"/>
      <c r="D885" s="19" t="n"/>
    </row>
    <row r="886" customFormat="1" s="94">
      <c r="A886" s="16" t="n"/>
      <c r="C886" s="19" t="n"/>
      <c r="D886" s="19" t="n"/>
    </row>
    <row r="887" customFormat="1" s="94">
      <c r="A887" s="16" t="n"/>
      <c r="C887" s="19" t="n"/>
      <c r="D887" s="19" t="n"/>
    </row>
    <row r="888" customFormat="1" s="94">
      <c r="A888" s="16" t="n"/>
      <c r="C888" s="19" t="n"/>
      <c r="D888" s="19" t="n"/>
    </row>
    <row r="889" customFormat="1" s="94">
      <c r="A889" s="16" t="n"/>
      <c r="C889" s="19" t="n"/>
      <c r="D889" s="19" t="n"/>
    </row>
    <row r="890" customFormat="1" s="94">
      <c r="A890" s="16" t="n"/>
      <c r="C890" s="19" t="n"/>
      <c r="D890" s="19" t="n"/>
    </row>
    <row r="891" customFormat="1" s="94">
      <c r="A891" s="16" t="n"/>
      <c r="C891" s="19" t="n"/>
      <c r="D891" s="19" t="n"/>
    </row>
    <row r="892" customFormat="1" s="94">
      <c r="A892" s="16" t="n"/>
      <c r="C892" s="19" t="n"/>
      <c r="D892" s="19" t="n"/>
    </row>
    <row r="893" customFormat="1" s="94">
      <c r="A893" s="16" t="n"/>
      <c r="C893" s="19" t="n"/>
      <c r="D893" s="19" t="n"/>
    </row>
    <row r="894" customFormat="1" s="94">
      <c r="A894" s="16" t="n"/>
      <c r="C894" s="19" t="n"/>
      <c r="D894" s="19" t="n"/>
    </row>
    <row r="895" customFormat="1" s="94">
      <c r="A895" s="16" t="n"/>
      <c r="C895" s="19" t="n"/>
      <c r="D895" s="19" t="n"/>
    </row>
    <row r="896" customFormat="1" s="94">
      <c r="A896" s="16" t="n"/>
      <c r="C896" s="19" t="n"/>
      <c r="D896" s="19" t="n"/>
    </row>
    <row r="897" customFormat="1" s="94">
      <c r="A897" s="16" t="n"/>
      <c r="C897" s="19" t="n"/>
      <c r="D897" s="19" t="n"/>
    </row>
    <row r="898" customFormat="1" s="94">
      <c r="A898" s="16" t="n"/>
      <c r="C898" s="19" t="n"/>
      <c r="D898" s="19" t="n"/>
    </row>
    <row r="899" customFormat="1" s="94">
      <c r="A899" s="16" t="n"/>
      <c r="C899" s="19" t="n"/>
      <c r="D899" s="19" t="n"/>
    </row>
    <row r="900" customFormat="1" s="94">
      <c r="A900" s="16" t="n"/>
      <c r="C900" s="19" t="n"/>
      <c r="D900" s="19" t="n"/>
    </row>
    <row r="901" customFormat="1" s="94">
      <c r="A901" s="16" t="n"/>
      <c r="C901" s="19" t="n"/>
      <c r="D901" s="19" t="n"/>
    </row>
    <row r="902" customFormat="1" s="94">
      <c r="A902" s="16" t="n"/>
      <c r="C902" s="19" t="n"/>
      <c r="D902" s="19" t="n"/>
    </row>
    <row r="903" customFormat="1" s="94">
      <c r="A903" s="16" t="n"/>
      <c r="C903" s="19" t="n"/>
      <c r="D903" s="19" t="n"/>
    </row>
    <row r="904" customFormat="1" s="94">
      <c r="A904" s="16" t="n"/>
      <c r="C904" s="19" t="n"/>
      <c r="D904" s="19" t="n"/>
    </row>
    <row r="905" customFormat="1" s="94">
      <c r="A905" s="16" t="n"/>
      <c r="C905" s="19" t="n"/>
      <c r="D905" s="19" t="n"/>
    </row>
    <row r="906" customFormat="1" s="94">
      <c r="A906" s="16" t="n"/>
      <c r="C906" s="19" t="n"/>
      <c r="D906" s="19" t="n"/>
    </row>
    <row r="907" customFormat="1" s="94">
      <c r="A907" s="16" t="n"/>
      <c r="C907" s="19" t="n"/>
      <c r="D907" s="19" t="n"/>
    </row>
    <row r="908" customFormat="1" s="94">
      <c r="A908" s="16" t="n"/>
      <c r="C908" s="19" t="n"/>
      <c r="D908" s="19" t="n"/>
    </row>
    <row r="909" customFormat="1" s="94">
      <c r="A909" s="16" t="n"/>
      <c r="C909" s="19" t="n"/>
      <c r="D909" s="19" t="n"/>
    </row>
    <row r="910" customFormat="1" s="94">
      <c r="A910" s="16" t="n"/>
      <c r="C910" s="19" t="n"/>
      <c r="D910" s="19" t="n"/>
    </row>
    <row r="911" customFormat="1" s="94">
      <c r="A911" s="16" t="n"/>
      <c r="C911" s="19" t="n"/>
      <c r="D911" s="19" t="n"/>
    </row>
    <row r="912" customFormat="1" s="94">
      <c r="A912" s="16" t="n"/>
      <c r="C912" s="19" t="n"/>
      <c r="D912" s="19" t="n"/>
    </row>
    <row r="913" customFormat="1" s="94">
      <c r="A913" s="16" t="n"/>
      <c r="C913" s="19" t="n"/>
      <c r="D913" s="19" t="n"/>
    </row>
    <row r="914" customFormat="1" s="94">
      <c r="A914" s="16" t="n"/>
      <c r="C914" s="19" t="n"/>
      <c r="D914" s="19" t="n"/>
    </row>
    <row r="915" customFormat="1" s="94">
      <c r="A915" s="16" t="n"/>
      <c r="C915" s="19" t="n"/>
      <c r="D915" s="19" t="n"/>
    </row>
    <row r="916" customFormat="1" s="94">
      <c r="A916" s="16" t="n"/>
      <c r="C916" s="19" t="n"/>
      <c r="D916" s="19" t="n"/>
    </row>
    <row r="917" customFormat="1" s="94">
      <c r="A917" s="16" t="n"/>
      <c r="C917" s="19" t="n"/>
      <c r="D917" s="19" t="n"/>
    </row>
    <row r="918" customFormat="1" s="94">
      <c r="A918" s="16" t="n"/>
      <c r="C918" s="19" t="n"/>
      <c r="D918" s="19" t="n"/>
    </row>
    <row r="919" customFormat="1" s="94">
      <c r="A919" s="16" t="n"/>
      <c r="C919" s="19" t="n"/>
      <c r="D919" s="19" t="n"/>
    </row>
    <row r="920" customFormat="1" s="94">
      <c r="A920" s="16" t="n"/>
      <c r="C920" s="19" t="n"/>
      <c r="D920" s="19" t="n"/>
    </row>
    <row r="921" customFormat="1" s="94">
      <c r="A921" s="16" t="n"/>
      <c r="C921" s="19" t="n"/>
      <c r="D921" s="19" t="n"/>
    </row>
    <row r="922" customFormat="1" s="94">
      <c r="A922" s="16" t="n"/>
      <c r="C922" s="19" t="n"/>
      <c r="D922" s="19" t="n"/>
    </row>
    <row r="923" customFormat="1" s="94">
      <c r="A923" s="16" t="n"/>
      <c r="C923" s="19" t="n"/>
      <c r="D923" s="19" t="n"/>
    </row>
    <row r="924" customFormat="1" s="94">
      <c r="A924" s="16" t="n"/>
      <c r="C924" s="19" t="n"/>
      <c r="D924" s="19" t="n"/>
    </row>
    <row r="925" customFormat="1" s="94">
      <c r="A925" s="16" t="n"/>
      <c r="C925" s="19" t="n"/>
      <c r="D925" s="19" t="n"/>
    </row>
    <row r="926" customFormat="1" s="94">
      <c r="A926" s="16" t="n"/>
      <c r="C926" s="19" t="n"/>
      <c r="D926" s="19" t="n"/>
    </row>
    <row r="927" customFormat="1" s="94">
      <c r="A927" s="16" t="n"/>
      <c r="C927" s="19" t="n"/>
      <c r="D927" s="19" t="n"/>
    </row>
    <row r="928" customFormat="1" s="94">
      <c r="A928" s="16" t="n"/>
      <c r="C928" s="19" t="n"/>
      <c r="D928" s="19" t="n"/>
    </row>
    <row r="929" customFormat="1" s="94">
      <c r="A929" s="16" t="n"/>
      <c r="C929" s="19" t="n"/>
      <c r="D929" s="19" t="n"/>
    </row>
    <row r="930" customFormat="1" s="94">
      <c r="A930" s="16" t="n"/>
      <c r="C930" s="19" t="n"/>
      <c r="D930" s="19" t="n"/>
    </row>
    <row r="931" customFormat="1" s="94">
      <c r="A931" s="16" t="n"/>
      <c r="C931" s="19" t="n"/>
      <c r="D931" s="19" t="n"/>
    </row>
    <row r="932" customFormat="1" s="94">
      <c r="A932" s="16" t="n"/>
      <c r="C932" s="19" t="n"/>
      <c r="D932" s="19" t="n"/>
    </row>
    <row r="933" customFormat="1" s="94">
      <c r="A933" s="16" t="n"/>
      <c r="C933" s="19" t="n"/>
      <c r="D933" s="19" t="n"/>
    </row>
    <row r="934" customFormat="1" s="94">
      <c r="A934" s="16" t="n"/>
      <c r="C934" s="19" t="n"/>
      <c r="D934" s="19" t="n"/>
    </row>
    <row r="935" customFormat="1" s="94">
      <c r="A935" s="16" t="n"/>
      <c r="C935" s="19" t="n"/>
      <c r="D935" s="19" t="n"/>
    </row>
    <row r="936" customFormat="1" s="94">
      <c r="A936" s="16" t="n"/>
      <c r="C936" s="19" t="n"/>
      <c r="D936" s="19" t="n"/>
    </row>
    <row r="937" customFormat="1" s="94">
      <c r="A937" s="16" t="n"/>
      <c r="C937" s="19" t="n"/>
      <c r="D937" s="19" t="n"/>
    </row>
    <row r="938" customFormat="1" s="94">
      <c r="A938" s="16" t="n"/>
      <c r="C938" s="19" t="n"/>
      <c r="D938" s="19" t="n"/>
    </row>
    <row r="939" customFormat="1" s="94">
      <c r="A939" s="16" t="n"/>
      <c r="C939" s="19" t="n"/>
      <c r="D939" s="19" t="n"/>
    </row>
    <row r="940" customFormat="1" s="94">
      <c r="A940" s="16" t="n"/>
      <c r="C940" s="19" t="n"/>
      <c r="D940" s="19" t="n"/>
    </row>
    <row r="941" customFormat="1" s="94">
      <c r="A941" s="16" t="n"/>
      <c r="C941" s="19" t="n"/>
      <c r="D941" s="19" t="n"/>
    </row>
    <row r="942" customFormat="1" s="94">
      <c r="A942" s="16" t="n"/>
      <c r="C942" s="19" t="n"/>
      <c r="D942" s="19" t="n"/>
    </row>
    <row r="943" customFormat="1" s="94">
      <c r="A943" s="16" t="n"/>
      <c r="C943" s="19" t="n"/>
      <c r="D943" s="19" t="n"/>
    </row>
    <row r="944" customFormat="1" s="94">
      <c r="A944" s="16" t="n"/>
      <c r="C944" s="19" t="n"/>
      <c r="D944" s="19" t="n"/>
    </row>
    <row r="945" customFormat="1" s="94">
      <c r="A945" s="16" t="n"/>
      <c r="C945" s="19" t="n"/>
      <c r="D945" s="19" t="n"/>
    </row>
    <row r="946" customFormat="1" s="94">
      <c r="A946" s="16" t="n"/>
      <c r="C946" s="19" t="n"/>
      <c r="D946" s="19" t="n"/>
    </row>
    <row r="947" customFormat="1" s="94">
      <c r="A947" s="16" t="n"/>
      <c r="C947" s="19" t="n"/>
      <c r="D947" s="19" t="n"/>
    </row>
    <row r="948" customFormat="1" s="94">
      <c r="A948" s="16" t="n"/>
      <c r="C948" s="19" t="n"/>
      <c r="D948" s="19" t="n"/>
    </row>
    <row r="949" customFormat="1" s="94">
      <c r="A949" s="16" t="n"/>
      <c r="C949" s="19" t="n"/>
      <c r="D949" s="19" t="n"/>
    </row>
    <row r="950" customFormat="1" s="94">
      <c r="A950" s="16" t="n"/>
      <c r="C950" s="19" t="n"/>
      <c r="D950" s="19" t="n"/>
    </row>
    <row r="951" customFormat="1" s="94">
      <c r="A951" s="16" t="n"/>
      <c r="C951" s="19" t="n"/>
      <c r="D951" s="19" t="n"/>
    </row>
    <row r="952" customFormat="1" s="94">
      <c r="A952" s="16" t="n"/>
      <c r="C952" s="19" t="n"/>
      <c r="D952" s="19" t="n"/>
    </row>
    <row r="953" customFormat="1" s="94">
      <c r="A953" s="16" t="n"/>
      <c r="C953" s="19" t="n"/>
      <c r="D953" s="19" t="n"/>
    </row>
    <row r="954" customFormat="1" s="94">
      <c r="A954" s="16" t="n"/>
      <c r="C954" s="19" t="n"/>
      <c r="D954" s="19" t="n"/>
    </row>
    <row r="955" customFormat="1" s="94">
      <c r="A955" s="16" t="n"/>
      <c r="C955" s="19" t="n"/>
      <c r="D955" s="19" t="n"/>
    </row>
    <row r="956" customFormat="1" s="94">
      <c r="A956" s="16" t="n"/>
      <c r="C956" s="19" t="n"/>
      <c r="D956" s="19" t="n"/>
    </row>
    <row r="957" customFormat="1" s="94">
      <c r="A957" s="16" t="n"/>
      <c r="C957" s="19" t="n"/>
      <c r="D957" s="19" t="n"/>
    </row>
    <row r="958" customFormat="1" s="94">
      <c r="A958" s="16" t="n"/>
      <c r="C958" s="19" t="n"/>
      <c r="D958" s="19" t="n"/>
    </row>
    <row r="959" customFormat="1" s="94">
      <c r="A959" s="16" t="n"/>
      <c r="C959" s="19" t="n"/>
      <c r="D959" s="19" t="n"/>
    </row>
    <row r="960" customFormat="1" s="94">
      <c r="A960" s="16" t="n"/>
      <c r="C960" s="19" t="n"/>
      <c r="D960" s="19" t="n"/>
    </row>
    <row r="961" customFormat="1" s="94">
      <c r="A961" s="16" t="n"/>
      <c r="C961" s="19" t="n"/>
      <c r="D961" s="19" t="n"/>
    </row>
    <row r="962" customFormat="1" s="94">
      <c r="A962" s="16" t="n"/>
      <c r="C962" s="19" t="n"/>
      <c r="D962" s="19" t="n"/>
    </row>
    <row r="963" customFormat="1" s="94">
      <c r="A963" s="16" t="n"/>
      <c r="C963" s="19" t="n"/>
      <c r="D963" s="19" t="n"/>
    </row>
    <row r="964" customFormat="1" s="94">
      <c r="A964" s="16" t="n"/>
      <c r="C964" s="19" t="n"/>
      <c r="D964" s="19" t="n"/>
    </row>
    <row r="965" customFormat="1" s="94">
      <c r="A965" s="16" t="n"/>
      <c r="C965" s="19" t="n"/>
      <c r="D965" s="19" t="n"/>
    </row>
    <row r="966" customFormat="1" s="94">
      <c r="A966" s="16" t="n"/>
      <c r="C966" s="19" t="n"/>
      <c r="D966" s="19" t="n"/>
    </row>
    <row r="967" customFormat="1" s="94">
      <c r="A967" s="16" t="n"/>
      <c r="C967" s="19" t="n"/>
      <c r="D967" s="19" t="n"/>
    </row>
    <row r="968" customFormat="1" s="94">
      <c r="A968" s="16" t="n"/>
      <c r="C968" s="19" t="n"/>
      <c r="D968" s="19" t="n"/>
    </row>
    <row r="969" customFormat="1" s="94">
      <c r="A969" s="16" t="n"/>
      <c r="C969" s="19" t="n"/>
      <c r="D969" s="19" t="n"/>
    </row>
    <row r="970" customFormat="1" s="94">
      <c r="A970" s="16" t="n"/>
      <c r="C970" s="19" t="n"/>
      <c r="D970" s="19" t="n"/>
    </row>
    <row r="971" customFormat="1" s="94">
      <c r="A971" s="16" t="n"/>
      <c r="C971" s="19" t="n"/>
      <c r="D971" s="19" t="n"/>
    </row>
    <row r="972" customFormat="1" s="94">
      <c r="A972" s="16" t="n"/>
      <c r="C972" s="19" t="n"/>
      <c r="D972" s="19" t="n"/>
    </row>
    <row r="973" customFormat="1" s="94">
      <c r="A973" s="16" t="n"/>
      <c r="C973" s="19" t="n"/>
      <c r="D973" s="19" t="n"/>
    </row>
    <row r="974" customFormat="1" s="94">
      <c r="A974" s="16" t="n"/>
      <c r="C974" s="19" t="n"/>
      <c r="D974" s="19" t="n"/>
    </row>
    <row r="975" customFormat="1" s="94">
      <c r="A975" s="16" t="n"/>
      <c r="C975" s="19" t="n"/>
      <c r="D975" s="19" t="n"/>
    </row>
    <row r="976" customFormat="1" s="94">
      <c r="A976" s="16" t="n"/>
      <c r="C976" s="19" t="n"/>
      <c r="D976" s="19" t="n"/>
    </row>
    <row r="977" customFormat="1" s="94">
      <c r="A977" s="16" t="n"/>
      <c r="C977" s="19" t="n"/>
      <c r="D977" s="19" t="n"/>
    </row>
    <row r="978" customFormat="1" s="94">
      <c r="A978" s="16" t="n"/>
      <c r="C978" s="19" t="n"/>
      <c r="D978" s="19" t="n"/>
    </row>
    <row r="979" customFormat="1" s="94">
      <c r="A979" s="16" t="n"/>
      <c r="C979" s="19" t="n"/>
      <c r="D979" s="19" t="n"/>
    </row>
    <row r="980" customFormat="1" s="94">
      <c r="A980" s="16" t="n"/>
      <c r="C980" s="19" t="n"/>
      <c r="D980" s="19" t="n"/>
    </row>
    <row r="981" customFormat="1" s="94">
      <c r="A981" s="16" t="n"/>
      <c r="C981" s="19" t="n"/>
      <c r="D981" s="19" t="n"/>
    </row>
    <row r="982" customFormat="1" s="94">
      <c r="A982" s="16" t="n"/>
      <c r="C982" s="19" t="n"/>
      <c r="D982" s="19" t="n"/>
    </row>
    <row r="983" customFormat="1" s="94">
      <c r="A983" s="16" t="n"/>
      <c r="C983" s="19" t="n"/>
      <c r="D983" s="19" t="n"/>
    </row>
    <row r="984" customFormat="1" s="94">
      <c r="A984" s="16" t="n"/>
      <c r="C984" s="19" t="n"/>
      <c r="D984" s="19" t="n"/>
    </row>
    <row r="985" customFormat="1" s="94">
      <c r="A985" s="16" t="n"/>
      <c r="C985" s="19" t="n"/>
      <c r="D985" s="19" t="n"/>
    </row>
    <row r="986" customFormat="1" s="94">
      <c r="A986" s="16" t="n"/>
      <c r="C986" s="19" t="n"/>
      <c r="D986" s="19" t="n"/>
    </row>
    <row r="987" customFormat="1" s="94">
      <c r="A987" s="16" t="n"/>
      <c r="C987" s="19" t="n"/>
      <c r="D987" s="19" t="n"/>
    </row>
    <row r="988" customFormat="1" s="94">
      <c r="A988" s="16" t="n"/>
      <c r="C988" s="19" t="n"/>
      <c r="D988" s="19" t="n"/>
    </row>
    <row r="989" customFormat="1" s="94">
      <c r="A989" s="16" t="n"/>
      <c r="C989" s="19" t="n"/>
      <c r="D989" s="19" t="n"/>
    </row>
    <row r="990" customFormat="1" s="94">
      <c r="A990" s="16" t="n"/>
      <c r="C990" s="19" t="n"/>
      <c r="D990" s="19" t="n"/>
    </row>
    <row r="991" customFormat="1" s="94">
      <c r="A991" s="16" t="n"/>
      <c r="C991" s="19" t="n"/>
      <c r="D991" s="19" t="n"/>
    </row>
    <row r="992" customFormat="1" s="94">
      <c r="A992" s="16" t="n"/>
      <c r="C992" s="19" t="n"/>
      <c r="D992" s="19" t="n"/>
    </row>
    <row r="993" customFormat="1" s="94">
      <c r="A993" s="16" t="n"/>
      <c r="C993" s="19" t="n"/>
      <c r="D993" s="19" t="n"/>
    </row>
    <row r="994" customFormat="1" s="94">
      <c r="A994" s="16" t="n"/>
      <c r="C994" s="19" t="n"/>
      <c r="D994" s="19" t="n"/>
    </row>
    <row r="995" customFormat="1" s="94">
      <c r="A995" s="16" t="n"/>
      <c r="C995" s="19" t="n"/>
      <c r="D995" s="19" t="n"/>
    </row>
    <row r="996" customFormat="1" s="94">
      <c r="A996" s="16" t="n"/>
      <c r="C996" s="19" t="n"/>
      <c r="D996" s="19" t="n"/>
    </row>
    <row r="997" customFormat="1" s="94">
      <c r="A997" s="16" t="n"/>
      <c r="C997" s="19" t="n"/>
      <c r="D997" s="19" t="n"/>
    </row>
    <row r="998" customFormat="1" s="94">
      <c r="A998" s="16" t="n"/>
      <c r="C998" s="19" t="n"/>
      <c r="D998" s="19" t="n"/>
    </row>
    <row r="999" customFormat="1" s="94">
      <c r="A999" s="16" t="n"/>
      <c r="C999" s="19" t="n"/>
      <c r="D999" s="19" t="n"/>
    </row>
    <row r="1000" customFormat="1" s="94">
      <c r="A1000" s="16" t="n"/>
      <c r="C1000" s="19" t="n"/>
      <c r="D1000" s="19" t="n"/>
    </row>
    <row r="1001" customFormat="1" s="94">
      <c r="A1001" s="16" t="n"/>
      <c r="C1001" s="19" t="n"/>
      <c r="D1001" s="19" t="n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D363"/>
  <sheetViews>
    <sheetView zoomScale="150" zoomScaleNormal="150" workbookViewId="0">
      <pane ySplit="7" topLeftCell="A327" activePane="bottomLeft" state="frozen"/>
      <selection pane="bottomLeft" activeCell="C363" sqref="C363"/>
    </sheetView>
  </sheetViews>
  <sheetFormatPr baseColWidth="10" defaultColWidth="9.1640625" defaultRowHeight="15"/>
  <cols>
    <col width="11.33203125" customWidth="1" style="44" min="1" max="1"/>
    <col width="23.1640625" customWidth="1" style="21" min="2" max="2"/>
    <col width="15.6640625" customWidth="1" style="68" min="3" max="3"/>
    <col width="10.6640625" bestFit="1" customWidth="1" style="94" min="4" max="4"/>
    <col width="9.1640625" customWidth="1" style="94" min="5" max="14"/>
    <col width="9.1640625" customWidth="1" style="94" min="15" max="16384"/>
  </cols>
  <sheetData>
    <row r="1">
      <c r="A1" s="81" t="inlineStr">
        <is>
          <t>https://www.investing.com/economic-calendar/chinese-industrial-production-462</t>
        </is>
      </c>
    </row>
    <row r="6" ht="16" customHeight="1" s="82" thickBot="1"/>
    <row r="7" ht="44.25" customHeight="1" s="82" thickBot="1">
      <c r="A7" s="47" t="inlineStr">
        <is>
          <t>Date</t>
        </is>
      </c>
      <c r="B7" s="46" t="inlineStr">
        <is>
          <t>China Industrial Production YoY</t>
        </is>
      </c>
      <c r="C7" s="48" t="inlineStr">
        <is>
          <t>HSBC China PMI</t>
        </is>
      </c>
    </row>
    <row r="8">
      <c r="A8" s="71" t="n">
        <v>32932</v>
      </c>
      <c r="B8" s="72" t="n">
        <v>0.05</v>
      </c>
      <c r="D8" s="44">
        <f>EOMONTH(Table3[[#This Row],[Date]],-1)-1</f>
        <v/>
      </c>
    </row>
    <row r="9">
      <c r="A9" s="84" t="n">
        <v>32963</v>
      </c>
      <c r="B9" s="73" t="n">
        <v>0.008</v>
      </c>
    </row>
    <row r="10">
      <c r="A10" s="83" t="n">
        <v>32993</v>
      </c>
      <c r="B10" s="74" t="n">
        <v>0.017</v>
      </c>
    </row>
    <row r="11">
      <c r="A11" s="84" t="n">
        <v>33024</v>
      </c>
      <c r="B11" s="73" t="n">
        <v>0.033</v>
      </c>
    </row>
    <row r="12">
      <c r="A12" s="83" t="n">
        <v>33054</v>
      </c>
      <c r="B12" s="74" t="n">
        <v>0.05</v>
      </c>
    </row>
    <row r="13">
      <c r="A13" s="84" t="n">
        <v>33085</v>
      </c>
      <c r="B13" s="73" t="n">
        <v>0.025</v>
      </c>
    </row>
    <row r="14">
      <c r="A14" s="83" t="n">
        <v>33116</v>
      </c>
      <c r="B14" s="74" t="n">
        <v>0.042</v>
      </c>
    </row>
    <row r="15">
      <c r="A15" s="84" t="n">
        <v>33146</v>
      </c>
      <c r="B15" s="73" t="n">
        <v>0.067</v>
      </c>
    </row>
    <row r="16">
      <c r="A16" s="83" t="n">
        <v>33177</v>
      </c>
      <c r="B16" s="74" t="n">
        <v>0.109</v>
      </c>
    </row>
    <row r="17">
      <c r="A17" s="84" t="n">
        <v>33207</v>
      </c>
      <c r="B17" s="73" t="n">
        <v>0.126</v>
      </c>
    </row>
    <row r="18">
      <c r="A18" s="83" t="n">
        <v>33238</v>
      </c>
      <c r="B18" s="74" t="n">
        <v>0.126</v>
      </c>
    </row>
    <row r="19">
      <c r="A19" s="84" t="n">
        <v>33269</v>
      </c>
      <c r="B19" s="73" t="n">
        <v>0.235</v>
      </c>
    </row>
    <row r="20">
      <c r="A20" s="83" t="n">
        <v>33297</v>
      </c>
      <c r="B20" s="74" t="n">
        <v>0.092</v>
      </c>
    </row>
    <row r="21">
      <c r="A21" s="84" t="n">
        <v>33328</v>
      </c>
      <c r="B21" s="73" t="n">
        <v>0.109</v>
      </c>
    </row>
    <row r="22">
      <c r="A22" s="83" t="n">
        <v>33358</v>
      </c>
      <c r="B22" s="74" t="n">
        <v>0.109</v>
      </c>
    </row>
    <row r="23">
      <c r="A23" s="84" t="n">
        <v>33389</v>
      </c>
      <c r="B23" s="73" t="n">
        <v>0.109</v>
      </c>
    </row>
    <row r="24">
      <c r="A24" s="83" t="n">
        <v>33419</v>
      </c>
      <c r="B24" s="74" t="n">
        <v>0.092</v>
      </c>
    </row>
    <row r="25">
      <c r="A25" s="84" t="n">
        <v>33450</v>
      </c>
      <c r="B25" s="73" t="n">
        <v>0.109</v>
      </c>
    </row>
    <row r="26">
      <c r="A26" s="83" t="n">
        <v>33481</v>
      </c>
      <c r="B26" s="74" t="n">
        <v>0.118</v>
      </c>
    </row>
    <row r="27">
      <c r="A27" s="84" t="n">
        <v>33511</v>
      </c>
      <c r="B27" s="73" t="n">
        <v>0.126</v>
      </c>
    </row>
    <row r="28">
      <c r="A28" s="83" t="n">
        <v>33542</v>
      </c>
      <c r="B28" s="74" t="n">
        <v>0.118</v>
      </c>
    </row>
    <row r="29">
      <c r="A29" s="84" t="n">
        <v>33572</v>
      </c>
      <c r="B29" s="73" t="n">
        <v>0.076</v>
      </c>
    </row>
    <row r="30">
      <c r="A30" s="83" t="n">
        <v>33603</v>
      </c>
      <c r="B30" s="74" t="n">
        <v>0.05</v>
      </c>
    </row>
    <row r="31">
      <c r="A31" s="84" t="n">
        <v>33634</v>
      </c>
      <c r="B31" s="73" t="n">
        <v>0.109</v>
      </c>
    </row>
    <row r="32">
      <c r="A32" s="83" t="n">
        <v>33663</v>
      </c>
      <c r="B32" s="74" t="n">
        <v>0.185</v>
      </c>
    </row>
    <row r="33">
      <c r="A33" s="84" t="n">
        <v>33694</v>
      </c>
      <c r="B33" s="73" t="n">
        <v>0.168</v>
      </c>
    </row>
    <row r="34">
      <c r="A34" s="83" t="n">
        <v>33724</v>
      </c>
      <c r="B34" s="74" t="n">
        <v>0.151</v>
      </c>
    </row>
    <row r="35">
      <c r="A35" s="84" t="n">
        <v>33755</v>
      </c>
      <c r="B35" s="73" t="n">
        <v>0.143</v>
      </c>
    </row>
    <row r="36">
      <c r="A36" s="83" t="n">
        <v>33785</v>
      </c>
      <c r="B36" s="74" t="n">
        <v>0.168</v>
      </c>
    </row>
    <row r="37">
      <c r="A37" s="84" t="n">
        <v>33816</v>
      </c>
      <c r="B37" s="73" t="n">
        <v>0.193</v>
      </c>
    </row>
    <row r="38">
      <c r="A38" s="83" t="n">
        <v>33847</v>
      </c>
      <c r="B38" s="74" t="n">
        <v>0.176</v>
      </c>
    </row>
    <row r="39">
      <c r="A39" s="84" t="n">
        <v>33877</v>
      </c>
      <c r="B39" s="73" t="n">
        <v>0.176</v>
      </c>
    </row>
    <row r="40">
      <c r="A40" s="83" t="n">
        <v>33908</v>
      </c>
      <c r="B40" s="74" t="n">
        <v>0.185</v>
      </c>
    </row>
    <row r="41">
      <c r="A41" s="84" t="n">
        <v>33938</v>
      </c>
      <c r="B41" s="73" t="n">
        <v>0.218</v>
      </c>
    </row>
    <row r="42">
      <c r="A42" s="83" t="n">
        <v>33969</v>
      </c>
      <c r="B42" s="74" t="n">
        <v>0.269</v>
      </c>
    </row>
    <row r="43">
      <c r="A43" s="84" t="n">
        <v>34000</v>
      </c>
      <c r="B43" s="73" t="n">
        <v>0.08400000000000001</v>
      </c>
    </row>
    <row r="44">
      <c r="A44" s="83" t="n">
        <v>34028</v>
      </c>
      <c r="B44" s="74" t="n">
        <v>0.277</v>
      </c>
    </row>
    <row r="45">
      <c r="A45" s="84" t="n">
        <v>34059</v>
      </c>
      <c r="B45" s="73" t="n">
        <v>0.218</v>
      </c>
    </row>
    <row r="46">
      <c r="A46" s="83" t="n">
        <v>34089</v>
      </c>
      <c r="B46" s="74" t="n">
        <v>0.21</v>
      </c>
    </row>
    <row r="47">
      <c r="A47" s="84" t="n">
        <v>34120</v>
      </c>
      <c r="B47" s="73" t="n">
        <v>0.227</v>
      </c>
    </row>
    <row r="48">
      <c r="A48" s="83" t="n">
        <v>34150</v>
      </c>
      <c r="B48" s="74" t="n">
        <v>0.252</v>
      </c>
    </row>
    <row r="49">
      <c r="A49" s="84" t="n">
        <v>34181</v>
      </c>
      <c r="B49" s="73" t="n">
        <v>0.21</v>
      </c>
    </row>
    <row r="50">
      <c r="A50" s="83" t="n">
        <v>34212</v>
      </c>
      <c r="B50" s="74" t="n">
        <v>0.193</v>
      </c>
    </row>
    <row r="51">
      <c r="A51" s="84" t="n">
        <v>34242</v>
      </c>
      <c r="B51" s="73" t="n">
        <v>0.16</v>
      </c>
    </row>
    <row r="52">
      <c r="A52" s="83" t="n">
        <v>34273</v>
      </c>
      <c r="B52" s="74" t="n">
        <v>0.134</v>
      </c>
    </row>
    <row r="53">
      <c r="A53" s="84" t="n">
        <v>34303</v>
      </c>
      <c r="B53" s="73" t="n">
        <v>0.16</v>
      </c>
    </row>
    <row r="54">
      <c r="A54" s="83" t="n">
        <v>34334</v>
      </c>
      <c r="B54" s="74" t="n">
        <v>0.252</v>
      </c>
    </row>
    <row r="55">
      <c r="A55" s="84" t="n">
        <v>34365</v>
      </c>
      <c r="B55" s="73" t="n">
        <v>0.277</v>
      </c>
    </row>
    <row r="56">
      <c r="A56" s="83" t="n">
        <v>34393</v>
      </c>
      <c r="B56" s="74" t="n">
        <v>0.034</v>
      </c>
    </row>
    <row r="57">
      <c r="A57" s="84" t="n">
        <v>34424</v>
      </c>
      <c r="B57" s="73" t="n">
        <v>0.16</v>
      </c>
    </row>
    <row r="58">
      <c r="A58" s="83" t="n">
        <v>34454</v>
      </c>
      <c r="B58" s="74" t="n">
        <v>0.168</v>
      </c>
    </row>
    <row r="59">
      <c r="A59" s="84" t="n">
        <v>34485</v>
      </c>
      <c r="B59" s="73" t="n">
        <v>0.176</v>
      </c>
    </row>
    <row r="60">
      <c r="A60" s="83" t="n">
        <v>34515</v>
      </c>
      <c r="B60" s="74" t="n">
        <v>0.151</v>
      </c>
    </row>
    <row r="61">
      <c r="A61" s="84" t="n">
        <v>34546</v>
      </c>
      <c r="B61" s="73" t="n">
        <v>0.151</v>
      </c>
    </row>
    <row r="62">
      <c r="A62" s="83" t="n">
        <v>34577</v>
      </c>
      <c r="B62" s="74" t="n">
        <v>0.294</v>
      </c>
    </row>
    <row r="63">
      <c r="A63" s="84" t="n">
        <v>34607</v>
      </c>
      <c r="B63" s="73" t="n">
        <v>0.218</v>
      </c>
    </row>
    <row r="64">
      <c r="A64" s="83" t="n">
        <v>34638</v>
      </c>
      <c r="B64" s="74" t="n">
        <v>0.244</v>
      </c>
    </row>
    <row r="65">
      <c r="A65" s="84" t="n">
        <v>34668</v>
      </c>
      <c r="B65" s="73" t="n">
        <v>0.235</v>
      </c>
    </row>
    <row r="66">
      <c r="A66" s="83" t="n">
        <v>34699</v>
      </c>
      <c r="B66" s="74" t="n">
        <v>0.185</v>
      </c>
    </row>
    <row r="67">
      <c r="A67" s="84" t="n">
        <v>34730</v>
      </c>
      <c r="B67" s="73" t="n">
        <v>0.114</v>
      </c>
    </row>
    <row r="68">
      <c r="A68" s="83" t="n">
        <v>34758</v>
      </c>
      <c r="B68" s="74" t="n">
        <v>0.155</v>
      </c>
    </row>
    <row r="69">
      <c r="A69" s="84" t="n">
        <v>34789</v>
      </c>
      <c r="B69" s="73" t="n">
        <v>0.164</v>
      </c>
    </row>
    <row r="70">
      <c r="A70" s="83" t="n">
        <v>34819</v>
      </c>
      <c r="B70" s="74" t="n">
        <v>0.154</v>
      </c>
    </row>
    <row r="71">
      <c r="A71" s="84" t="n">
        <v>34850</v>
      </c>
      <c r="B71" s="73" t="n">
        <v>0.131</v>
      </c>
    </row>
    <row r="72">
      <c r="A72" s="83" t="n">
        <v>34880</v>
      </c>
      <c r="B72" s="74" t="n">
        <v>0.139</v>
      </c>
    </row>
    <row r="73">
      <c r="A73" s="84" t="n">
        <v>34911</v>
      </c>
      <c r="B73" s="73" t="n">
        <v>0.136</v>
      </c>
    </row>
    <row r="74">
      <c r="A74" s="83" t="n">
        <v>34942</v>
      </c>
      <c r="B74" s="74" t="n">
        <v>0.118</v>
      </c>
    </row>
    <row r="75">
      <c r="A75" s="84" t="n">
        <v>34972</v>
      </c>
      <c r="B75" s="73" t="n">
        <v>0.114</v>
      </c>
    </row>
    <row r="76">
      <c r="A76" s="83" t="n">
        <v>35003</v>
      </c>
      <c r="B76" s="74" t="n">
        <v>0.129</v>
      </c>
    </row>
    <row r="77">
      <c r="A77" s="84" t="n">
        <v>35033</v>
      </c>
      <c r="B77" s="73" t="n">
        <v>0.121</v>
      </c>
    </row>
    <row r="78">
      <c r="A78" s="83" t="n">
        <v>35064</v>
      </c>
      <c r="B78" s="74" t="n">
        <v>0.149</v>
      </c>
    </row>
    <row r="79">
      <c r="A79" s="84" t="n">
        <v>35095</v>
      </c>
      <c r="B79" s="73" t="n">
        <v>0.169</v>
      </c>
    </row>
    <row r="80">
      <c r="A80" s="83" t="n">
        <v>35124</v>
      </c>
      <c r="B80" s="74" t="n">
        <v>0.122</v>
      </c>
    </row>
    <row r="81">
      <c r="A81" s="84" t="n">
        <v>35155</v>
      </c>
      <c r="B81" s="73" t="n">
        <v>0.122</v>
      </c>
    </row>
    <row r="82">
      <c r="A82" s="83" t="n">
        <v>35185</v>
      </c>
      <c r="B82" s="74" t="n">
        <v>0.137</v>
      </c>
    </row>
    <row r="83">
      <c r="A83" s="84" t="n">
        <v>35216</v>
      </c>
      <c r="B83" s="73" t="n">
        <v>0.131</v>
      </c>
    </row>
    <row r="84">
      <c r="A84" s="83" t="n">
        <v>35246</v>
      </c>
      <c r="B84" s="74" t="n">
        <v>0.138</v>
      </c>
    </row>
    <row r="85">
      <c r="A85" s="84" t="n">
        <v>35277</v>
      </c>
      <c r="B85" s="73" t="n">
        <v>0.122</v>
      </c>
    </row>
    <row r="86">
      <c r="A86" s="83" t="n">
        <v>35308</v>
      </c>
      <c r="B86" s="74" t="n">
        <v>0.106</v>
      </c>
    </row>
    <row r="87">
      <c r="A87" s="84" t="n">
        <v>35338</v>
      </c>
      <c r="B87" s="73" t="n">
        <v>0.137</v>
      </c>
    </row>
    <row r="88">
      <c r="A88" s="83" t="n">
        <v>35369</v>
      </c>
      <c r="B88" s="74" t="n">
        <v>0.133</v>
      </c>
    </row>
    <row r="89">
      <c r="A89" s="84" t="n">
        <v>35399</v>
      </c>
      <c r="B89" s="73" t="n">
        <v>0.134</v>
      </c>
    </row>
    <row r="90">
      <c r="A90" s="83" t="n">
        <v>35430</v>
      </c>
      <c r="B90" s="74" t="n">
        <v>0.14</v>
      </c>
    </row>
    <row r="91">
      <c r="A91" s="84" t="n">
        <v>35461</v>
      </c>
      <c r="B91" s="73" t="n">
        <v>0.103</v>
      </c>
    </row>
    <row r="92">
      <c r="A92" s="83" t="n">
        <v>35489</v>
      </c>
      <c r="B92" s="74" t="n">
        <v>0.104</v>
      </c>
    </row>
    <row r="93">
      <c r="A93" s="84" t="n">
        <v>35520</v>
      </c>
      <c r="B93" s="73" t="n">
        <v>0.135</v>
      </c>
    </row>
    <row r="94">
      <c r="A94" s="83" t="n">
        <v>35550</v>
      </c>
      <c r="B94" s="74" t="n">
        <v>0.119</v>
      </c>
    </row>
    <row r="95">
      <c r="A95" s="84" t="n">
        <v>35581</v>
      </c>
      <c r="B95" s="73" t="n">
        <v>0.119</v>
      </c>
    </row>
    <row r="96">
      <c r="A96" s="83" t="n">
        <v>35611</v>
      </c>
      <c r="B96" s="74" t="n">
        <v>0.121</v>
      </c>
    </row>
    <row r="97">
      <c r="A97" s="84" t="n">
        <v>35642</v>
      </c>
      <c r="B97" s="73" t="n">
        <v>0.08400000000000001</v>
      </c>
    </row>
    <row r="98">
      <c r="A98" s="83" t="n">
        <v>35673</v>
      </c>
      <c r="B98" s="74" t="n">
        <v>0.109</v>
      </c>
    </row>
    <row r="99">
      <c r="A99" s="84" t="n">
        <v>35703</v>
      </c>
      <c r="B99" s="73" t="n">
        <v>0.111</v>
      </c>
    </row>
    <row r="100">
      <c r="A100" s="83" t="n">
        <v>35734</v>
      </c>
      <c r="B100" s="74" t="n">
        <v>0.118</v>
      </c>
    </row>
    <row r="101">
      <c r="A101" s="84" t="n">
        <v>35764</v>
      </c>
      <c r="B101" s="73" t="n">
        <v>0.116</v>
      </c>
    </row>
    <row r="102">
      <c r="A102" s="83" t="n">
        <v>35795</v>
      </c>
      <c r="B102" s="74" t="n">
        <v>0.092</v>
      </c>
    </row>
    <row r="103">
      <c r="A103" s="84" t="n">
        <v>35826</v>
      </c>
      <c r="B103" s="73" t="n">
        <v>0.018</v>
      </c>
    </row>
    <row r="104">
      <c r="A104" s="83" t="n">
        <v>35854</v>
      </c>
      <c r="B104" s="74" t="n">
        <v>0.095</v>
      </c>
    </row>
    <row r="105">
      <c r="A105" s="84" t="n">
        <v>35885</v>
      </c>
      <c r="B105" s="73" t="n">
        <v>0.09</v>
      </c>
    </row>
    <row r="106">
      <c r="A106" s="83" t="n">
        <v>35915</v>
      </c>
      <c r="B106" s="74" t="n">
        <v>0.07199999999999999</v>
      </c>
    </row>
    <row r="107">
      <c r="A107" s="84" t="n">
        <v>35946</v>
      </c>
      <c r="B107" s="73" t="n">
        <v>0.08</v>
      </c>
    </row>
    <row r="108">
      <c r="A108" s="83" t="n">
        <v>35976</v>
      </c>
      <c r="B108" s="74" t="n">
        <v>0.079</v>
      </c>
    </row>
    <row r="109">
      <c r="A109" s="84" t="n">
        <v>36007</v>
      </c>
      <c r="B109" s="73" t="n">
        <v>0.076</v>
      </c>
    </row>
    <row r="110">
      <c r="A110" s="83" t="n">
        <v>36038</v>
      </c>
      <c r="B110" s="74" t="n">
        <v>0.079</v>
      </c>
    </row>
    <row r="111">
      <c r="A111" s="84" t="n">
        <v>36068</v>
      </c>
      <c r="B111" s="73" t="n">
        <v>0.102</v>
      </c>
    </row>
    <row r="112">
      <c r="A112" s="83" t="n">
        <v>36099</v>
      </c>
      <c r="B112" s="74" t="n">
        <v>0.106</v>
      </c>
    </row>
    <row r="113">
      <c r="A113" s="84" t="n">
        <v>36129</v>
      </c>
      <c r="B113" s="73" t="n">
        <v>0.11</v>
      </c>
    </row>
    <row r="114">
      <c r="A114" s="83" t="n">
        <v>36160</v>
      </c>
      <c r="B114" s="74" t="n">
        <v>0.115</v>
      </c>
    </row>
    <row r="115">
      <c r="A115" s="84" t="n">
        <v>36191</v>
      </c>
      <c r="B115" s="73" t="n">
        <v>0.179</v>
      </c>
    </row>
    <row r="116">
      <c r="A116" s="83" t="n">
        <v>36219</v>
      </c>
      <c r="B116" s="74" t="n">
        <v>0.021</v>
      </c>
    </row>
    <row r="117">
      <c r="A117" s="84" t="n">
        <v>36250</v>
      </c>
      <c r="B117" s="73" t="n">
        <v>0.09</v>
      </c>
    </row>
    <row r="118">
      <c r="A118" s="83" t="n">
        <v>36280</v>
      </c>
      <c r="B118" s="74" t="n">
        <v>0.091</v>
      </c>
    </row>
    <row r="119">
      <c r="A119" s="84" t="n">
        <v>36311</v>
      </c>
      <c r="B119" s="73" t="n">
        <v>0.089</v>
      </c>
    </row>
    <row r="120">
      <c r="A120" s="83" t="n">
        <v>36341</v>
      </c>
      <c r="B120" s="74" t="n">
        <v>0.091</v>
      </c>
    </row>
    <row r="121">
      <c r="A121" s="84" t="n">
        <v>36372</v>
      </c>
      <c r="B121" s="73" t="n">
        <v>0.093</v>
      </c>
    </row>
    <row r="122">
      <c r="A122" s="83" t="n">
        <v>36403</v>
      </c>
      <c r="B122" s="74" t="n">
        <v>0.095</v>
      </c>
    </row>
    <row r="123">
      <c r="A123" s="84" t="n">
        <v>36433</v>
      </c>
      <c r="B123" s="73" t="n">
        <v>0.082</v>
      </c>
    </row>
    <row r="124">
      <c r="A124" s="83" t="n">
        <v>36464</v>
      </c>
      <c r="B124" s="74" t="n">
        <v>0.07000000000000001</v>
      </c>
    </row>
    <row r="125">
      <c r="A125" s="84" t="n">
        <v>36494</v>
      </c>
      <c r="B125" s="73" t="n">
        <v>0.076</v>
      </c>
    </row>
    <row r="126">
      <c r="A126" s="83" t="n">
        <v>36525</v>
      </c>
      <c r="B126" s="74" t="n">
        <v>0.074</v>
      </c>
    </row>
    <row r="127">
      <c r="A127" s="84" t="n">
        <v>36556</v>
      </c>
      <c r="B127" s="73" t="n">
        <v>0.089</v>
      </c>
    </row>
    <row r="128">
      <c r="A128" s="83" t="n">
        <v>36585</v>
      </c>
      <c r="B128" s="74" t="n">
        <v>0.12</v>
      </c>
    </row>
    <row r="129">
      <c r="A129" s="84" t="n">
        <v>36616</v>
      </c>
      <c r="B129" s="73" t="n">
        <v>0.119</v>
      </c>
    </row>
    <row r="130">
      <c r="A130" s="83" t="n">
        <v>36646</v>
      </c>
      <c r="B130" s="74" t="n">
        <v>0.114</v>
      </c>
    </row>
    <row r="131">
      <c r="A131" s="84" t="n">
        <v>36677</v>
      </c>
      <c r="B131" s="73" t="n">
        <v>0.115</v>
      </c>
    </row>
    <row r="132">
      <c r="A132" s="83" t="n">
        <v>36707</v>
      </c>
      <c r="B132" s="74" t="n">
        <v>0.122</v>
      </c>
    </row>
    <row r="133">
      <c r="A133" s="84" t="n">
        <v>36738</v>
      </c>
      <c r="B133" s="73" t="n">
        <v>0.128</v>
      </c>
    </row>
    <row r="134">
      <c r="A134" s="83" t="n">
        <v>36769</v>
      </c>
      <c r="B134" s="74" t="n">
        <v>0.128</v>
      </c>
    </row>
    <row r="135">
      <c r="A135" s="84" t="n">
        <v>36799</v>
      </c>
      <c r="B135" s="73" t="n">
        <v>0.12</v>
      </c>
    </row>
    <row r="136">
      <c r="A136" s="83" t="n">
        <v>36830</v>
      </c>
      <c r="B136" s="74" t="n">
        <v>0.114</v>
      </c>
    </row>
    <row r="137">
      <c r="A137" s="84" t="n">
        <v>36860</v>
      </c>
      <c r="B137" s="73" t="n">
        <v>0.106</v>
      </c>
    </row>
    <row r="138">
      <c r="A138" s="83" t="n">
        <v>36891</v>
      </c>
      <c r="B138" s="74" t="n">
        <v>0.104</v>
      </c>
    </row>
    <row r="139">
      <c r="A139" s="84" t="n">
        <v>36922</v>
      </c>
      <c r="B139" s="73" t="n">
        <v>0.023</v>
      </c>
    </row>
    <row r="140">
      <c r="A140" s="83" t="n">
        <v>36950</v>
      </c>
      <c r="B140" s="74" t="n">
        <v>0.19</v>
      </c>
    </row>
    <row r="141">
      <c r="A141" s="84" t="n">
        <v>36981</v>
      </c>
      <c r="B141" s="73" t="n">
        <v>0.121</v>
      </c>
    </row>
    <row r="142">
      <c r="A142" s="83" t="n">
        <v>37011</v>
      </c>
      <c r="B142" s="74" t="n">
        <v>0.115</v>
      </c>
    </row>
    <row r="143">
      <c r="A143" s="84" t="n">
        <v>37042</v>
      </c>
      <c r="B143" s="73" t="n">
        <v>0.102</v>
      </c>
    </row>
    <row r="144">
      <c r="A144" s="83" t="n">
        <v>37072</v>
      </c>
      <c r="B144" s="74" t="n">
        <v>0.101</v>
      </c>
    </row>
    <row r="145">
      <c r="A145" s="84" t="n">
        <v>37103</v>
      </c>
      <c r="B145" s="73" t="n">
        <v>0.081</v>
      </c>
    </row>
    <row r="146">
      <c r="A146" s="83" t="n">
        <v>37134</v>
      </c>
      <c r="B146" s="74" t="n">
        <v>0.081</v>
      </c>
    </row>
    <row r="147">
      <c r="A147" s="84" t="n">
        <v>37164</v>
      </c>
      <c r="B147" s="73" t="n">
        <v>0.095</v>
      </c>
    </row>
    <row r="148">
      <c r="A148" s="83" t="n">
        <v>37195</v>
      </c>
      <c r="B148" s="74" t="n">
        <v>0.08799999999999999</v>
      </c>
    </row>
    <row r="149">
      <c r="A149" s="84" t="n">
        <v>37225</v>
      </c>
      <c r="B149" s="73" t="n">
        <v>0.079</v>
      </c>
    </row>
    <row r="150">
      <c r="A150" s="83" t="n">
        <v>37256</v>
      </c>
      <c r="B150" s="74" t="n">
        <v>0.08699999999999999</v>
      </c>
    </row>
    <row r="151">
      <c r="A151" s="84" t="n">
        <v>37287</v>
      </c>
      <c r="B151" s="73" t="n">
        <v>0.186</v>
      </c>
    </row>
    <row r="152">
      <c r="A152" s="83" t="n">
        <v>37315</v>
      </c>
      <c r="B152" s="74" t="n">
        <v>0.027</v>
      </c>
    </row>
    <row r="153">
      <c r="A153" s="84" t="n">
        <v>37346</v>
      </c>
      <c r="B153" s="73" t="n">
        <v>0.109</v>
      </c>
    </row>
    <row r="154">
      <c r="A154" s="83" t="n">
        <v>37376</v>
      </c>
      <c r="B154" s="74" t="n">
        <v>0.121</v>
      </c>
    </row>
    <row r="155">
      <c r="A155" s="84" t="n">
        <v>37407</v>
      </c>
      <c r="B155" s="73" t="n">
        <v>0.129</v>
      </c>
    </row>
    <row r="156">
      <c r="A156" s="83" t="n">
        <v>37437</v>
      </c>
      <c r="B156" s="74" t="n">
        <v>0.124</v>
      </c>
    </row>
    <row r="157">
      <c r="A157" s="84" t="n">
        <v>37468</v>
      </c>
      <c r="B157" s="73" t="n">
        <v>0.128</v>
      </c>
    </row>
    <row r="158">
      <c r="A158" s="83" t="n">
        <v>37499</v>
      </c>
      <c r="B158" s="74" t="n">
        <v>0.127</v>
      </c>
    </row>
    <row r="159">
      <c r="A159" s="84" t="n">
        <v>37529</v>
      </c>
      <c r="B159" s="73" t="n">
        <v>0.138</v>
      </c>
    </row>
    <row r="160">
      <c r="A160" s="75" t="n">
        <v>37560</v>
      </c>
      <c r="B160" s="76" t="n">
        <v>0.142</v>
      </c>
    </row>
    <row r="161">
      <c r="A161" s="85" t="n">
        <v>37590</v>
      </c>
      <c r="B161" s="23" t="n">
        <v>0.145</v>
      </c>
      <c r="C161" s="86" t="n"/>
    </row>
    <row r="162">
      <c r="A162" s="87" t="n">
        <v>37621</v>
      </c>
      <c r="B162" s="45" t="n">
        <v>0.149</v>
      </c>
      <c r="C162" s="86" t="n"/>
    </row>
    <row r="163">
      <c r="A163" s="85" t="n">
        <v>37652</v>
      </c>
      <c r="B163" s="23" t="n">
        <v>0.148</v>
      </c>
      <c r="C163" s="86" t="n"/>
    </row>
    <row r="164">
      <c r="A164" s="87" t="n">
        <v>37680</v>
      </c>
      <c r="B164" s="45" t="n">
        <v>0.198</v>
      </c>
      <c r="C164" s="86" t="n"/>
    </row>
    <row r="165">
      <c r="A165" s="85" t="n">
        <v>37711</v>
      </c>
      <c r="B165" s="23" t="n">
        <v>0.169</v>
      </c>
      <c r="C165" s="86" t="n"/>
    </row>
    <row r="166">
      <c r="A166" s="87" t="n">
        <v>37741</v>
      </c>
      <c r="B166" s="45" t="n">
        <v>0.149</v>
      </c>
      <c r="C166" s="86" t="n"/>
    </row>
    <row r="167">
      <c r="A167" s="85" t="n">
        <v>37772</v>
      </c>
      <c r="B167" s="23" t="n">
        <v>0.137</v>
      </c>
      <c r="C167" s="86" t="n"/>
    </row>
    <row r="168">
      <c r="A168" s="87" t="n">
        <v>37802</v>
      </c>
      <c r="B168" s="45" t="n">
        <v>0.169</v>
      </c>
      <c r="C168" s="86" t="n"/>
    </row>
    <row r="169">
      <c r="A169" s="85" t="n">
        <v>37833</v>
      </c>
      <c r="B169" s="23" t="n">
        <v>0.165</v>
      </c>
      <c r="C169" s="86" t="n"/>
    </row>
    <row r="170">
      <c r="A170" s="87" t="n">
        <v>37864</v>
      </c>
      <c r="B170" s="45" t="n">
        <v>0.171</v>
      </c>
      <c r="C170" s="86" t="n"/>
    </row>
    <row r="171">
      <c r="A171" s="85" t="n">
        <v>37894</v>
      </c>
      <c r="B171" s="23" t="n">
        <v>0.163</v>
      </c>
      <c r="C171" s="86" t="n"/>
    </row>
    <row r="172">
      <c r="A172" s="87" t="n">
        <v>37925</v>
      </c>
      <c r="B172" s="45" t="n">
        <v>0.172</v>
      </c>
      <c r="C172" s="86" t="n"/>
    </row>
    <row r="173">
      <c r="A173" s="85" t="n">
        <v>37955</v>
      </c>
      <c r="B173" s="23" t="n">
        <v>0.179</v>
      </c>
      <c r="C173" s="86" t="n"/>
    </row>
    <row r="174">
      <c r="A174" s="87" t="n">
        <v>37986</v>
      </c>
      <c r="B174" s="45" t="n">
        <v>0.181</v>
      </c>
      <c r="C174" s="86" t="n"/>
    </row>
    <row r="175">
      <c r="A175" s="85" t="n">
        <v>38017</v>
      </c>
      <c r="B175" s="23" t="n">
        <v>0.07199999999999999</v>
      </c>
      <c r="C175" s="86" t="n"/>
    </row>
    <row r="176">
      <c r="A176" s="87" t="n">
        <v>38046</v>
      </c>
      <c r="B176" s="45" t="n">
        <v>0.232</v>
      </c>
      <c r="C176" s="86" t="n"/>
    </row>
    <row r="177">
      <c r="A177" s="85" t="n">
        <v>38077</v>
      </c>
      <c r="B177" s="23" t="n">
        <v>0.194</v>
      </c>
      <c r="C177" s="86" t="n"/>
    </row>
    <row r="178">
      <c r="A178" s="87" t="n">
        <v>38107</v>
      </c>
      <c r="B178" s="45" t="n">
        <v>0.191</v>
      </c>
      <c r="C178" s="86" t="n"/>
    </row>
    <row r="179">
      <c r="A179" s="85" t="n">
        <v>38138</v>
      </c>
      <c r="B179" s="23" t="n">
        <v>0.175</v>
      </c>
      <c r="C179" s="86" t="n"/>
    </row>
    <row r="180">
      <c r="A180" s="87" t="n">
        <v>38168</v>
      </c>
      <c r="B180" s="45" t="n">
        <v>0.162</v>
      </c>
      <c r="C180" s="86" t="n"/>
    </row>
    <row r="181">
      <c r="A181" s="85" t="n">
        <v>38199</v>
      </c>
      <c r="B181" s="23" t="n">
        <v>0.155</v>
      </c>
      <c r="C181" s="86" t="n"/>
    </row>
    <row r="182">
      <c r="A182" s="87" t="n">
        <v>38230</v>
      </c>
      <c r="B182" s="45" t="n">
        <v>0.159</v>
      </c>
      <c r="C182" s="86" t="n"/>
    </row>
    <row r="183">
      <c r="A183" s="85" t="n">
        <v>38260</v>
      </c>
      <c r="B183" s="23" t="n">
        <v>0.161</v>
      </c>
      <c r="C183" s="86" t="n"/>
    </row>
    <row r="184">
      <c r="A184" s="87" t="n">
        <v>38291</v>
      </c>
      <c r="B184" s="45" t="n">
        <v>0.157</v>
      </c>
      <c r="C184" s="86" t="n"/>
    </row>
    <row r="185">
      <c r="A185" s="85" t="n">
        <v>38321</v>
      </c>
      <c r="B185" s="23" t="n">
        <v>0.148</v>
      </c>
      <c r="C185" s="86" t="n"/>
    </row>
    <row r="186">
      <c r="A186" s="87" t="n">
        <v>38352</v>
      </c>
      <c r="B186" s="45" t="n">
        <v>0.144</v>
      </c>
      <c r="C186" s="86" t="n"/>
    </row>
    <row r="187">
      <c r="A187" s="85" t="n">
        <v>38383</v>
      </c>
      <c r="B187" s="23" t="n">
        <v>0.209</v>
      </c>
      <c r="C187" s="86" t="n">
        <v>52.1</v>
      </c>
    </row>
    <row r="188">
      <c r="A188" s="85" t="n">
        <v>38411</v>
      </c>
      <c r="B188" s="45" t="n">
        <v>0.076</v>
      </c>
      <c r="C188" s="86" t="n">
        <v>52.9</v>
      </c>
    </row>
    <row r="189">
      <c r="A189" s="87" t="n">
        <v>38442</v>
      </c>
      <c r="B189" s="45" t="n">
        <v>0.151</v>
      </c>
      <c r="C189" s="86" t="n">
        <v>55.2</v>
      </c>
    </row>
    <row r="190">
      <c r="A190" s="85" t="n">
        <v>38472</v>
      </c>
      <c r="B190" s="23" t="n">
        <v>0.16</v>
      </c>
      <c r="C190" s="86" t="n">
        <v>54.4</v>
      </c>
    </row>
    <row r="191">
      <c r="A191" s="87" t="n">
        <v>38503</v>
      </c>
      <c r="B191" s="45" t="n">
        <v>0.166</v>
      </c>
      <c r="C191" s="86" t="n">
        <v>53.3</v>
      </c>
    </row>
    <row r="192">
      <c r="A192" s="85" t="n">
        <v>38533</v>
      </c>
      <c r="B192" s="23" t="n">
        <v>0.168</v>
      </c>
      <c r="C192" s="86" t="n">
        <v>51</v>
      </c>
    </row>
    <row r="193">
      <c r="A193" s="87" t="n">
        <v>38564</v>
      </c>
      <c r="B193" s="45" t="n">
        <v>0.161</v>
      </c>
      <c r="C193" s="86" t="n">
        <v>51.5</v>
      </c>
    </row>
    <row r="194">
      <c r="A194" s="85" t="n">
        <v>38595</v>
      </c>
      <c r="B194" s="23" t="n">
        <v>0.16</v>
      </c>
      <c r="C194" s="86" t="n">
        <v>50.6</v>
      </c>
    </row>
    <row r="195">
      <c r="A195" s="87" t="n">
        <v>38625</v>
      </c>
      <c r="B195" s="45" t="n">
        <v>0.165</v>
      </c>
      <c r="C195" s="86" t="n">
        <v>50.9</v>
      </c>
    </row>
    <row r="196">
      <c r="A196" s="85" t="n">
        <v>38656</v>
      </c>
      <c r="B196" s="23" t="n">
        <v>0.161</v>
      </c>
      <c r="C196" s="86" t="n">
        <v>50.1</v>
      </c>
    </row>
    <row r="197">
      <c r="A197" s="87" t="n">
        <v>38686</v>
      </c>
      <c r="B197" s="45" t="n">
        <v>0.166</v>
      </c>
      <c r="C197" s="86" t="n">
        <v>49.8</v>
      </c>
    </row>
    <row r="198">
      <c r="A198" s="85" t="n">
        <v>38717</v>
      </c>
      <c r="B198" s="23" t="n">
        <v>0.165</v>
      </c>
      <c r="C198" s="86" t="n">
        <v>50.1</v>
      </c>
    </row>
    <row r="199">
      <c r="A199" s="85" t="n">
        <v>38776</v>
      </c>
      <c r="B199" s="23" t="n">
        <v>0.201</v>
      </c>
      <c r="C199" s="86" t="n">
        <v>50.7</v>
      </c>
    </row>
    <row r="200">
      <c r="A200" s="87" t="n">
        <v>38807</v>
      </c>
      <c r="B200" s="45" t="n">
        <v>0.178</v>
      </c>
      <c r="C200" s="86" t="n">
        <v>51</v>
      </c>
    </row>
    <row r="201">
      <c r="A201" s="85" t="n">
        <v>38837</v>
      </c>
      <c r="B201" s="23" t="n">
        <v>0.166</v>
      </c>
      <c r="C201" s="86" t="n">
        <v>52.7</v>
      </c>
    </row>
    <row r="202">
      <c r="A202" s="87" t="n">
        <v>38868</v>
      </c>
      <c r="B202" s="45" t="n">
        <v>0.179</v>
      </c>
      <c r="C202" s="86" t="n">
        <v>52.8</v>
      </c>
    </row>
    <row r="203">
      <c r="A203" s="85" t="n">
        <v>38898</v>
      </c>
      <c r="B203" s="23" t="n">
        <v>0.195</v>
      </c>
      <c r="C203" s="86" t="n">
        <v>52.9</v>
      </c>
    </row>
    <row r="204">
      <c r="A204" s="87" t="n">
        <v>38929</v>
      </c>
      <c r="B204" s="45" t="n">
        <v>0.167</v>
      </c>
      <c r="C204" s="86" t="n">
        <v>53</v>
      </c>
    </row>
    <row r="205">
      <c r="A205" s="85" t="n">
        <v>38960</v>
      </c>
      <c r="B205" s="23" t="n">
        <v>0.157</v>
      </c>
      <c r="C205" s="86" t="n">
        <v>52.6</v>
      </c>
    </row>
    <row r="206">
      <c r="A206" s="87" t="n">
        <v>38990</v>
      </c>
      <c r="B206" s="45" t="n">
        <v>0.161</v>
      </c>
      <c r="C206" s="86" t="n">
        <v>52.4</v>
      </c>
    </row>
    <row r="207">
      <c r="A207" s="85" t="n">
        <v>39021</v>
      </c>
      <c r="B207" s="23" t="n">
        <v>0.147</v>
      </c>
      <c r="C207" s="86" t="n">
        <v>52.1</v>
      </c>
    </row>
    <row r="208">
      <c r="A208" s="87" t="n">
        <v>39051</v>
      </c>
      <c r="B208" s="45" t="n">
        <v>0.149</v>
      </c>
      <c r="C208" s="86" t="n">
        <v>53</v>
      </c>
    </row>
    <row r="209">
      <c r="A209" s="85" t="n">
        <v>39082</v>
      </c>
      <c r="B209" s="23" t="n">
        <v>0.147</v>
      </c>
      <c r="C209" s="86" t="n">
        <v>52.4</v>
      </c>
    </row>
    <row r="210">
      <c r="A210" s="87" t="n">
        <v>39141</v>
      </c>
      <c r="B210" s="45" t="n">
        <v>0.126</v>
      </c>
      <c r="C210" s="86" t="n">
        <v>53</v>
      </c>
    </row>
    <row r="211">
      <c r="A211" s="87" t="n">
        <v>39172</v>
      </c>
      <c r="B211" s="45" t="n">
        <v>0.176</v>
      </c>
      <c r="C211" s="86" t="n">
        <v>52.3</v>
      </c>
    </row>
    <row r="212">
      <c r="A212" s="85" t="n">
        <v>39202</v>
      </c>
      <c r="B212" s="23" t="n">
        <v>0.174</v>
      </c>
      <c r="C212" s="86" t="n">
        <v>53.3</v>
      </c>
    </row>
    <row r="213">
      <c r="A213" s="87" t="n">
        <v>39233</v>
      </c>
      <c r="B213" s="45" t="n">
        <v>0.181</v>
      </c>
      <c r="C213" s="86" t="n">
        <v>54.1</v>
      </c>
    </row>
    <row r="214">
      <c r="A214" s="85" t="n">
        <v>39263</v>
      </c>
      <c r="B214" s="23" t="n">
        <v>0.194</v>
      </c>
      <c r="C214" s="86" t="n">
        <v>55</v>
      </c>
    </row>
    <row r="215">
      <c r="A215" s="87" t="n">
        <v>39294</v>
      </c>
      <c r="B215" s="45" t="n">
        <v>0.18</v>
      </c>
      <c r="C215" s="86" t="n">
        <v>53.2</v>
      </c>
    </row>
    <row r="216">
      <c r="A216" s="85" t="n">
        <v>39325</v>
      </c>
      <c r="B216" s="23" t="n">
        <v>0.175</v>
      </c>
      <c r="C216" s="86" t="n">
        <v>53.4</v>
      </c>
    </row>
    <row r="217">
      <c r="A217" s="87" t="n">
        <v>39355</v>
      </c>
      <c r="B217" s="45" t="n">
        <v>0.189</v>
      </c>
      <c r="C217" s="86" t="n">
        <v>55</v>
      </c>
    </row>
    <row r="218">
      <c r="A218" s="85" t="n">
        <v>39386</v>
      </c>
      <c r="B218" s="23" t="n">
        <v>0.179</v>
      </c>
      <c r="C218" s="86" t="n">
        <v>55.2</v>
      </c>
    </row>
    <row r="219">
      <c r="A219" s="87" t="n">
        <v>39416</v>
      </c>
      <c r="B219" s="45" t="n">
        <v>0.173</v>
      </c>
      <c r="C219" s="86" t="n">
        <v>52.8</v>
      </c>
    </row>
    <row r="220">
      <c r="A220" s="85" t="n">
        <v>39447</v>
      </c>
      <c r="B220" s="23" t="n">
        <v>0.174</v>
      </c>
      <c r="C220" s="86" t="n">
        <v>53.3</v>
      </c>
    </row>
    <row r="221">
      <c r="A221" s="87" t="n">
        <v>39507</v>
      </c>
      <c r="B221" s="45" t="n">
        <v>0.154</v>
      </c>
      <c r="C221" s="86" t="n">
        <v>52.8</v>
      </c>
    </row>
    <row r="222">
      <c r="A222" s="85" t="n">
        <v>39538</v>
      </c>
      <c r="B222" s="23" t="n">
        <v>0.178</v>
      </c>
      <c r="C222" s="86" t="n">
        <v>54.4</v>
      </c>
    </row>
    <row r="223">
      <c r="A223" s="87" t="n">
        <v>39568</v>
      </c>
      <c r="B223" s="45" t="n">
        <v>0.157</v>
      </c>
      <c r="C223" s="86" t="n">
        <v>55.4</v>
      </c>
    </row>
    <row r="224">
      <c r="A224" s="85" t="n">
        <v>39599</v>
      </c>
      <c r="B224" s="23" t="n">
        <v>0.16</v>
      </c>
      <c r="C224" s="86" t="n">
        <v>54.7</v>
      </c>
    </row>
    <row r="225">
      <c r="A225" s="87" t="n">
        <v>39629</v>
      </c>
      <c r="B225" s="45" t="n">
        <v>0.16</v>
      </c>
      <c r="C225" s="86" t="n">
        <v>53.3</v>
      </c>
    </row>
    <row r="226">
      <c r="A226" s="85" t="n">
        <v>39660</v>
      </c>
      <c r="B226" s="23" t="n">
        <v>0.147</v>
      </c>
      <c r="C226" s="86" t="n">
        <v>53.3</v>
      </c>
    </row>
    <row r="227">
      <c r="A227" s="87" t="n">
        <v>39691</v>
      </c>
      <c r="B227" s="45" t="n">
        <v>0.128</v>
      </c>
      <c r="C227" s="86" t="n">
        <v>49.2</v>
      </c>
    </row>
    <row r="228">
      <c r="A228" s="85" t="n">
        <v>39721</v>
      </c>
      <c r="B228" s="23" t="n">
        <v>0.114</v>
      </c>
      <c r="C228" s="86" t="n">
        <v>47.7</v>
      </c>
    </row>
    <row r="229">
      <c r="A229" s="87" t="n">
        <v>39752</v>
      </c>
      <c r="B229" s="45" t="n">
        <v>0.082</v>
      </c>
      <c r="C229" s="86" t="n">
        <v>45.2</v>
      </c>
    </row>
    <row r="230">
      <c r="A230" s="85" t="n">
        <v>39782</v>
      </c>
      <c r="B230" s="23" t="n">
        <v>0.054</v>
      </c>
      <c r="C230" s="86" t="n">
        <v>40.9</v>
      </c>
    </row>
    <row r="231">
      <c r="A231" s="87" t="n">
        <v>39813</v>
      </c>
      <c r="B231" s="45" t="n">
        <v>0.057</v>
      </c>
      <c r="C231" s="86" t="n">
        <v>41.2</v>
      </c>
    </row>
    <row r="232">
      <c r="A232" s="85" t="n">
        <v>39872</v>
      </c>
      <c r="B232" s="23" t="n">
        <v>0.11</v>
      </c>
      <c r="C232" s="86" t="n">
        <v>45.1</v>
      </c>
    </row>
    <row r="233">
      <c r="A233" s="85" t="n">
        <v>39903</v>
      </c>
      <c r="B233" s="23" t="n">
        <v>0.083</v>
      </c>
      <c r="C233" s="86" t="n">
        <v>44.8</v>
      </c>
    </row>
    <row r="234">
      <c r="A234" s="87" t="n">
        <v>39933</v>
      </c>
      <c r="B234" s="45" t="n">
        <v>0.073</v>
      </c>
      <c r="C234" s="86" t="n">
        <v>50.1</v>
      </c>
    </row>
    <row r="235">
      <c r="A235" s="85" t="n">
        <v>39964</v>
      </c>
      <c r="B235" s="23" t="n">
        <v>0.089</v>
      </c>
      <c r="C235" s="86" t="n">
        <v>51.2</v>
      </c>
    </row>
    <row r="236">
      <c r="A236" s="87" t="n">
        <v>39994</v>
      </c>
      <c r="B236" s="45" t="n">
        <v>0.107</v>
      </c>
      <c r="C236" s="86" t="n">
        <v>51.8</v>
      </c>
    </row>
    <row r="237">
      <c r="A237" s="85" t="n">
        <v>40025</v>
      </c>
      <c r="B237" s="23" t="n">
        <v>0.108</v>
      </c>
      <c r="C237" s="86" t="n">
        <v>52.8</v>
      </c>
    </row>
    <row r="238">
      <c r="A238" s="87" t="n">
        <v>40056</v>
      </c>
      <c r="B238" s="45" t="n">
        <v>0.123</v>
      </c>
      <c r="C238" s="86" t="n">
        <v>55.1</v>
      </c>
    </row>
    <row r="239">
      <c r="A239" s="85" t="n">
        <v>40086</v>
      </c>
      <c r="B239" s="23" t="n">
        <v>0.139</v>
      </c>
      <c r="C239" s="86" t="n">
        <v>55</v>
      </c>
    </row>
    <row r="240">
      <c r="A240" s="87" t="n">
        <v>40117</v>
      </c>
      <c r="B240" s="45" t="n">
        <v>0.161</v>
      </c>
      <c r="C240" s="86" t="n">
        <v>55.4</v>
      </c>
    </row>
    <row r="241">
      <c r="A241" s="85" t="n">
        <v>40147</v>
      </c>
      <c r="B241" s="23" t="n">
        <v>0.192</v>
      </c>
      <c r="C241" s="86" t="n">
        <v>55.7</v>
      </c>
    </row>
    <row r="242">
      <c r="A242" s="87" t="n">
        <v>40178</v>
      </c>
      <c r="B242" s="45" t="n">
        <v>0.185</v>
      </c>
      <c r="C242" s="86" t="n">
        <v>56.1</v>
      </c>
    </row>
    <row r="243">
      <c r="A243" s="87" t="n">
        <v>40237</v>
      </c>
      <c r="B243" s="45" t="n">
        <v>0.128</v>
      </c>
      <c r="C243" s="86" t="n">
        <v>55.8</v>
      </c>
    </row>
    <row r="244">
      <c r="A244" s="85" t="n">
        <v>40268</v>
      </c>
      <c r="B244" s="23" t="n">
        <v>0.181</v>
      </c>
      <c r="C244" s="86" t="n">
        <v>57</v>
      </c>
    </row>
    <row r="245">
      <c r="A245" s="87" t="n">
        <v>40298</v>
      </c>
      <c r="B245" s="45" t="n">
        <v>0.178</v>
      </c>
      <c r="C245" s="86" t="n">
        <v>55.4</v>
      </c>
    </row>
    <row r="246">
      <c r="A246" s="85" t="n">
        <v>40329</v>
      </c>
      <c r="B246" s="23" t="n">
        <v>0.165</v>
      </c>
      <c r="C246" s="86" t="n">
        <v>52.7</v>
      </c>
    </row>
    <row r="247">
      <c r="A247" s="87" t="n">
        <v>40359</v>
      </c>
      <c r="B247" s="45" t="n">
        <v>0.137</v>
      </c>
      <c r="C247" s="86" t="n">
        <v>50.4</v>
      </c>
    </row>
    <row r="248">
      <c r="A248" s="85" t="n">
        <v>40390</v>
      </c>
      <c r="B248" s="23" t="n">
        <v>0.134</v>
      </c>
      <c r="C248" s="86" t="n">
        <v>49.4</v>
      </c>
    </row>
    <row r="249">
      <c r="A249" s="87" t="n">
        <v>40421</v>
      </c>
      <c r="B249" s="45" t="n">
        <v>0.139</v>
      </c>
      <c r="C249" s="86" t="n">
        <v>51.9</v>
      </c>
    </row>
    <row r="250">
      <c r="A250" s="85" t="n">
        <v>40451</v>
      </c>
      <c r="B250" s="23" t="n">
        <v>0.133</v>
      </c>
      <c r="C250" s="86" t="n">
        <v>52.9</v>
      </c>
    </row>
    <row r="251">
      <c r="A251" s="87" t="n">
        <v>40482</v>
      </c>
      <c r="B251" s="45" t="n">
        <v>0.131</v>
      </c>
      <c r="C251" s="86" t="n">
        <v>54.8</v>
      </c>
    </row>
    <row r="252">
      <c r="A252" s="85" t="n">
        <v>40512</v>
      </c>
      <c r="B252" s="23" t="n">
        <v>0.133</v>
      </c>
      <c r="C252" s="86" t="n">
        <v>55.3</v>
      </c>
    </row>
    <row r="253">
      <c r="A253" s="87" t="n">
        <v>40543</v>
      </c>
      <c r="B253" s="45" t="n">
        <v>0.135</v>
      </c>
      <c r="C253" s="86" t="n">
        <v>54.4</v>
      </c>
    </row>
    <row r="254">
      <c r="A254" s="85" t="n">
        <v>40602</v>
      </c>
      <c r="B254" s="23" t="n">
        <v>0.141</v>
      </c>
      <c r="C254" s="86" t="n">
        <v>51.7</v>
      </c>
    </row>
    <row r="255">
      <c r="A255" s="85" t="n">
        <v>40633</v>
      </c>
      <c r="B255" s="23" t="n">
        <v>0.148</v>
      </c>
      <c r="C255" s="86" t="n">
        <v>51.8</v>
      </c>
    </row>
    <row r="256">
      <c r="A256" s="87" t="n">
        <v>40663</v>
      </c>
      <c r="B256" s="45" t="n">
        <v>0.134</v>
      </c>
      <c r="C256" s="86" t="n">
        <v>51.8</v>
      </c>
    </row>
    <row r="257">
      <c r="A257" s="85" t="n">
        <v>40694</v>
      </c>
      <c r="B257" s="23" t="n">
        <v>0.133</v>
      </c>
      <c r="C257" s="86" t="n">
        <v>51.6</v>
      </c>
    </row>
    <row r="258">
      <c r="A258" s="87" t="n">
        <v>40724</v>
      </c>
      <c r="B258" s="45" t="n">
        <v>0.151</v>
      </c>
      <c r="C258" s="86" t="n">
        <v>50.1</v>
      </c>
    </row>
    <row r="259">
      <c r="A259" s="85" t="n">
        <v>40755</v>
      </c>
      <c r="B259" s="23" t="n">
        <v>0.14</v>
      </c>
      <c r="C259" s="86" t="n">
        <v>49.3</v>
      </c>
    </row>
    <row r="260">
      <c r="A260" s="87" t="n">
        <v>40786</v>
      </c>
      <c r="B260" s="45" t="n">
        <v>0.135</v>
      </c>
      <c r="C260" s="86" t="n">
        <v>49.9</v>
      </c>
    </row>
    <row r="261">
      <c r="A261" s="85" t="n">
        <v>40816</v>
      </c>
      <c r="B261" s="23" t="n">
        <v>0.138</v>
      </c>
      <c r="C261" s="86" t="n">
        <v>49.9</v>
      </c>
    </row>
    <row r="262">
      <c r="A262" s="87" t="n">
        <v>40847</v>
      </c>
      <c r="B262" s="45" t="n">
        <v>0.132</v>
      </c>
      <c r="C262" s="86" t="n">
        <v>51</v>
      </c>
    </row>
    <row r="263">
      <c r="A263" s="85" t="n">
        <v>40877</v>
      </c>
      <c r="B263" s="23" t="n">
        <v>0.124</v>
      </c>
      <c r="C263" s="86" t="n">
        <v>47.7</v>
      </c>
    </row>
    <row r="264">
      <c r="A264" s="87" t="n">
        <v>40908</v>
      </c>
      <c r="B264" s="45" t="n">
        <v>0.128</v>
      </c>
      <c r="C264" s="86" t="n">
        <v>48.7</v>
      </c>
    </row>
    <row r="265">
      <c r="A265" s="85" t="n">
        <v>40968</v>
      </c>
      <c r="B265" s="23" t="n">
        <v>0.114</v>
      </c>
      <c r="C265" s="86" t="n">
        <v>49.6</v>
      </c>
    </row>
    <row r="266">
      <c r="A266" s="87" t="n">
        <v>40999</v>
      </c>
      <c r="B266" s="45" t="n">
        <v>0.119</v>
      </c>
      <c r="C266" s="86" t="n">
        <v>48.3</v>
      </c>
    </row>
    <row r="267">
      <c r="A267" s="85" t="n">
        <v>41029</v>
      </c>
      <c r="B267" s="23" t="n">
        <v>0.093</v>
      </c>
      <c r="C267" s="86" t="n">
        <v>49.3</v>
      </c>
    </row>
    <row r="268">
      <c r="A268" s="87" t="n">
        <v>41060</v>
      </c>
      <c r="B268" s="45" t="n">
        <v>0.096</v>
      </c>
      <c r="C268" s="86" t="n">
        <v>48.4</v>
      </c>
    </row>
    <row r="269">
      <c r="A269" s="85" t="n">
        <v>41090</v>
      </c>
      <c r="B269" s="23" t="n">
        <v>0.095</v>
      </c>
      <c r="C269" s="86" t="n">
        <v>48.2</v>
      </c>
    </row>
    <row r="270">
      <c r="A270" s="87" t="n">
        <v>41121</v>
      </c>
      <c r="B270" s="45" t="n">
        <v>0.092</v>
      </c>
      <c r="C270" s="86" t="n">
        <v>49.3</v>
      </c>
    </row>
    <row r="271">
      <c r="A271" s="85" t="n">
        <v>41152</v>
      </c>
      <c r="B271" s="23" t="n">
        <v>0.089</v>
      </c>
      <c r="C271" s="86" t="n">
        <v>47.7</v>
      </c>
    </row>
    <row r="272">
      <c r="A272" s="87" t="n">
        <v>41182</v>
      </c>
      <c r="B272" s="45" t="n">
        <v>0.092</v>
      </c>
      <c r="C272" s="86" t="n">
        <v>47.9</v>
      </c>
    </row>
    <row r="273">
      <c r="A273" s="85" t="n">
        <v>41213</v>
      </c>
      <c r="B273" s="23" t="n">
        <v>0.096</v>
      </c>
      <c r="C273" s="86" t="n">
        <v>49.5</v>
      </c>
    </row>
    <row r="274">
      <c r="A274" s="87" t="n">
        <v>41243</v>
      </c>
      <c r="B274" s="45" t="n">
        <v>0.101</v>
      </c>
      <c r="C274" s="86" t="n">
        <v>50.5</v>
      </c>
    </row>
    <row r="275">
      <c r="A275" s="85" t="n">
        <v>41274</v>
      </c>
      <c r="B275" s="23" t="n">
        <v>0.103</v>
      </c>
      <c r="C275" s="86" t="n">
        <v>51.5</v>
      </c>
    </row>
    <row r="276">
      <c r="A276" s="87" t="n">
        <v>41333</v>
      </c>
      <c r="B276" s="45" t="n">
        <v>0.099</v>
      </c>
      <c r="C276" s="86" t="n">
        <v>50.4</v>
      </c>
    </row>
    <row r="277">
      <c r="A277" s="85" t="n">
        <v>41364</v>
      </c>
      <c r="B277" s="23" t="n">
        <v>0.089</v>
      </c>
      <c r="C277" s="86" t="n">
        <v>51.6</v>
      </c>
    </row>
    <row r="278">
      <c r="A278" s="87" t="n">
        <v>41394</v>
      </c>
      <c r="B278" s="45" t="n">
        <v>0.093</v>
      </c>
      <c r="C278" s="86" t="n">
        <v>50.4</v>
      </c>
    </row>
    <row r="279">
      <c r="A279" s="85" t="n">
        <v>41425</v>
      </c>
      <c r="B279" s="23" t="n">
        <v>0.092</v>
      </c>
      <c r="C279" s="86" t="n">
        <v>49.2</v>
      </c>
    </row>
    <row r="280">
      <c r="A280" s="87" t="n">
        <v>41455</v>
      </c>
      <c r="B280" s="45" t="n">
        <v>0.089</v>
      </c>
      <c r="C280" s="86" t="n">
        <v>48.2</v>
      </c>
    </row>
    <row r="281">
      <c r="A281" s="85" t="n">
        <v>41486</v>
      </c>
      <c r="B281" s="23" t="n">
        <v>0.097</v>
      </c>
      <c r="C281" s="86" t="n">
        <v>47.7</v>
      </c>
    </row>
    <row r="282">
      <c r="A282" s="87" t="n">
        <v>41517</v>
      </c>
      <c r="B282" s="45" t="n">
        <v>0.104</v>
      </c>
      <c r="C282" s="86" t="n">
        <v>50.1</v>
      </c>
    </row>
    <row r="283">
      <c r="A283" s="85" t="n">
        <v>41547</v>
      </c>
      <c r="B283" s="23" t="n">
        <v>0.102</v>
      </c>
      <c r="C283" s="86" t="n">
        <v>50.2</v>
      </c>
    </row>
    <row r="284">
      <c r="A284" s="87" t="n">
        <v>41578</v>
      </c>
      <c r="B284" s="45" t="n">
        <v>0.103</v>
      </c>
      <c r="C284" s="86" t="n">
        <v>50.9</v>
      </c>
    </row>
    <row r="285">
      <c r="A285" s="85" t="n">
        <v>41608</v>
      </c>
      <c r="B285" s="23" t="n">
        <v>0.1</v>
      </c>
      <c r="C285" s="86" t="n">
        <v>50.8</v>
      </c>
    </row>
    <row r="286">
      <c r="A286" s="87" t="n">
        <v>41639</v>
      </c>
      <c r="B286" s="45" t="n">
        <v>0.097</v>
      </c>
      <c r="C286" s="86" t="n">
        <v>50.5</v>
      </c>
    </row>
    <row r="287">
      <c r="A287" s="85" t="n">
        <v>41698</v>
      </c>
      <c r="B287" s="23" t="n">
        <v>0.08599999999999999</v>
      </c>
      <c r="C287" s="86" t="n">
        <v>48.5</v>
      </c>
    </row>
    <row r="288">
      <c r="A288" s="87" t="n">
        <v>41729</v>
      </c>
      <c r="B288" s="45" t="n">
        <v>0.08799999999999999</v>
      </c>
      <c r="C288" s="86" t="n">
        <v>48</v>
      </c>
    </row>
    <row r="289">
      <c r="A289" s="85" t="n">
        <v>41759</v>
      </c>
      <c r="B289" s="23" t="n">
        <v>0.08699999999999999</v>
      </c>
      <c r="C289" s="86" t="n">
        <v>48.1</v>
      </c>
    </row>
    <row r="290">
      <c r="A290" s="87" t="n">
        <v>41790</v>
      </c>
      <c r="B290" s="45" t="n">
        <v>0.08799999999999999</v>
      </c>
      <c r="C290" s="86" t="n">
        <v>49.4</v>
      </c>
    </row>
    <row r="291">
      <c r="A291" s="85" t="n">
        <v>41820</v>
      </c>
      <c r="B291" s="23" t="n">
        <v>0.092</v>
      </c>
      <c r="C291" s="86" t="n">
        <v>50.7</v>
      </c>
    </row>
    <row r="292">
      <c r="A292" s="87" t="n">
        <v>41851</v>
      </c>
      <c r="B292" s="45" t="n">
        <v>0.09</v>
      </c>
      <c r="C292" s="86" t="n">
        <v>51.7</v>
      </c>
    </row>
    <row r="293">
      <c r="A293" s="85" t="n">
        <v>41882</v>
      </c>
      <c r="B293" s="23" t="n">
        <v>0.06900000000000001</v>
      </c>
      <c r="C293" s="86" t="n">
        <v>50.2</v>
      </c>
    </row>
    <row r="294">
      <c r="A294" s="87" t="n">
        <v>41912</v>
      </c>
      <c r="B294" s="45" t="n">
        <v>0.08</v>
      </c>
      <c r="C294" s="86" t="n">
        <v>51.1</v>
      </c>
    </row>
    <row r="295">
      <c r="A295" s="85" t="n">
        <v>41943</v>
      </c>
      <c r="B295" s="23" t="n">
        <v>0.077</v>
      </c>
      <c r="C295" s="86" t="n">
        <v>50.8</v>
      </c>
    </row>
    <row r="296">
      <c r="A296" s="87" t="n">
        <v>41973</v>
      </c>
      <c r="B296" s="45" t="n">
        <v>0.07199999999999999</v>
      </c>
      <c r="C296" s="86" t="n">
        <v>50.3</v>
      </c>
    </row>
    <row r="297">
      <c r="A297" s="85" t="n">
        <v>42004</v>
      </c>
      <c r="B297" s="23" t="n">
        <v>0.079</v>
      </c>
      <c r="C297" s="86" t="n">
        <v>50.1</v>
      </c>
    </row>
    <row r="298">
      <c r="A298" s="87" t="n">
        <v>42063</v>
      </c>
      <c r="B298" s="45" t="n">
        <v>0.068</v>
      </c>
      <c r="C298" s="86" t="n">
        <v>49.9</v>
      </c>
    </row>
    <row r="299">
      <c r="A299" s="85" t="n">
        <v>42094</v>
      </c>
      <c r="B299" s="23" t="n">
        <v>0.056</v>
      </c>
      <c r="C299" s="86" t="n">
        <v>50.1</v>
      </c>
    </row>
    <row r="300">
      <c r="A300" s="87" t="n">
        <v>42124</v>
      </c>
      <c r="B300" s="45" t="n">
        <v>0.059</v>
      </c>
      <c r="C300" s="86" t="n">
        <v>50.1</v>
      </c>
    </row>
    <row r="301">
      <c r="A301" s="85" t="n">
        <v>42155</v>
      </c>
      <c r="B301" s="23" t="n">
        <v>0.061</v>
      </c>
      <c r="C301" s="86" t="n">
        <v>50.2</v>
      </c>
    </row>
    <row r="302">
      <c r="A302" s="87" t="n">
        <v>42185</v>
      </c>
      <c r="B302" s="45" t="n">
        <v>0.068</v>
      </c>
      <c r="C302" s="86" t="n">
        <v>50.2</v>
      </c>
    </row>
    <row r="303">
      <c r="A303" s="85" t="n">
        <v>42216</v>
      </c>
      <c r="B303" s="23" t="n">
        <v>0.06</v>
      </c>
      <c r="C303" s="86" t="n">
        <v>50</v>
      </c>
    </row>
    <row r="304">
      <c r="A304" s="87" t="n">
        <v>42247</v>
      </c>
      <c r="B304" s="45" t="n">
        <v>0.061</v>
      </c>
      <c r="C304" s="86" t="n">
        <v>47.3</v>
      </c>
    </row>
    <row r="305">
      <c r="A305" s="85" t="n">
        <v>42277</v>
      </c>
      <c r="B305" s="23" t="n">
        <v>0.057</v>
      </c>
      <c r="C305" s="86" t="n">
        <v>47.2</v>
      </c>
    </row>
    <row r="306">
      <c r="A306" s="87" t="n">
        <v>42308</v>
      </c>
      <c r="B306" s="45" t="n">
        <v>0.056</v>
      </c>
      <c r="C306" s="86" t="n">
        <v>48.3</v>
      </c>
    </row>
    <row r="307">
      <c r="A307" s="85" t="n">
        <v>42338</v>
      </c>
      <c r="B307" s="23" t="n">
        <v>0.062</v>
      </c>
      <c r="C307" s="86" t="n">
        <v>48.6</v>
      </c>
    </row>
    <row r="308">
      <c r="A308" s="87" t="n">
        <v>42369</v>
      </c>
      <c r="B308" s="45" t="n">
        <v>0.059</v>
      </c>
      <c r="C308" s="86" t="n">
        <v>48.2</v>
      </c>
    </row>
    <row r="309">
      <c r="A309" s="85" t="n">
        <v>42400</v>
      </c>
      <c r="B309" s="23" t="n">
        <v>0.054</v>
      </c>
      <c r="C309" s="86" t="n">
        <v>48.4</v>
      </c>
    </row>
    <row r="310">
      <c r="A310" s="87" t="n">
        <v>42460</v>
      </c>
      <c r="B310" s="45" t="n">
        <v>0.068</v>
      </c>
      <c r="C310" s="86" t="n">
        <v>49.7</v>
      </c>
    </row>
    <row r="311">
      <c r="A311" s="85" t="n">
        <v>42490</v>
      </c>
      <c r="B311" s="23" t="n">
        <v>0.06</v>
      </c>
      <c r="C311" s="86" t="n">
        <v>49.4</v>
      </c>
    </row>
    <row r="312">
      <c r="A312" s="87" t="n">
        <v>42521</v>
      </c>
      <c r="B312" s="45" t="n">
        <v>0.06</v>
      </c>
      <c r="C312" s="86" t="n">
        <v>49.2</v>
      </c>
    </row>
    <row r="313">
      <c r="A313" s="85" t="n">
        <v>42551</v>
      </c>
      <c r="B313" s="23" t="n">
        <v>0.062</v>
      </c>
      <c r="C313" s="86" t="n">
        <v>48.6</v>
      </c>
    </row>
    <row r="314">
      <c r="A314" s="87" t="n">
        <v>42582</v>
      </c>
      <c r="B314" s="45" t="n">
        <v>0.06</v>
      </c>
      <c r="C314" s="86" t="n">
        <v>50.6</v>
      </c>
    </row>
    <row r="315">
      <c r="A315" s="85" t="n">
        <v>42613</v>
      </c>
      <c r="B315" s="23" t="n">
        <v>0.063</v>
      </c>
      <c r="C315" s="86" t="n">
        <v>50</v>
      </c>
    </row>
    <row r="316">
      <c r="A316" s="87" t="n">
        <v>42643</v>
      </c>
      <c r="B316" s="45" t="n">
        <v>0.061</v>
      </c>
      <c r="C316" s="86" t="n">
        <v>50.1</v>
      </c>
    </row>
    <row r="317">
      <c r="A317" s="85" t="n">
        <v>42674</v>
      </c>
      <c r="B317" s="23" t="n">
        <v>0.061</v>
      </c>
      <c r="C317" s="86" t="n">
        <v>51.2</v>
      </c>
    </row>
    <row r="318">
      <c r="A318" s="87" t="n">
        <v>42704</v>
      </c>
      <c r="B318" s="45" t="n">
        <v>0.062</v>
      </c>
      <c r="C318" s="86" t="n">
        <v>50.9</v>
      </c>
    </row>
    <row r="319">
      <c r="A319" s="85" t="n">
        <v>42735</v>
      </c>
      <c r="B319" s="23" t="n">
        <v>0.06</v>
      </c>
      <c r="C319" s="86" t="n">
        <v>51.9</v>
      </c>
    </row>
    <row r="320">
      <c r="A320" s="87" t="n">
        <v>42766</v>
      </c>
      <c r="B320" s="45" t="n">
        <v>0.063</v>
      </c>
      <c r="C320" s="86" t="n">
        <v>51</v>
      </c>
    </row>
    <row r="321">
      <c r="A321" s="85" t="n">
        <v>42825</v>
      </c>
      <c r="B321" s="23" t="n">
        <v>0.076</v>
      </c>
      <c r="C321" s="86" t="n">
        <v>51.2</v>
      </c>
    </row>
    <row r="322">
      <c r="A322" s="87" t="n">
        <v>42855</v>
      </c>
      <c r="B322" s="45" t="n">
        <v>0.065</v>
      </c>
      <c r="C322" s="86" t="n">
        <v>50.3</v>
      </c>
    </row>
    <row r="323">
      <c r="A323" s="85" t="n">
        <v>42886</v>
      </c>
      <c r="B323" s="23" t="n">
        <v>0.065</v>
      </c>
      <c r="C323" s="86" t="n">
        <v>49.6</v>
      </c>
    </row>
    <row r="324">
      <c r="A324" s="87" t="n">
        <v>42916</v>
      </c>
      <c r="B324" s="45" t="n">
        <v>0.076</v>
      </c>
      <c r="C324" s="86" t="n">
        <v>50.4</v>
      </c>
    </row>
    <row r="325">
      <c r="A325" s="85" t="n">
        <v>42947</v>
      </c>
      <c r="B325" s="23" t="n">
        <v>0.064</v>
      </c>
      <c r="C325" s="86" t="n">
        <v>51.1</v>
      </c>
    </row>
    <row r="326">
      <c r="A326" s="87" t="n">
        <v>42978</v>
      </c>
      <c r="B326" s="45" t="n">
        <v>0.06</v>
      </c>
      <c r="C326" s="86" t="n">
        <v>51.6</v>
      </c>
    </row>
    <row r="327">
      <c r="A327" s="85" t="n">
        <v>43008</v>
      </c>
      <c r="B327" s="23" t="n">
        <v>0.066</v>
      </c>
      <c r="C327" s="86" t="n">
        <v>51</v>
      </c>
    </row>
    <row r="328">
      <c r="A328" s="87" t="n">
        <v>43039</v>
      </c>
      <c r="B328" s="45" t="n">
        <v>0.062</v>
      </c>
      <c r="C328" s="86" t="n">
        <v>51</v>
      </c>
    </row>
    <row r="329">
      <c r="A329" s="85" t="n">
        <v>43069</v>
      </c>
      <c r="B329" s="23" t="n">
        <v>0.061</v>
      </c>
      <c r="C329" s="86" t="n">
        <v>50.8</v>
      </c>
    </row>
    <row r="330">
      <c r="A330" s="87" t="n">
        <v>43100</v>
      </c>
      <c r="B330" s="45" t="n">
        <v>0.062</v>
      </c>
      <c r="C330" s="86" t="n">
        <v>51.5</v>
      </c>
    </row>
    <row r="331">
      <c r="A331" s="85" t="n">
        <v>43159</v>
      </c>
      <c r="B331" s="23" t="n">
        <v>0.07199999999999999</v>
      </c>
      <c r="C331" s="86" t="n">
        <v>51.5</v>
      </c>
    </row>
    <row r="332">
      <c r="A332" s="87" t="n">
        <v>43190</v>
      </c>
      <c r="B332" s="45" t="n">
        <v>0.06</v>
      </c>
      <c r="C332" s="86" t="n">
        <v>51</v>
      </c>
    </row>
    <row r="333">
      <c r="A333" s="85" t="n">
        <v>43220</v>
      </c>
      <c r="B333" s="23" t="n">
        <v>0.07000000000000001</v>
      </c>
      <c r="C333" s="86" t="n">
        <v>51.1</v>
      </c>
    </row>
    <row r="334">
      <c r="A334" s="87" t="n">
        <v>43251</v>
      </c>
      <c r="B334" s="45" t="n">
        <v>0.068</v>
      </c>
      <c r="C334" s="86" t="n">
        <v>51.1</v>
      </c>
    </row>
    <row r="335">
      <c r="A335" s="85" t="n">
        <v>43281</v>
      </c>
      <c r="B335" s="23" t="n">
        <v>0.06</v>
      </c>
      <c r="C335" s="86" t="n">
        <v>51</v>
      </c>
    </row>
    <row r="336">
      <c r="A336" s="87" t="n">
        <v>43312</v>
      </c>
      <c r="B336" s="45" t="n">
        <v>0.06</v>
      </c>
      <c r="C336" s="86" t="n">
        <v>50.8</v>
      </c>
    </row>
    <row r="337">
      <c r="A337" s="85" t="n">
        <v>43343</v>
      </c>
      <c r="B337" s="23" t="n">
        <v>0.061</v>
      </c>
      <c r="C337" s="86" t="n">
        <v>50.6</v>
      </c>
    </row>
    <row r="338">
      <c r="A338" s="87" t="n">
        <v>43373</v>
      </c>
      <c r="B338" s="45" t="n">
        <v>0.058</v>
      </c>
      <c r="C338" s="86" t="n">
        <v>50</v>
      </c>
    </row>
    <row r="339">
      <c r="A339" s="85" t="n">
        <v>43404</v>
      </c>
      <c r="B339" s="23" t="n">
        <v>0.059</v>
      </c>
      <c r="C339" s="86" t="n">
        <v>50.1</v>
      </c>
    </row>
    <row r="340">
      <c r="A340" s="87" t="n">
        <v>43434</v>
      </c>
      <c r="B340" s="45" t="n">
        <v>0.054</v>
      </c>
      <c r="C340" s="86" t="n">
        <v>50.2</v>
      </c>
    </row>
    <row r="341">
      <c r="A341" s="85" t="n">
        <v>43465</v>
      </c>
      <c r="B341" s="23" t="n">
        <v>0.057</v>
      </c>
      <c r="C341" s="86" t="n">
        <v>49.7</v>
      </c>
    </row>
    <row r="342">
      <c r="A342" s="87" t="n">
        <v>43496</v>
      </c>
      <c r="B342" s="45" t="n">
        <v>0.053</v>
      </c>
      <c r="C342" s="86" t="n">
        <v>48.3</v>
      </c>
    </row>
    <row r="343">
      <c r="A343" s="85" t="n">
        <v>43524</v>
      </c>
      <c r="B343" s="23" t="n">
        <v>0.08500000000000001</v>
      </c>
      <c r="C343" s="86" t="n">
        <v>49.9</v>
      </c>
    </row>
    <row r="344">
      <c r="A344" s="87" t="n">
        <v>43555</v>
      </c>
      <c r="B344" s="45" t="n">
        <v>0.054</v>
      </c>
      <c r="C344" s="86" t="n">
        <v>50.8</v>
      </c>
    </row>
    <row r="345">
      <c r="A345" s="87" t="n">
        <v>43585</v>
      </c>
      <c r="B345" s="45" t="n">
        <v>0.054</v>
      </c>
      <c r="C345" s="86" t="n">
        <v>50.2</v>
      </c>
    </row>
    <row r="346">
      <c r="A346" s="85" t="n">
        <v>43616</v>
      </c>
      <c r="B346" s="23" t="n">
        <v>0.05</v>
      </c>
      <c r="C346" s="86" t="n">
        <v>50.2</v>
      </c>
    </row>
    <row r="347">
      <c r="A347" s="85" t="n">
        <v>43646</v>
      </c>
      <c r="B347" s="23" t="n">
        <v>0.063</v>
      </c>
      <c r="C347" s="86" t="n">
        <v>49.4</v>
      </c>
    </row>
    <row r="348">
      <c r="A348" s="87" t="n">
        <v>43677</v>
      </c>
      <c r="B348" s="45" t="n">
        <v>0.048</v>
      </c>
      <c r="C348" s="86" t="n">
        <v>49.9</v>
      </c>
    </row>
    <row r="349">
      <c r="A349" s="85" t="n">
        <v>43708</v>
      </c>
      <c r="B349" s="23" t="n">
        <v>0.044</v>
      </c>
      <c r="C349" s="86" t="n">
        <v>50.4</v>
      </c>
    </row>
    <row r="350">
      <c r="A350" s="87" t="n">
        <v>43738</v>
      </c>
      <c r="B350" s="45" t="n">
        <v>0.058</v>
      </c>
      <c r="C350" s="86" t="n">
        <v>51.4</v>
      </c>
    </row>
    <row r="351">
      <c r="A351" s="85" t="n">
        <v>43769</v>
      </c>
      <c r="B351" s="23" t="n">
        <v>0.047</v>
      </c>
      <c r="C351" s="86" t="n">
        <v>51.7</v>
      </c>
    </row>
    <row r="352">
      <c r="A352" s="85" t="n">
        <v>43799</v>
      </c>
      <c r="B352" s="23" t="n">
        <v>0.062</v>
      </c>
      <c r="C352" s="86" t="n">
        <v>51.8</v>
      </c>
    </row>
    <row r="353">
      <c r="A353" s="85" t="n">
        <v>43830</v>
      </c>
      <c r="B353" s="23" t="n">
        <v>0.06900000000000001</v>
      </c>
      <c r="C353" s="86" t="n">
        <v>51.5</v>
      </c>
    </row>
    <row r="354">
      <c r="A354" s="85" t="n">
        <v>43890</v>
      </c>
      <c r="B354" s="23" t="n">
        <v>-0.135</v>
      </c>
      <c r="C354" s="86" t="n">
        <v>51.1</v>
      </c>
    </row>
    <row r="355">
      <c r="A355" s="85" t="n">
        <v>43921</v>
      </c>
      <c r="B355" s="23" t="n">
        <v>-0.011</v>
      </c>
      <c r="C355" s="86" t="n">
        <v>40.3</v>
      </c>
    </row>
    <row r="356">
      <c r="A356" s="85" t="n">
        <v>43951</v>
      </c>
      <c r="B356" s="23" t="n">
        <v>0.039</v>
      </c>
      <c r="C356" s="86" t="n">
        <v>50.1</v>
      </c>
    </row>
    <row r="357">
      <c r="A357" s="85" t="n">
        <v>43982</v>
      </c>
      <c r="B357" s="23" t="n">
        <v>0.044</v>
      </c>
      <c r="C357" s="86" t="n">
        <v>49.4</v>
      </c>
    </row>
    <row r="358">
      <c r="A358" s="85" t="n">
        <v>44012</v>
      </c>
      <c r="B358" s="23" t="n">
        <v>0.048</v>
      </c>
      <c r="C358" s="86" t="n">
        <v>50.7</v>
      </c>
    </row>
    <row r="359">
      <c r="A359" s="85" t="n">
        <v>44043</v>
      </c>
      <c r="B359" s="23" t="n">
        <v>0.048</v>
      </c>
      <c r="C359" s="86" t="n">
        <v>51.2</v>
      </c>
    </row>
    <row r="360">
      <c r="A360" s="85" t="n">
        <v>44074</v>
      </c>
      <c r="B360" s="23" t="n">
        <v>0.056</v>
      </c>
      <c r="C360" s="86" t="n">
        <v>52.8</v>
      </c>
    </row>
    <row r="361">
      <c r="A361" s="85" t="n">
        <v>44104</v>
      </c>
      <c r="B361" s="23" t="n">
        <v>0.06900000000000001</v>
      </c>
      <c r="C361" s="86" t="n">
        <v>53.1</v>
      </c>
    </row>
    <row r="362">
      <c r="A362" s="85" t="n">
        <v>44135</v>
      </c>
      <c r="B362" s="23" t="n">
        <v>0.06900000000000001</v>
      </c>
      <c r="C362" s="86" t="n">
        <v>53</v>
      </c>
    </row>
    <row r="363">
      <c r="A363" s="85" t="n">
        <v>44165</v>
      </c>
      <c r="B363" s="23" t="n">
        <v>0.07000000000000001</v>
      </c>
      <c r="C363" s="86" t="n">
        <v>53.6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2021-12-22T09:54:37Z</dcterms:modified>
  <cp:lastModifiedBy>Mark Mukherjee</cp:lastModifiedBy>
</cp:coreProperties>
</file>